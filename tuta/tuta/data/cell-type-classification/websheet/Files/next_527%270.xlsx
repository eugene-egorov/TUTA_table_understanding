
<file path=[Content_Types].xml><?xml version="1.0" encoding="utf-8"?>
<Types xmlns="http://schemas.openxmlformats.org/package/2006/content-types"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charts/chart78.xml" ContentType="application/vnd.openxmlformats-officedocument.drawingml.chart+xml"/>
  <Override PartName="/xl/charts/chart89.xml" ContentType="application/vnd.openxmlformats-officedocument.drawingml.chart+xml"/>
  <Default Extension="xml" ContentType="application/xml"/>
  <Override PartName="/xl/drawings/drawing2.xml" ContentType="application/vnd.openxmlformats-officedocument.drawing+xml"/>
  <Override PartName="/xl/charts/chart49.xml" ContentType="application/vnd.openxmlformats-officedocument.drawingml.chart+xml"/>
  <Override PartName="/xl/charts/chart67.xml" ContentType="application/vnd.openxmlformats-officedocument.drawingml.chart+xml"/>
  <Override PartName="/xl/worksheets/sheet3.xml" ContentType="application/vnd.openxmlformats-officedocument.spreadsheetml.worksheet+xml"/>
  <Override PartName="/xl/drawings/drawing13.xml" ContentType="application/vnd.openxmlformats-officedocument.drawingml.chartshapes+xml"/>
  <Override PartName="/xl/charts/chart27.xml" ContentType="application/vnd.openxmlformats-officedocument.drawingml.chart+xml"/>
  <Override PartName="/xl/charts/chart38.xml" ContentType="application/vnd.openxmlformats-officedocument.drawingml.chart+xml"/>
  <Override PartName="/xl/charts/chart56.xml" ContentType="application/vnd.openxmlformats-officedocument.drawingml.chart+xml"/>
  <Override PartName="/xl/drawings/drawing24.xml" ContentType="application/vnd.openxmlformats-officedocument.drawing+xml"/>
  <Override PartName="/xl/charts/chart74.xml" ContentType="application/vnd.openxmlformats-officedocument.drawingml.chart+xml"/>
  <Override PartName="/xl/charts/chart85.xml" ContentType="application/vnd.openxmlformats-officedocument.drawingml.chart+xml"/>
  <Override PartName="/xl/charts/chart16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drawings/drawing20.xml" ContentType="application/vnd.openxmlformats-officedocument.drawing+xml"/>
  <Override PartName="/xl/charts/chart63.xml" ContentType="application/vnd.openxmlformats-officedocument.drawingml.chart+xml"/>
  <Override PartName="/xl/charts/chart81.xml" ContentType="application/vnd.openxmlformats-officedocument.drawingml.chart+xml"/>
  <Override PartName="/xl/drawings/drawing31.xml" ContentType="application/vnd.openxmlformats-officedocument.drawing+xml"/>
  <Override PartName="/xl/sharedStrings.xml" ContentType="application/vnd.openxmlformats-officedocument.spreadsheetml.sharedStrings+xml"/>
  <Override PartName="/xl/charts/chart23.xml" ContentType="application/vnd.openxmlformats-officedocument.drawingml.chart+xml"/>
  <Override PartName="/xl/charts/chart52.xml" ContentType="application/vnd.openxmlformats-officedocument.drawingml.chart+xml"/>
  <Override PartName="/xl/charts/chart70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Default Extension="png" ContentType="image/png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drawings/drawing29.xml" ContentType="application/vnd.openxmlformats-officedocument.drawingml.chartshapes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18.xml" ContentType="application/vnd.openxmlformats-officedocument.drawing+xml"/>
  <Override PartName="/xl/charts/chart59.xml" ContentType="application/vnd.openxmlformats-officedocument.drawingml.chart+xml"/>
  <Override PartName="/xl/drawings/drawing27.xml" ContentType="application/vnd.openxmlformats-officedocument.drawing+xml"/>
  <Override PartName="/xl/charts/chart79.xml" ContentType="application/vnd.openxmlformats-officedocument.drawingml.chart+xml"/>
  <Override PartName="/xl/charts/chart88.xml" ContentType="application/vnd.openxmlformats-officedocument.drawingml.char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16.xml" ContentType="application/vnd.openxmlformats-officedocument.drawingml.chartshapes+xml"/>
  <Override PartName="/xl/charts/chart39.xml" ContentType="application/vnd.openxmlformats-officedocument.drawingml.chart+xml"/>
  <Override PartName="/xl/charts/chart48.xml" ContentType="application/vnd.openxmlformats-officedocument.drawingml.chart+xml"/>
  <Override PartName="/xl/charts/chart57.xml" ContentType="application/vnd.openxmlformats-officedocument.drawingml.chart+xml"/>
  <Override PartName="/xl/charts/chart68.xml" ContentType="application/vnd.openxmlformats-officedocument.drawingml.chart+xml"/>
  <Override PartName="/xl/drawings/drawing25.xml" ContentType="application/vnd.openxmlformats-officedocument.drawing+xml"/>
  <Override PartName="/xl/charts/chart77.xml" ContentType="application/vnd.openxmlformats-officedocument.drawingml.chart+xml"/>
  <Override PartName="/xl/charts/chart86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drawings/drawing14.xml" ContentType="application/vnd.openxmlformats-officedocument.drawing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55.xml" ContentType="application/vnd.openxmlformats-officedocument.drawingml.chart+xml"/>
  <Override PartName="/xl/drawings/drawing23.xml" ContentType="application/vnd.openxmlformats-officedocument.drawing+xml"/>
  <Override PartName="/xl/charts/chart66.xml" ContentType="application/vnd.openxmlformats-officedocument.drawingml.chart+xml"/>
  <Override PartName="/xl/charts/chart75.xml" ContentType="application/vnd.openxmlformats-officedocument.drawingml.chart+xml"/>
  <Override PartName="/xl/charts/chart84.xml" ContentType="application/vnd.openxmlformats-officedocument.drawingml.chart+xml"/>
  <Override PartName="/xl/drawings/drawing32.xml" ContentType="application/vnd.openxmlformats-officedocument.drawing+xml"/>
  <Override PartName="/xl/charts/chart17.xml" ContentType="application/vnd.openxmlformats-officedocument.drawingml.chart+xml"/>
  <Override PartName="/xl/drawings/drawing12.xml" ContentType="application/vnd.openxmlformats-officedocument.drawingml.chartshapes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harts/chart53.xml" ContentType="application/vnd.openxmlformats-officedocument.drawingml.chart+xml"/>
  <Override PartName="/xl/drawings/drawing21.xml" ContentType="application/vnd.openxmlformats-officedocument.drawing+xml"/>
  <Override PartName="/xl/charts/chart64.xml" ContentType="application/vnd.openxmlformats-officedocument.drawingml.chart+xml"/>
  <Override PartName="/xl/charts/chart73.xml" ContentType="application/vnd.openxmlformats-officedocument.drawingml.chart+xml"/>
  <Override PartName="/xl/drawings/drawing30.xml" ContentType="application/vnd.openxmlformats-officedocument.drawing+xml"/>
  <Override PartName="/xl/charts/chart82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ml.chartshapes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charts/chart51.xml" ContentType="application/vnd.openxmlformats-officedocument.drawingml.chart+xml"/>
  <Override PartName="/xl/charts/chart62.xml" ContentType="application/vnd.openxmlformats-officedocument.drawingml.chart+xml"/>
  <Override PartName="/xl/charts/chart71.xml" ContentType="application/vnd.openxmlformats-officedocument.drawingml.chart+xml"/>
  <Override PartName="/xl/charts/chart80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60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69.xml" ContentType="application/vnd.openxmlformats-officedocument.drawingml.chart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ml.chartshapes+xml"/>
  <Override PartName="/xl/charts/chart29.xml" ContentType="application/vnd.openxmlformats-officedocument.drawingml.chart+xml"/>
  <Override PartName="/xl/charts/chart58.xml" ContentType="application/vnd.openxmlformats-officedocument.drawingml.chart+xml"/>
  <Override PartName="/xl/drawings/drawing26.xml" ContentType="application/vnd.openxmlformats-officedocument.drawing+xml"/>
  <Override PartName="/xl/charts/chart76.xml" ContentType="application/vnd.openxmlformats-officedocument.drawingml.chart+xml"/>
  <Override PartName="/xl/charts/chart87.xml" ContentType="application/vnd.openxmlformats-officedocument.drawingml.chart+xml"/>
  <Override PartName="/xl/charts/chart18.xml" ContentType="application/vnd.openxmlformats-officedocument.drawingml.chart+xml"/>
  <Override PartName="/xl/charts/chart36.xml" ContentType="application/vnd.openxmlformats-officedocument.drawingml.chart+xml"/>
  <Override PartName="/xl/charts/chart47.xml" ContentType="application/vnd.openxmlformats-officedocument.drawingml.chart+xml"/>
  <Override PartName="/xl/drawings/drawing22.xml" ContentType="application/vnd.openxmlformats-officedocument.drawing+xml"/>
  <Override PartName="/xl/charts/chart65.xml" ContentType="application/vnd.openxmlformats-officedocument.drawingml.chart+xml"/>
  <Override PartName="/xl/charts/chart83.xml" ContentType="application/vnd.openxmlformats-officedocument.drawingml.chart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chart54.xml" ContentType="application/vnd.openxmlformats-officedocument.drawingml.chart+xml"/>
  <Override PartName="/xl/charts/chart72.xml" ContentType="application/vnd.openxmlformats-officedocument.drawingml.chart+xml"/>
  <Override PartName="/xl/charts/chart14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charts/chart61.xml" ContentType="application/vnd.openxmlformats-officedocument.drawingml.chart+xml"/>
  <Override PartName="/xl/charts/chart90.xml" ContentType="application/vnd.openxmlformats-officedocument.drawingml.chart+xml"/>
  <Override PartName="/xl/charts/chart21.xml" ContentType="application/vnd.openxmlformats-officedocument.drawingml.chart+xml"/>
  <Override PartName="/xl/charts/chart50.xml" ContentType="application/vnd.openxmlformats-officedocument.drawingml.chart+xml"/>
  <Override PartName="/xl/worksheets/sheet16.xml" ContentType="application/vnd.openxmlformats-officedocument.spreadsheetml.workshee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7620" windowHeight="8145" tabRatio="961"/>
  </bookViews>
  <sheets>
    <sheet name="Introduction" sheetId="22" r:id="rId1"/>
    <sheet name="Summary" sheetId="24" r:id="rId2"/>
    <sheet name="Sector Summary" sheetId="25" r:id="rId3"/>
    <sheet name="Annual" sheetId="12" r:id="rId4"/>
    <sheet name="Quarterly" sheetId="13" r:id="rId5"/>
    <sheet name="Seasonal" sheetId="14" r:id="rId6"/>
    <sheet name="Growth Rates Annualised" sheetId="2" r:id="rId7"/>
    <sheet name="Growth Rates SeaAdj" sheetId="15" r:id="rId8"/>
    <sheet name="Prov Contributions" sheetId="3" r:id="rId9"/>
    <sheet name="National Contributions" sheetId="8" r:id="rId10"/>
    <sheet name="GDP Durban" sheetId="6" r:id="rId11"/>
    <sheet name="GDP PMB" sheetId="17" r:id="rId12"/>
    <sheet name="GDP RBay" sheetId="18" r:id="rId13"/>
    <sheet name="GDP Port Shepstone" sheetId="19" r:id="rId14"/>
    <sheet name="GDP Newcastle" sheetId="20" r:id="rId15"/>
    <sheet name="Growth Rates" sheetId="21" r:id="rId16"/>
    <sheet name="Contr Rates" sheetId="23" r:id="rId17"/>
    <sheet name="Budget" sheetId="4" r:id="rId18"/>
    <sheet name="SocioEcon" sheetId="7" r:id="rId19"/>
    <sheet name="Sector Ratings" sheetId="9" r:id="rId20"/>
    <sheet name="Economics" sheetId="26" r:id="rId21"/>
  </sheets>
  <definedNames>
    <definedName name="_xlnm._FilterDatabase" localSheetId="19" hidden="1">'Sector Ratings'!#REF!</definedName>
  </definedNames>
  <calcPr calcId="125725"/>
</workbook>
</file>

<file path=xl/calcChain.xml><?xml version="1.0" encoding="utf-8"?>
<calcChain xmlns="http://schemas.openxmlformats.org/spreadsheetml/2006/main">
  <c r="BR6" i="13"/>
  <c r="BS6"/>
  <c r="BT6"/>
  <c r="BU6"/>
  <c r="BV6"/>
  <c r="BW6"/>
  <c r="BX6"/>
  <c r="BY6"/>
  <c r="BR9"/>
  <c r="BS9"/>
  <c r="BT9"/>
  <c r="BU9"/>
  <c r="BV9"/>
  <c r="BW9"/>
  <c r="BX9"/>
  <c r="BY9"/>
  <c r="BR13"/>
  <c r="BS13"/>
  <c r="BT13"/>
  <c r="BU13"/>
  <c r="BV13"/>
  <c r="BW13"/>
  <c r="BX13"/>
  <c r="BY13"/>
  <c r="BR19"/>
  <c r="BR21" s="1"/>
  <c r="BS19"/>
  <c r="BT19"/>
  <c r="BU19"/>
  <c r="BV19"/>
  <c r="BW19"/>
  <c r="BX19"/>
  <c r="BY19"/>
  <c r="BS21"/>
  <c r="BT21"/>
  <c r="BU21"/>
  <c r="BV21"/>
  <c r="BW21"/>
  <c r="BX21"/>
  <c r="BY21"/>
  <c r="B12" i="7"/>
  <c r="B9"/>
  <c r="B15"/>
  <c r="B40" s="1"/>
  <c r="B51" s="1"/>
  <c r="B62" s="1"/>
  <c r="B80" s="1"/>
  <c r="B91" s="1"/>
  <c r="B115" s="1"/>
  <c r="B27"/>
  <c r="B28"/>
  <c r="B30"/>
  <c r="B32"/>
  <c r="B33"/>
  <c r="B34"/>
  <c r="B35"/>
  <c r="B36"/>
  <c r="B37"/>
  <c r="B48"/>
  <c r="B50"/>
  <c r="B55"/>
  <c r="B57" s="1"/>
  <c r="B59"/>
  <c r="B76"/>
  <c r="B77"/>
  <c r="B78"/>
  <c r="B104"/>
  <c r="B105" s="1"/>
  <c r="B107"/>
  <c r="B108"/>
  <c r="B119"/>
  <c r="B132"/>
  <c r="B134"/>
  <c r="B137"/>
  <c r="B138"/>
  <c r="B139"/>
  <c r="B140"/>
  <c r="B141"/>
  <c r="B142"/>
  <c r="B143"/>
  <c r="B144"/>
  <c r="H3" i="4"/>
  <c r="I3"/>
  <c r="J3"/>
  <c r="K3"/>
  <c r="L3"/>
  <c r="M3"/>
  <c r="N3"/>
  <c r="H4"/>
  <c r="I4"/>
  <c r="J4"/>
  <c r="K4"/>
  <c r="L4"/>
  <c r="M4"/>
  <c r="N4"/>
  <c r="H5"/>
  <c r="I5"/>
  <c r="J5"/>
  <c r="K5"/>
  <c r="L5"/>
  <c r="M5"/>
  <c r="N5"/>
  <c r="H6"/>
  <c r="I6"/>
  <c r="J6"/>
  <c r="K6"/>
  <c r="L6"/>
  <c r="M6"/>
  <c r="N6"/>
  <c r="H7"/>
  <c r="I7"/>
  <c r="J7"/>
  <c r="K7"/>
  <c r="L7"/>
  <c r="M7"/>
  <c r="N7"/>
  <c r="H8"/>
  <c r="I8"/>
  <c r="J8"/>
  <c r="K8"/>
  <c r="L8"/>
  <c r="M8"/>
  <c r="N8"/>
  <c r="H9"/>
  <c r="I9"/>
  <c r="J9"/>
  <c r="K9"/>
  <c r="L9"/>
  <c r="M9"/>
  <c r="N9"/>
  <c r="H10"/>
  <c r="I10"/>
  <c r="J10"/>
  <c r="K10"/>
  <c r="L10"/>
  <c r="M10"/>
  <c r="N10"/>
  <c r="H11"/>
  <c r="I11"/>
  <c r="J11"/>
  <c r="K11"/>
  <c r="L11"/>
  <c r="M11"/>
  <c r="N11"/>
  <c r="H12"/>
  <c r="I12"/>
  <c r="J12"/>
  <c r="K12"/>
  <c r="L12"/>
  <c r="M12"/>
  <c r="N12"/>
  <c r="H13"/>
  <c r="I13"/>
  <c r="J13"/>
  <c r="K13"/>
  <c r="L13"/>
  <c r="M13"/>
  <c r="N13"/>
  <c r="H14"/>
  <c r="I14"/>
  <c r="J14"/>
  <c r="K14"/>
  <c r="L14"/>
  <c r="M14"/>
  <c r="N14"/>
  <c r="H15"/>
  <c r="I15"/>
  <c r="J15"/>
  <c r="K15"/>
  <c r="L15"/>
  <c r="M15"/>
  <c r="N15"/>
  <c r="E3"/>
  <c r="E4"/>
  <c r="E5"/>
  <c r="E6"/>
  <c r="E7"/>
  <c r="E8"/>
  <c r="E9"/>
  <c r="E10"/>
  <c r="E11"/>
  <c r="E12"/>
  <c r="E13"/>
  <c r="E14"/>
  <c r="E15"/>
  <c r="B60" i="7" l="1"/>
  <c r="B31"/>
  <c r="B3"/>
  <c r="B120"/>
  <c r="D87" i="4" l="1"/>
  <c r="E87"/>
  <c r="D88"/>
  <c r="E88"/>
  <c r="D89"/>
  <c r="E89"/>
  <c r="D90"/>
  <c r="E90"/>
  <c r="E86"/>
  <c r="C88"/>
  <c r="C89"/>
  <c r="C90"/>
  <c r="F26"/>
  <c r="G26"/>
  <c r="O26"/>
  <c r="F27"/>
  <c r="G27"/>
  <c r="O27"/>
  <c r="F28"/>
  <c r="G28"/>
  <c r="O28"/>
  <c r="D29"/>
  <c r="F29"/>
  <c r="G29"/>
  <c r="O29"/>
  <c r="F30"/>
  <c r="G30"/>
  <c r="O30"/>
  <c r="D2"/>
  <c r="D11"/>
  <c r="D27" s="1"/>
  <c r="D12"/>
  <c r="D13"/>
  <c r="D28" s="1"/>
  <c r="D14"/>
  <c r="D15"/>
  <c r="D30" s="1"/>
  <c r="C12"/>
  <c r="C27" s="1"/>
  <c r="C13"/>
  <c r="C28" s="1"/>
  <c r="C14"/>
  <c r="C15"/>
  <c r="C30" s="1"/>
  <c r="Q42" i="17"/>
  <c r="Q43"/>
  <c r="Q44"/>
  <c r="Q45"/>
  <c r="Q46"/>
  <c r="Q50" s="1"/>
  <c r="Q54" s="1"/>
  <c r="Q47"/>
  <c r="Q51" s="1"/>
  <c r="Q48"/>
  <c r="Q49"/>
  <c r="Q52"/>
  <c r="Q53"/>
  <c r="Q39"/>
  <c r="Q40"/>
  <c r="Q41"/>
  <c r="C95" i="23"/>
  <c r="E95"/>
  <c r="F95"/>
  <c r="G95"/>
  <c r="C96"/>
  <c r="E96"/>
  <c r="F96"/>
  <c r="G96"/>
  <c r="C97"/>
  <c r="E97"/>
  <c r="F97"/>
  <c r="G97"/>
  <c r="C98"/>
  <c r="E98"/>
  <c r="F98"/>
  <c r="G98"/>
  <c r="C99"/>
  <c r="E99"/>
  <c r="F99"/>
  <c r="G99"/>
  <c r="A97"/>
  <c r="A98"/>
  <c r="A99"/>
  <c r="A44"/>
  <c r="B44"/>
  <c r="C44"/>
  <c r="E44"/>
  <c r="F44"/>
  <c r="G44"/>
  <c r="A45"/>
  <c r="B45"/>
  <c r="C45"/>
  <c r="E45"/>
  <c r="F45"/>
  <c r="G45"/>
  <c r="A46"/>
  <c r="B46"/>
  <c r="C46"/>
  <c r="E46"/>
  <c r="F46"/>
  <c r="G46"/>
  <c r="A47"/>
  <c r="A96" s="1"/>
  <c r="B47"/>
  <c r="C47"/>
  <c r="E47"/>
  <c r="F47"/>
  <c r="G47"/>
  <c r="A48"/>
  <c r="B48"/>
  <c r="C48"/>
  <c r="E48"/>
  <c r="F48"/>
  <c r="G48"/>
  <c r="A49"/>
  <c r="B49"/>
  <c r="C49"/>
  <c r="E49"/>
  <c r="F49"/>
  <c r="G49"/>
  <c r="A50"/>
  <c r="B50"/>
  <c r="C50"/>
  <c r="E50"/>
  <c r="F50"/>
  <c r="G50"/>
  <c r="B41" i="21"/>
  <c r="C41"/>
  <c r="D41"/>
  <c r="F41"/>
  <c r="G41"/>
  <c r="H41"/>
  <c r="B42"/>
  <c r="C42"/>
  <c r="D42"/>
  <c r="F42"/>
  <c r="G42"/>
  <c r="H42"/>
  <c r="B43"/>
  <c r="C43"/>
  <c r="D43"/>
  <c r="F43"/>
  <c r="G43"/>
  <c r="H43"/>
  <c r="B44"/>
  <c r="C44"/>
  <c r="D44"/>
  <c r="F44"/>
  <c r="G44"/>
  <c r="H44"/>
  <c r="B45"/>
  <c r="C45"/>
  <c r="D45"/>
  <c r="F45"/>
  <c r="G45"/>
  <c r="H45"/>
  <c r="B46"/>
  <c r="C46"/>
  <c r="D46"/>
  <c r="F46"/>
  <c r="G46"/>
  <c r="H46"/>
  <c r="A45"/>
  <c r="A46"/>
  <c r="T24" i="20"/>
  <c r="S24"/>
  <c r="R24"/>
  <c r="A51"/>
  <c r="D51"/>
  <c r="E51"/>
  <c r="M51" s="1"/>
  <c r="Q51"/>
  <c r="A52"/>
  <c r="D52"/>
  <c r="E52"/>
  <c r="M52" s="1"/>
  <c r="Q52"/>
  <c r="A53"/>
  <c r="D53"/>
  <c r="E53"/>
  <c r="M53" s="1"/>
  <c r="Q53"/>
  <c r="A54"/>
  <c r="D54"/>
  <c r="E54"/>
  <c r="M54"/>
  <c r="O54" s="1"/>
  <c r="Q54"/>
  <c r="T24" i="19"/>
  <c r="S24"/>
  <c r="R24"/>
  <c r="A51"/>
  <c r="D51"/>
  <c r="E51"/>
  <c r="M51" s="1"/>
  <c r="Q51"/>
  <c r="A52"/>
  <c r="D52"/>
  <c r="E52"/>
  <c r="M52" s="1"/>
  <c r="Q52"/>
  <c r="A53"/>
  <c r="D53"/>
  <c r="E53"/>
  <c r="M53"/>
  <c r="O53" s="1"/>
  <c r="Q53"/>
  <c r="A54"/>
  <c r="D54"/>
  <c r="E54"/>
  <c r="M54" s="1"/>
  <c r="Q54"/>
  <c r="T24" i="18"/>
  <c r="S24"/>
  <c r="R24"/>
  <c r="A51"/>
  <c r="D51"/>
  <c r="E51"/>
  <c r="M51" s="1"/>
  <c r="Q51"/>
  <c r="A52"/>
  <c r="D52"/>
  <c r="E52"/>
  <c r="M52" s="1"/>
  <c r="Q52"/>
  <c r="A53"/>
  <c r="D53"/>
  <c r="E53"/>
  <c r="M53"/>
  <c r="O53" s="1"/>
  <c r="Q53"/>
  <c r="A54"/>
  <c r="D54"/>
  <c r="E54"/>
  <c r="M54" s="1"/>
  <c r="Q54"/>
  <c r="R24" i="17"/>
  <c r="A51"/>
  <c r="D51"/>
  <c r="E51"/>
  <c r="A52"/>
  <c r="D52"/>
  <c r="E52"/>
  <c r="A53"/>
  <c r="D53"/>
  <c r="E53"/>
  <c r="A54"/>
  <c r="D54"/>
  <c r="E54"/>
  <c r="T24" i="6"/>
  <c r="S24"/>
  <c r="D51"/>
  <c r="E51"/>
  <c r="M51" s="1"/>
  <c r="H51"/>
  <c r="Q51"/>
  <c r="D52"/>
  <c r="E52"/>
  <c r="H52"/>
  <c r="M52"/>
  <c r="Q52"/>
  <c r="D53"/>
  <c r="H53" s="1"/>
  <c r="E53"/>
  <c r="M53"/>
  <c r="O53" s="1"/>
  <c r="N53"/>
  <c r="Q53"/>
  <c r="D54"/>
  <c r="E54"/>
  <c r="H54" s="1"/>
  <c r="Q54"/>
  <c r="R24"/>
  <c r="BT86" i="14"/>
  <c r="BU86"/>
  <c r="BV86"/>
  <c r="BW86"/>
  <c r="BX86"/>
  <c r="BY86"/>
  <c r="BT87"/>
  <c r="BU87"/>
  <c r="BV87"/>
  <c r="BW87"/>
  <c r="BX87"/>
  <c r="BY87"/>
  <c r="BT88"/>
  <c r="BU88"/>
  <c r="BV88"/>
  <c r="BW88"/>
  <c r="BX88"/>
  <c r="BY88"/>
  <c r="BT89"/>
  <c r="BU89"/>
  <c r="BV89"/>
  <c r="BW89"/>
  <c r="BX89"/>
  <c r="BY89"/>
  <c r="BT90"/>
  <c r="BU90"/>
  <c r="BV90"/>
  <c r="BW90"/>
  <c r="BX90"/>
  <c r="BY90"/>
  <c r="BT91"/>
  <c r="BU91"/>
  <c r="BV91"/>
  <c r="BW91"/>
  <c r="BX91"/>
  <c r="BY91"/>
  <c r="BT92"/>
  <c r="BU92"/>
  <c r="BV92"/>
  <c r="BW92"/>
  <c r="BX92"/>
  <c r="BY92"/>
  <c r="BT93"/>
  <c r="BU93"/>
  <c r="BV93"/>
  <c r="BW93"/>
  <c r="BX93"/>
  <c r="BY93"/>
  <c r="BT94"/>
  <c r="BU94"/>
  <c r="BV94"/>
  <c r="BW94"/>
  <c r="BX94"/>
  <c r="BY94"/>
  <c r="BT95"/>
  <c r="BU95"/>
  <c r="BV95"/>
  <c r="BW95"/>
  <c r="BX95"/>
  <c r="BY95"/>
  <c r="BT96"/>
  <c r="BU96"/>
  <c r="BV96"/>
  <c r="BW96"/>
  <c r="BX96"/>
  <c r="BY96"/>
  <c r="BT97"/>
  <c r="BU97"/>
  <c r="BV97"/>
  <c r="BW97"/>
  <c r="BX97"/>
  <c r="BY97"/>
  <c r="BT98"/>
  <c r="BU98"/>
  <c r="BV98"/>
  <c r="BW98"/>
  <c r="BX98"/>
  <c r="BY98"/>
  <c r="BT99"/>
  <c r="BU99"/>
  <c r="BV99"/>
  <c r="BW99"/>
  <c r="BX99"/>
  <c r="BY99"/>
  <c r="BT100"/>
  <c r="BU100"/>
  <c r="BV100"/>
  <c r="BW100"/>
  <c r="BX100"/>
  <c r="BY100"/>
  <c r="BT101"/>
  <c r="BU101"/>
  <c r="BV101"/>
  <c r="BW101"/>
  <c r="BX101"/>
  <c r="BY101"/>
  <c r="BT46"/>
  <c r="BU46"/>
  <c r="BV46"/>
  <c r="BW46"/>
  <c r="BX46"/>
  <c r="BY46"/>
  <c r="BT47"/>
  <c r="BU47"/>
  <c r="BV47"/>
  <c r="BW47"/>
  <c r="BX47"/>
  <c r="BY47"/>
  <c r="BT48"/>
  <c r="BU48"/>
  <c r="BV48"/>
  <c r="BW48"/>
  <c r="BX48"/>
  <c r="BY48"/>
  <c r="BT49"/>
  <c r="BU49"/>
  <c r="BV49"/>
  <c r="BW49"/>
  <c r="BX49"/>
  <c r="BY49"/>
  <c r="BT50"/>
  <c r="BU50"/>
  <c r="BV50"/>
  <c r="BW50"/>
  <c r="BX50"/>
  <c r="BY50"/>
  <c r="BT51"/>
  <c r="BU51"/>
  <c r="BV51"/>
  <c r="BW51"/>
  <c r="BX51"/>
  <c r="BY51"/>
  <c r="BT52"/>
  <c r="BU52"/>
  <c r="BV52"/>
  <c r="BW52"/>
  <c r="BX52"/>
  <c r="BY52"/>
  <c r="BT53"/>
  <c r="BU53"/>
  <c r="BV53"/>
  <c r="BW53"/>
  <c r="BX53"/>
  <c r="BY53"/>
  <c r="BT54"/>
  <c r="BU54"/>
  <c r="BV54"/>
  <c r="BW54"/>
  <c r="BX54"/>
  <c r="BY54"/>
  <c r="BT55"/>
  <c r="BU55"/>
  <c r="BV55"/>
  <c r="BW55"/>
  <c r="BX55"/>
  <c r="BY55"/>
  <c r="BT56"/>
  <c r="BU56"/>
  <c r="BV56"/>
  <c r="BW56"/>
  <c r="BX56"/>
  <c r="BY56"/>
  <c r="BT57"/>
  <c r="BU57"/>
  <c r="BV57"/>
  <c r="BW57"/>
  <c r="BX57"/>
  <c r="BY57"/>
  <c r="BT58"/>
  <c r="BU58"/>
  <c r="BV58"/>
  <c r="BW58"/>
  <c r="BX58"/>
  <c r="BY58"/>
  <c r="BT59"/>
  <c r="BU59"/>
  <c r="BV59"/>
  <c r="BW59"/>
  <c r="BX59"/>
  <c r="BY59"/>
  <c r="BT60"/>
  <c r="BU60"/>
  <c r="BV60"/>
  <c r="BW60"/>
  <c r="BX60"/>
  <c r="BY60"/>
  <c r="BT61"/>
  <c r="BU61"/>
  <c r="BV61"/>
  <c r="BW61"/>
  <c r="BX61"/>
  <c r="BY61"/>
  <c r="BY6"/>
  <c r="BY9"/>
  <c r="BY13"/>
  <c r="BY25"/>
  <c r="BY45" s="1"/>
  <c r="BY65" s="1"/>
  <c r="BY85" s="1"/>
  <c r="BY105" s="1"/>
  <c r="S59" i="12"/>
  <c r="S53"/>
  <c r="S54"/>
  <c r="S55"/>
  <c r="S56"/>
  <c r="S57"/>
  <c r="S49"/>
  <c r="S50"/>
  <c r="S51"/>
  <c r="S47"/>
  <c r="S46"/>
  <c r="R46"/>
  <c r="BU86" i="13"/>
  <c r="BV86"/>
  <c r="BW86"/>
  <c r="BX86"/>
  <c r="BY86"/>
  <c r="BU87"/>
  <c r="BV87"/>
  <c r="BW87"/>
  <c r="BX87"/>
  <c r="BY87"/>
  <c r="BU88"/>
  <c r="BV88"/>
  <c r="BW88"/>
  <c r="BX88"/>
  <c r="BY88"/>
  <c r="BU89"/>
  <c r="BV89"/>
  <c r="BW89"/>
  <c r="BX89"/>
  <c r="BY89"/>
  <c r="BU90"/>
  <c r="BV90"/>
  <c r="BW90"/>
  <c r="BX90"/>
  <c r="BY90"/>
  <c r="BU91"/>
  <c r="BV91"/>
  <c r="BW91"/>
  <c r="BX91"/>
  <c r="BY91"/>
  <c r="BU92"/>
  <c r="BV92"/>
  <c r="BW92"/>
  <c r="BX92"/>
  <c r="BY92"/>
  <c r="BU93"/>
  <c r="BV93"/>
  <c r="BW93"/>
  <c r="BX93"/>
  <c r="BY93"/>
  <c r="BU94"/>
  <c r="BV94"/>
  <c r="BW94"/>
  <c r="BX94"/>
  <c r="BY94"/>
  <c r="BU95"/>
  <c r="BV95"/>
  <c r="BW95"/>
  <c r="BX95"/>
  <c r="BY95"/>
  <c r="BU96"/>
  <c r="BV96"/>
  <c r="BW96"/>
  <c r="BX96"/>
  <c r="BY96"/>
  <c r="BU97"/>
  <c r="BV97"/>
  <c r="BW97"/>
  <c r="BX97"/>
  <c r="BY97"/>
  <c r="BU98"/>
  <c r="BV98"/>
  <c r="BW98"/>
  <c r="BX98"/>
  <c r="BY98"/>
  <c r="BU99"/>
  <c r="BV99"/>
  <c r="BW99"/>
  <c r="BX99"/>
  <c r="BY99"/>
  <c r="BU100"/>
  <c r="BV100"/>
  <c r="BW100"/>
  <c r="BX100"/>
  <c r="BY100"/>
  <c r="BU101"/>
  <c r="BV101"/>
  <c r="BW101"/>
  <c r="BX101"/>
  <c r="BY101"/>
  <c r="BU46"/>
  <c r="BV46"/>
  <c r="BW46"/>
  <c r="BX46"/>
  <c r="BY46"/>
  <c r="BU47"/>
  <c r="BV47"/>
  <c r="BW47"/>
  <c r="BX47"/>
  <c r="BY47"/>
  <c r="BU48"/>
  <c r="BV48"/>
  <c r="BW48"/>
  <c r="BX48"/>
  <c r="BY48"/>
  <c r="BU49"/>
  <c r="BV49"/>
  <c r="BW49"/>
  <c r="BX49"/>
  <c r="BY49"/>
  <c r="BU50"/>
  <c r="BV50"/>
  <c r="BW50"/>
  <c r="BX50"/>
  <c r="BY50"/>
  <c r="BU51"/>
  <c r="BV51"/>
  <c r="BW51"/>
  <c r="BX51"/>
  <c r="BY51"/>
  <c r="BU52"/>
  <c r="BV52"/>
  <c r="BW52"/>
  <c r="BX52"/>
  <c r="BY52"/>
  <c r="BU53"/>
  <c r="BV53"/>
  <c r="BW53"/>
  <c r="BX53"/>
  <c r="BY53"/>
  <c r="BU54"/>
  <c r="BV54"/>
  <c r="BW54"/>
  <c r="BX54"/>
  <c r="BY54"/>
  <c r="BU55"/>
  <c r="BV55"/>
  <c r="BW55"/>
  <c r="BX55"/>
  <c r="BY55"/>
  <c r="BU56"/>
  <c r="BV56"/>
  <c r="BW56"/>
  <c r="BX56"/>
  <c r="BY56"/>
  <c r="BU57"/>
  <c r="BV57"/>
  <c r="BW57"/>
  <c r="BX57"/>
  <c r="BY57"/>
  <c r="BU58"/>
  <c r="BV58"/>
  <c r="BW58"/>
  <c r="BX58"/>
  <c r="BY58"/>
  <c r="BU59"/>
  <c r="BV59"/>
  <c r="BW59"/>
  <c r="BX59"/>
  <c r="BY59"/>
  <c r="BU60"/>
  <c r="BV60"/>
  <c r="BW60"/>
  <c r="BX60"/>
  <c r="BY60"/>
  <c r="BU61"/>
  <c r="BV61"/>
  <c r="BW61"/>
  <c r="BX61"/>
  <c r="BY61"/>
  <c r="BY25"/>
  <c r="BY45"/>
  <c r="BY65" s="1"/>
  <c r="BY85" s="1"/>
  <c r="BY105" s="1"/>
  <c r="T6" i="12"/>
  <c r="T9"/>
  <c r="T13"/>
  <c r="T66"/>
  <c r="T67"/>
  <c r="T69"/>
  <c r="T70"/>
  <c r="T71"/>
  <c r="T73"/>
  <c r="T74"/>
  <c r="T75"/>
  <c r="T76"/>
  <c r="T77"/>
  <c r="T79"/>
  <c r="A95" i="23"/>
  <c r="A41" i="21"/>
  <c r="A42"/>
  <c r="A43"/>
  <c r="A44"/>
  <c r="A50" i="17"/>
  <c r="D50"/>
  <c r="D50" i="6"/>
  <c r="E50"/>
  <c r="E50" i="17" s="1"/>
  <c r="BQ87" i="14"/>
  <c r="BS65"/>
  <c r="BS85" s="1"/>
  <c r="BS105" s="1"/>
  <c r="BT65"/>
  <c r="BT85" s="1"/>
  <c r="BT105" s="1"/>
  <c r="BU65"/>
  <c r="BV65"/>
  <c r="BW65"/>
  <c r="BW85" s="1"/>
  <c r="BW105" s="1"/>
  <c r="BU85"/>
  <c r="BU105" s="1"/>
  <c r="BV85"/>
  <c r="BV105" s="1"/>
  <c r="BS87"/>
  <c r="BS88"/>
  <c r="BS90"/>
  <c r="BS91"/>
  <c r="BS92"/>
  <c r="BS94"/>
  <c r="BS95"/>
  <c r="BS96"/>
  <c r="BS97"/>
  <c r="BS98"/>
  <c r="BS100"/>
  <c r="BS45"/>
  <c r="BT45"/>
  <c r="BU45"/>
  <c r="BV45"/>
  <c r="BW45"/>
  <c r="BX45"/>
  <c r="BX65" s="1"/>
  <c r="BX85" s="1"/>
  <c r="BX105" s="1"/>
  <c r="BS47"/>
  <c r="BS48"/>
  <c r="BS50"/>
  <c r="BS51"/>
  <c r="BS52"/>
  <c r="BS54"/>
  <c r="BS55"/>
  <c r="BS56"/>
  <c r="BS57"/>
  <c r="BS58"/>
  <c r="BS60"/>
  <c r="BS25"/>
  <c r="BT25"/>
  <c r="BU25"/>
  <c r="BV25"/>
  <c r="BW25"/>
  <c r="BX25"/>
  <c r="BW13"/>
  <c r="BW9"/>
  <c r="BW6"/>
  <c r="BR85" i="13"/>
  <c r="BS85"/>
  <c r="BS105" s="1"/>
  <c r="BT85"/>
  <c r="BU85"/>
  <c r="BV85"/>
  <c r="BW85"/>
  <c r="BW105" s="1"/>
  <c r="BR87"/>
  <c r="BS87"/>
  <c r="BT87"/>
  <c r="BR88"/>
  <c r="BS88"/>
  <c r="BT88"/>
  <c r="BR90"/>
  <c r="BS90"/>
  <c r="BT90"/>
  <c r="BR91"/>
  <c r="BS91"/>
  <c r="BT91"/>
  <c r="BR92"/>
  <c r="BS92"/>
  <c r="BT92"/>
  <c r="BR94"/>
  <c r="BS94"/>
  <c r="BT94"/>
  <c r="BR95"/>
  <c r="BS95"/>
  <c r="BT95"/>
  <c r="BR96"/>
  <c r="BS96"/>
  <c r="BT96"/>
  <c r="BR97"/>
  <c r="BS97"/>
  <c r="BT97"/>
  <c r="BR98"/>
  <c r="BS98"/>
  <c r="BT98"/>
  <c r="BR100"/>
  <c r="BS100"/>
  <c r="BT100"/>
  <c r="BR105"/>
  <c r="BT105"/>
  <c r="BU105"/>
  <c r="BV105"/>
  <c r="BR65"/>
  <c r="BS65"/>
  <c r="BT65"/>
  <c r="BU65"/>
  <c r="BV65"/>
  <c r="BW65"/>
  <c r="BR45"/>
  <c r="BS45"/>
  <c r="BT45"/>
  <c r="BU45"/>
  <c r="BV45"/>
  <c r="BW45"/>
  <c r="BR47"/>
  <c r="BS47"/>
  <c r="BT47"/>
  <c r="BR48"/>
  <c r="BS48"/>
  <c r="BT48"/>
  <c r="BR50"/>
  <c r="BS50"/>
  <c r="BT50"/>
  <c r="BR51"/>
  <c r="BS51"/>
  <c r="BT51"/>
  <c r="BR52"/>
  <c r="BS52"/>
  <c r="BT52"/>
  <c r="BR54"/>
  <c r="BS54"/>
  <c r="BT54"/>
  <c r="BR55"/>
  <c r="BS55"/>
  <c r="BT55"/>
  <c r="BR56"/>
  <c r="BS56"/>
  <c r="BT56"/>
  <c r="BR57"/>
  <c r="BS57"/>
  <c r="BT57"/>
  <c r="BR58"/>
  <c r="BS58"/>
  <c r="BT58"/>
  <c r="BR60"/>
  <c r="BS60"/>
  <c r="BT60"/>
  <c r="BW25"/>
  <c r="C5" i="4"/>
  <c r="C6"/>
  <c r="C7"/>
  <c r="C8"/>
  <c r="C9"/>
  <c r="C10"/>
  <c r="C26" s="1"/>
  <c r="C11"/>
  <c r="A50" i="19"/>
  <c r="BV13" i="14"/>
  <c r="BV9"/>
  <c r="BV6"/>
  <c r="BV25" i="13"/>
  <c r="J143" i="4"/>
  <c r="C29" l="1"/>
  <c r="O53" i="20"/>
  <c r="N53"/>
  <c r="N52"/>
  <c r="O52"/>
  <c r="O51"/>
  <c r="N51"/>
  <c r="N54"/>
  <c r="N52" i="19"/>
  <c r="O52"/>
  <c r="O51"/>
  <c r="N51"/>
  <c r="O54"/>
  <c r="N54"/>
  <c r="N53"/>
  <c r="N52" i="18"/>
  <c r="O52"/>
  <c r="O51"/>
  <c r="N51"/>
  <c r="O54"/>
  <c r="N54"/>
  <c r="N53"/>
  <c r="O51" i="6"/>
  <c r="N52"/>
  <c r="M54"/>
  <c r="O52"/>
  <c r="BV19" i="14"/>
  <c r="BY19"/>
  <c r="BY21" s="1"/>
  <c r="BW19"/>
  <c r="T19" i="12"/>
  <c r="T21" s="1"/>
  <c r="H50" i="6"/>
  <c r="BW21" i="14"/>
  <c r="K30" i="4"/>
  <c r="L30"/>
  <c r="A41" i="23"/>
  <c r="A90" s="1"/>
  <c r="A42"/>
  <c r="A91" s="1"/>
  <c r="A43"/>
  <c r="A92" s="1"/>
  <c r="A93"/>
  <c r="A94"/>
  <c r="A46" i="20"/>
  <c r="A47"/>
  <c r="A48"/>
  <c r="A49"/>
  <c r="A50"/>
  <c r="A49" i="19"/>
  <c r="A47" i="18"/>
  <c r="A48"/>
  <c r="A49"/>
  <c r="A50"/>
  <c r="A48" i="17"/>
  <c r="E48"/>
  <c r="A49"/>
  <c r="D47" i="6"/>
  <c r="E47"/>
  <c r="D48"/>
  <c r="E48"/>
  <c r="D49"/>
  <c r="E49"/>
  <c r="B75" i="15"/>
  <c r="BR45" i="14"/>
  <c r="BR65" s="1"/>
  <c r="BR85" s="1"/>
  <c r="BR105" s="1"/>
  <c r="BR47"/>
  <c r="BR48"/>
  <c r="BR50"/>
  <c r="BR51"/>
  <c r="BR52"/>
  <c r="BR54"/>
  <c r="BR55"/>
  <c r="BR56"/>
  <c r="BR57"/>
  <c r="BR58"/>
  <c r="BR60"/>
  <c r="BR87"/>
  <c r="BR88"/>
  <c r="BR90"/>
  <c r="BR91"/>
  <c r="BR92"/>
  <c r="BR94"/>
  <c r="BR95"/>
  <c r="BR96"/>
  <c r="BR97"/>
  <c r="BR98"/>
  <c r="BR100"/>
  <c r="BU13"/>
  <c r="BU19" s="1"/>
  <c r="BU9"/>
  <c r="BU6"/>
  <c r="BU25" i="13"/>
  <c r="A39" i="23"/>
  <c r="A40"/>
  <c r="A89" s="1"/>
  <c r="A36" i="21"/>
  <c r="A37"/>
  <c r="A38"/>
  <c r="A39"/>
  <c r="A40"/>
  <c r="R23" i="20"/>
  <c r="A41"/>
  <c r="A42"/>
  <c r="A43"/>
  <c r="A44"/>
  <c r="A45"/>
  <c r="A41" i="19"/>
  <c r="A42"/>
  <c r="A43"/>
  <c r="A44"/>
  <c r="A45"/>
  <c r="A46"/>
  <c r="A47"/>
  <c r="A48"/>
  <c r="I34"/>
  <c r="I35"/>
  <c r="I36"/>
  <c r="I37"/>
  <c r="I38"/>
  <c r="R23"/>
  <c r="R23" i="18"/>
  <c r="R23" i="17"/>
  <c r="A44"/>
  <c r="A45"/>
  <c r="A46"/>
  <c r="A47"/>
  <c r="C66" i="12"/>
  <c r="BN45" i="14"/>
  <c r="BO45"/>
  <c r="BP45"/>
  <c r="BQ45"/>
  <c r="BN47"/>
  <c r="BO47"/>
  <c r="BP47"/>
  <c r="BQ47"/>
  <c r="BN48"/>
  <c r="BO48"/>
  <c r="BP48"/>
  <c r="BQ48"/>
  <c r="BN50"/>
  <c r="BO50"/>
  <c r="BP50"/>
  <c r="BQ50"/>
  <c r="BN51"/>
  <c r="BO51"/>
  <c r="BP51"/>
  <c r="BQ51"/>
  <c r="BN52"/>
  <c r="BO52"/>
  <c r="BP52"/>
  <c r="BQ52"/>
  <c r="BN54"/>
  <c r="BO54"/>
  <c r="BP54"/>
  <c r="BQ54"/>
  <c r="BN55"/>
  <c r="BO55"/>
  <c r="BP55"/>
  <c r="BQ55"/>
  <c r="BN56"/>
  <c r="BO56"/>
  <c r="BP56"/>
  <c r="BQ56"/>
  <c r="BN57"/>
  <c r="BO57"/>
  <c r="BP57"/>
  <c r="BQ57"/>
  <c r="BN58"/>
  <c r="BO58"/>
  <c r="BP58"/>
  <c r="BQ58"/>
  <c r="BN60"/>
  <c r="BO60"/>
  <c r="BP60"/>
  <c r="BQ60"/>
  <c r="BN65"/>
  <c r="BO65"/>
  <c r="BP65"/>
  <c r="BQ65"/>
  <c r="BN85"/>
  <c r="BO85"/>
  <c r="BP85"/>
  <c r="BQ85"/>
  <c r="BN87"/>
  <c r="BO87"/>
  <c r="BP87"/>
  <c r="BN88"/>
  <c r="BO88"/>
  <c r="BP88"/>
  <c r="BQ88"/>
  <c r="BN90"/>
  <c r="BO90"/>
  <c r="BP90"/>
  <c r="BQ90"/>
  <c r="BN91"/>
  <c r="BO91"/>
  <c r="BP91"/>
  <c r="BQ91"/>
  <c r="BN92"/>
  <c r="BO92"/>
  <c r="BP92"/>
  <c r="BQ92"/>
  <c r="BN94"/>
  <c r="BO94"/>
  <c r="BP94"/>
  <c r="BQ94"/>
  <c r="BN95"/>
  <c r="BO95"/>
  <c r="BP95"/>
  <c r="BQ95"/>
  <c r="BN96"/>
  <c r="BO96"/>
  <c r="BP96"/>
  <c r="BQ96"/>
  <c r="BN97"/>
  <c r="BO97"/>
  <c r="BP97"/>
  <c r="BQ97"/>
  <c r="BN98"/>
  <c r="BO98"/>
  <c r="BP98"/>
  <c r="BQ98"/>
  <c r="BN100"/>
  <c r="BO100"/>
  <c r="BP100"/>
  <c r="BQ100"/>
  <c r="BN105"/>
  <c r="BO105"/>
  <c r="BP105"/>
  <c r="BQ105"/>
  <c r="BM90"/>
  <c r="BM47"/>
  <c r="BX6"/>
  <c r="BX9"/>
  <c r="BX13"/>
  <c r="BT13"/>
  <c r="BT9"/>
  <c r="BT6"/>
  <c r="BT25" i="13"/>
  <c r="Q86" i="12"/>
  <c r="R86"/>
  <c r="Q87"/>
  <c r="R87"/>
  <c r="Q89"/>
  <c r="R89"/>
  <c r="Q90"/>
  <c r="R90"/>
  <c r="Q91"/>
  <c r="R91"/>
  <c r="Q93"/>
  <c r="R93"/>
  <c r="Q94"/>
  <c r="R94"/>
  <c r="Q95"/>
  <c r="R95"/>
  <c r="Q96"/>
  <c r="R96"/>
  <c r="Q97"/>
  <c r="R97"/>
  <c r="Q99"/>
  <c r="R99"/>
  <c r="Q66"/>
  <c r="R66"/>
  <c r="S66"/>
  <c r="Q67"/>
  <c r="R67"/>
  <c r="S67"/>
  <c r="Q69"/>
  <c r="R69"/>
  <c r="S69"/>
  <c r="Q70"/>
  <c r="R70"/>
  <c r="S70"/>
  <c r="Q71"/>
  <c r="R71"/>
  <c r="S71"/>
  <c r="Q73"/>
  <c r="R73"/>
  <c r="S73"/>
  <c r="Q74"/>
  <c r="R74"/>
  <c r="S74"/>
  <c r="Q75"/>
  <c r="R75"/>
  <c r="S75"/>
  <c r="Q76"/>
  <c r="R76"/>
  <c r="S76"/>
  <c r="Q77"/>
  <c r="R77"/>
  <c r="S77"/>
  <c r="Q79"/>
  <c r="R79"/>
  <c r="S79"/>
  <c r="R6"/>
  <c r="R9"/>
  <c r="R13"/>
  <c r="R26"/>
  <c r="R29"/>
  <c r="R33"/>
  <c r="R52" s="1"/>
  <c r="BQ27" i="13"/>
  <c r="R47" i="12"/>
  <c r="R49"/>
  <c r="R50"/>
  <c r="BQ31" i="13" s="1"/>
  <c r="R51" i="12"/>
  <c r="R53"/>
  <c r="R54"/>
  <c r="R55"/>
  <c r="R56"/>
  <c r="R57"/>
  <c r="R59"/>
  <c r="BQ36" i="13" l="1"/>
  <c r="BP35"/>
  <c r="BP30"/>
  <c r="BO37"/>
  <c r="BN32"/>
  <c r="BN28"/>
  <c r="BQ30"/>
  <c r="BN40"/>
  <c r="BO38"/>
  <c r="BO34"/>
  <c r="R48" i="12"/>
  <c r="BN30" i="13"/>
  <c r="N54" i="6"/>
  <c r="D49" i="20"/>
  <c r="E50" i="19"/>
  <c r="E49" i="17"/>
  <c r="D49" i="18"/>
  <c r="D49" i="17"/>
  <c r="D47" i="18"/>
  <c r="D47" i="20"/>
  <c r="D50" i="19"/>
  <c r="D49"/>
  <c r="BX19" i="14"/>
  <c r="BT19"/>
  <c r="BP38" i="13"/>
  <c r="R39" i="12"/>
  <c r="BP34" i="13"/>
  <c r="BQ35"/>
  <c r="BO32"/>
  <c r="BO30"/>
  <c r="BN27"/>
  <c r="BO40"/>
  <c r="BQ40"/>
  <c r="BP40"/>
  <c r="BN37"/>
  <c r="BN38"/>
  <c r="BQ38"/>
  <c r="BP37"/>
  <c r="BO36"/>
  <c r="BQ34"/>
  <c r="BN34"/>
  <c r="BN35"/>
  <c r="BQ37"/>
  <c r="BP36"/>
  <c r="BO35"/>
  <c r="BN36"/>
  <c r="BP32"/>
  <c r="BO31"/>
  <c r="BQ32"/>
  <c r="BP31"/>
  <c r="BN31"/>
  <c r="BP28"/>
  <c r="BO27"/>
  <c r="BO26" s="1"/>
  <c r="BQ28"/>
  <c r="BP27"/>
  <c r="BP26" s="1"/>
  <c r="BO28"/>
  <c r="BT53"/>
  <c r="BQ27" i="14"/>
  <c r="D48" i="17"/>
  <c r="D50" i="18"/>
  <c r="D48"/>
  <c r="D50" i="20"/>
  <c r="D48"/>
  <c r="E47" i="18"/>
  <c r="E49" i="20"/>
  <c r="E47" i="19"/>
  <c r="H49" i="6"/>
  <c r="E50" i="18"/>
  <c r="E48" i="20"/>
  <c r="B43" i="23"/>
  <c r="E49" i="18"/>
  <c r="E49" i="19"/>
  <c r="E47" i="20"/>
  <c r="H47" i="6"/>
  <c r="E48" i="18"/>
  <c r="E50" i="20"/>
  <c r="BV21" i="14"/>
  <c r="H48" i="6"/>
  <c r="D47" i="17"/>
  <c r="D48" i="19"/>
  <c r="E47" i="17"/>
  <c r="E48" i="19"/>
  <c r="D47"/>
  <c r="BQ26" i="13"/>
  <c r="R19" i="12"/>
  <c r="R41"/>
  <c r="R45"/>
  <c r="BS6" i="14"/>
  <c r="BS9"/>
  <c r="BS13"/>
  <c r="BS19" s="1"/>
  <c r="BJ85" i="13"/>
  <c r="BJ105" s="1"/>
  <c r="BK85"/>
  <c r="BL85"/>
  <c r="BM85"/>
  <c r="BM105" s="1"/>
  <c r="BN85"/>
  <c r="BN105" s="1"/>
  <c r="BO85"/>
  <c r="BP85"/>
  <c r="BQ85"/>
  <c r="BQ105" s="1"/>
  <c r="BJ87"/>
  <c r="BK87"/>
  <c r="BL87"/>
  <c r="BM87"/>
  <c r="BN87"/>
  <c r="BO87"/>
  <c r="BP87"/>
  <c r="BQ87"/>
  <c r="BJ88"/>
  <c r="BK88"/>
  <c r="BL88"/>
  <c r="BM88"/>
  <c r="BN88"/>
  <c r="BO88"/>
  <c r="BP88"/>
  <c r="BQ88"/>
  <c r="BJ90"/>
  <c r="BK90"/>
  <c r="BL90"/>
  <c r="BM90"/>
  <c r="BN90"/>
  <c r="BO90"/>
  <c r="BP90"/>
  <c r="BQ90"/>
  <c r="BJ91"/>
  <c r="BK91"/>
  <c r="BL91"/>
  <c r="BM91"/>
  <c r="BN91"/>
  <c r="BO91"/>
  <c r="BP91"/>
  <c r="BQ91"/>
  <c r="BJ92"/>
  <c r="BK92"/>
  <c r="BL92"/>
  <c r="BM92"/>
  <c r="BN92"/>
  <c r="BO92"/>
  <c r="BP92"/>
  <c r="BQ92"/>
  <c r="BJ94"/>
  <c r="BK94"/>
  <c r="BL94"/>
  <c r="BM94"/>
  <c r="BN94"/>
  <c r="BO94"/>
  <c r="BP94"/>
  <c r="BQ94"/>
  <c r="BJ95"/>
  <c r="BK95"/>
  <c r="BL95"/>
  <c r="BM95"/>
  <c r="BN95"/>
  <c r="BO95"/>
  <c r="BP95"/>
  <c r="BQ95"/>
  <c r="BJ96"/>
  <c r="BK96"/>
  <c r="BL96"/>
  <c r="BM96"/>
  <c r="BN96"/>
  <c r="BO96"/>
  <c r="BP96"/>
  <c r="BQ96"/>
  <c r="BJ97"/>
  <c r="BK97"/>
  <c r="BL97"/>
  <c r="BM97"/>
  <c r="BN97"/>
  <c r="BO97"/>
  <c r="BP97"/>
  <c r="BQ97"/>
  <c r="BJ98"/>
  <c r="BK98"/>
  <c r="BL98"/>
  <c r="BM98"/>
  <c r="BN98"/>
  <c r="BO98"/>
  <c r="BP98"/>
  <c r="BQ98"/>
  <c r="BJ100"/>
  <c r="BK100"/>
  <c r="BL100"/>
  <c r="BM100"/>
  <c r="BN100"/>
  <c r="BO100"/>
  <c r="BP100"/>
  <c r="BQ100"/>
  <c r="BK105"/>
  <c r="BL105"/>
  <c r="BO105"/>
  <c r="BP105"/>
  <c r="BJ65"/>
  <c r="BK65"/>
  <c r="BL65"/>
  <c r="BM65"/>
  <c r="BN65"/>
  <c r="BO65"/>
  <c r="BP65"/>
  <c r="BQ65"/>
  <c r="BJ47"/>
  <c r="BK47"/>
  <c r="BL47"/>
  <c r="BM47"/>
  <c r="BN47"/>
  <c r="BO47"/>
  <c r="BP47"/>
  <c r="BQ47"/>
  <c r="BJ48"/>
  <c r="BK48"/>
  <c r="BL48"/>
  <c r="BM48"/>
  <c r="BN48"/>
  <c r="BO48"/>
  <c r="BP48"/>
  <c r="BQ48"/>
  <c r="BJ50"/>
  <c r="BK50"/>
  <c r="BL50"/>
  <c r="BM50"/>
  <c r="BN50"/>
  <c r="BO50"/>
  <c r="BP50"/>
  <c r="BQ50"/>
  <c r="BJ51"/>
  <c r="BK51"/>
  <c r="BL51"/>
  <c r="BM51"/>
  <c r="BN51"/>
  <c r="BO51"/>
  <c r="BP51"/>
  <c r="BQ51"/>
  <c r="BJ52"/>
  <c r="BK52"/>
  <c r="BL52"/>
  <c r="BM52"/>
  <c r="BN52"/>
  <c r="BO52"/>
  <c r="BP52"/>
  <c r="BQ52"/>
  <c r="BJ54"/>
  <c r="BK54"/>
  <c r="BL54"/>
  <c r="BM54"/>
  <c r="BN54"/>
  <c r="BO54"/>
  <c r="BP54"/>
  <c r="BQ54"/>
  <c r="BJ55"/>
  <c r="BK55"/>
  <c r="BL55"/>
  <c r="BM55"/>
  <c r="BN55"/>
  <c r="BO55"/>
  <c r="BP55"/>
  <c r="BQ55"/>
  <c r="BJ56"/>
  <c r="BK56"/>
  <c r="BL56"/>
  <c r="BM56"/>
  <c r="BN56"/>
  <c r="BO56"/>
  <c r="BP56"/>
  <c r="BQ56"/>
  <c r="BJ57"/>
  <c r="BK57"/>
  <c r="BL57"/>
  <c r="BM57"/>
  <c r="BN57"/>
  <c r="BO57"/>
  <c r="BP57"/>
  <c r="BQ57"/>
  <c r="BJ58"/>
  <c r="BK58"/>
  <c r="BL58"/>
  <c r="BM58"/>
  <c r="BN58"/>
  <c r="BO58"/>
  <c r="BP58"/>
  <c r="BQ58"/>
  <c r="BJ60"/>
  <c r="BK60"/>
  <c r="BL60"/>
  <c r="BM60"/>
  <c r="BN60"/>
  <c r="BO60"/>
  <c r="BP60"/>
  <c r="BQ60"/>
  <c r="BX25"/>
  <c r="BX45" s="1"/>
  <c r="BX65" s="1"/>
  <c r="BX85" s="1"/>
  <c r="BX105" s="1"/>
  <c r="BS25"/>
  <c r="M51" i="26"/>
  <c r="M52"/>
  <c r="M53"/>
  <c r="M54"/>
  <c r="M55"/>
  <c r="M56"/>
  <c r="V24"/>
  <c r="V25"/>
  <c r="V26"/>
  <c r="V27"/>
  <c r="V28"/>
  <c r="V29"/>
  <c r="V30"/>
  <c r="V31"/>
  <c r="V32"/>
  <c r="V33"/>
  <c r="V34"/>
  <c r="V35"/>
  <c r="V36"/>
  <c r="V37"/>
  <c r="V38"/>
  <c r="V23"/>
  <c r="W24"/>
  <c r="W25"/>
  <c r="W26"/>
  <c r="W27"/>
  <c r="W28"/>
  <c r="W29"/>
  <c r="W30"/>
  <c r="W31"/>
  <c r="W32"/>
  <c r="W33"/>
  <c r="W34"/>
  <c r="W35"/>
  <c r="W36"/>
  <c r="W37"/>
  <c r="W38"/>
  <c r="W23"/>
  <c r="C267"/>
  <c r="L267" s="1"/>
  <c r="D267"/>
  <c r="E267"/>
  <c r="F267"/>
  <c r="G267"/>
  <c r="H267"/>
  <c r="I267"/>
  <c r="J267"/>
  <c r="K267"/>
  <c r="C268"/>
  <c r="D268"/>
  <c r="E268"/>
  <c r="F268"/>
  <c r="G268"/>
  <c r="H268"/>
  <c r="I268"/>
  <c r="J268"/>
  <c r="K268"/>
  <c r="L268"/>
  <c r="C269"/>
  <c r="L269" s="1"/>
  <c r="D269"/>
  <c r="E269"/>
  <c r="F269"/>
  <c r="G269"/>
  <c r="H269"/>
  <c r="I269"/>
  <c r="J269"/>
  <c r="K269"/>
  <c r="C270"/>
  <c r="D270"/>
  <c r="E270"/>
  <c r="F270"/>
  <c r="G270"/>
  <c r="H270"/>
  <c r="I270"/>
  <c r="J270"/>
  <c r="K270"/>
  <c r="L270"/>
  <c r="C271"/>
  <c r="L271" s="1"/>
  <c r="D271"/>
  <c r="E271"/>
  <c r="F271"/>
  <c r="G271"/>
  <c r="H271"/>
  <c r="I271"/>
  <c r="J271"/>
  <c r="K271"/>
  <c r="C272"/>
  <c r="D272"/>
  <c r="E272"/>
  <c r="F272"/>
  <c r="G272"/>
  <c r="H272"/>
  <c r="I272"/>
  <c r="J272"/>
  <c r="K272"/>
  <c r="L272"/>
  <c r="C273"/>
  <c r="L273" s="1"/>
  <c r="D273"/>
  <c r="E273"/>
  <c r="F273"/>
  <c r="G273"/>
  <c r="H273"/>
  <c r="I273"/>
  <c r="J273"/>
  <c r="K273"/>
  <c r="C274"/>
  <c r="D274"/>
  <c r="E274"/>
  <c r="F274"/>
  <c r="G274"/>
  <c r="H274"/>
  <c r="I274"/>
  <c r="J274"/>
  <c r="K274"/>
  <c r="L274"/>
  <c r="C275"/>
  <c r="L275" s="1"/>
  <c r="D275"/>
  <c r="E275"/>
  <c r="F275"/>
  <c r="G275"/>
  <c r="H275"/>
  <c r="I275"/>
  <c r="J275"/>
  <c r="K275"/>
  <c r="C276"/>
  <c r="D276"/>
  <c r="E276"/>
  <c r="F276"/>
  <c r="G276"/>
  <c r="H276"/>
  <c r="I276"/>
  <c r="J276"/>
  <c r="K276"/>
  <c r="L276"/>
  <c r="C277"/>
  <c r="L277" s="1"/>
  <c r="D277"/>
  <c r="E277"/>
  <c r="F277"/>
  <c r="G277"/>
  <c r="H277"/>
  <c r="I277"/>
  <c r="J277"/>
  <c r="K277"/>
  <c r="C278"/>
  <c r="D278"/>
  <c r="E278"/>
  <c r="F278"/>
  <c r="G278"/>
  <c r="H278"/>
  <c r="I278"/>
  <c r="J278"/>
  <c r="K278"/>
  <c r="C279"/>
  <c r="D279"/>
  <c r="E279"/>
  <c r="F279"/>
  <c r="G279"/>
  <c r="H279"/>
  <c r="I279"/>
  <c r="J279"/>
  <c r="K279"/>
  <c r="C280"/>
  <c r="D280"/>
  <c r="E280"/>
  <c r="F280"/>
  <c r="G280"/>
  <c r="H280"/>
  <c r="I280"/>
  <c r="J280"/>
  <c r="K280"/>
  <c r="C281"/>
  <c r="D281"/>
  <c r="E281"/>
  <c r="F281"/>
  <c r="G281"/>
  <c r="H281"/>
  <c r="I281"/>
  <c r="J281"/>
  <c r="K281"/>
  <c r="L281"/>
  <c r="C282"/>
  <c r="D282"/>
  <c r="E282"/>
  <c r="F282"/>
  <c r="G282"/>
  <c r="H282"/>
  <c r="I282"/>
  <c r="J282"/>
  <c r="K282"/>
  <c r="L282"/>
  <c r="C284"/>
  <c r="D284"/>
  <c r="E284"/>
  <c r="F284"/>
  <c r="G284"/>
  <c r="H284"/>
  <c r="I284"/>
  <c r="J284"/>
  <c r="K284"/>
  <c r="L284" s="1"/>
  <c r="C285"/>
  <c r="L285" s="1"/>
  <c r="D285"/>
  <c r="E285"/>
  <c r="F285"/>
  <c r="G285"/>
  <c r="H285"/>
  <c r="I285"/>
  <c r="J285"/>
  <c r="K285"/>
  <c r="C286"/>
  <c r="D286"/>
  <c r="E286"/>
  <c r="F286"/>
  <c r="G286"/>
  <c r="H286"/>
  <c r="I286"/>
  <c r="J286"/>
  <c r="K286"/>
  <c r="L286"/>
  <c r="C287"/>
  <c r="L287" s="1"/>
  <c r="D287"/>
  <c r="E287"/>
  <c r="F287"/>
  <c r="G287"/>
  <c r="H287"/>
  <c r="I287"/>
  <c r="J287"/>
  <c r="K287"/>
  <c r="C288"/>
  <c r="D288"/>
  <c r="E288"/>
  <c r="F288"/>
  <c r="G288"/>
  <c r="H288"/>
  <c r="I288"/>
  <c r="J288"/>
  <c r="K288"/>
  <c r="L288"/>
  <c r="C289"/>
  <c r="L289" s="1"/>
  <c r="D289"/>
  <c r="E289"/>
  <c r="F289"/>
  <c r="G289"/>
  <c r="H289"/>
  <c r="I289"/>
  <c r="J289"/>
  <c r="K289"/>
  <c r="C290"/>
  <c r="D290"/>
  <c r="E290"/>
  <c r="F290"/>
  <c r="G290"/>
  <c r="H290"/>
  <c r="I290"/>
  <c r="J290"/>
  <c r="K290"/>
  <c r="L290"/>
  <c r="C291"/>
  <c r="L291" s="1"/>
  <c r="D291"/>
  <c r="E291"/>
  <c r="F291"/>
  <c r="G291"/>
  <c r="H291"/>
  <c r="I291"/>
  <c r="J291"/>
  <c r="K291"/>
  <c r="C292"/>
  <c r="D292"/>
  <c r="E292"/>
  <c r="F292"/>
  <c r="G292"/>
  <c r="H292"/>
  <c r="I292"/>
  <c r="J292"/>
  <c r="K292"/>
  <c r="L292"/>
  <c r="C293"/>
  <c r="L293" s="1"/>
  <c r="D293"/>
  <c r="E293"/>
  <c r="F293"/>
  <c r="G293"/>
  <c r="H293"/>
  <c r="I293"/>
  <c r="J293"/>
  <c r="K293"/>
  <c r="C294"/>
  <c r="D294"/>
  <c r="E294"/>
  <c r="F294"/>
  <c r="G294"/>
  <c r="H294"/>
  <c r="I294"/>
  <c r="J294"/>
  <c r="K294"/>
  <c r="L294"/>
  <c r="C295"/>
  <c r="L295" s="1"/>
  <c r="D295"/>
  <c r="E295"/>
  <c r="F295"/>
  <c r="G295"/>
  <c r="H295"/>
  <c r="I295"/>
  <c r="J295"/>
  <c r="K295"/>
  <c r="A282"/>
  <c r="A283"/>
  <c r="A284"/>
  <c r="C224"/>
  <c r="L224" s="1"/>
  <c r="D374" s="1"/>
  <c r="D224"/>
  <c r="E224"/>
  <c r="F224"/>
  <c r="G224"/>
  <c r="H224"/>
  <c r="I224"/>
  <c r="J224"/>
  <c r="K224"/>
  <c r="C225"/>
  <c r="D225"/>
  <c r="E225"/>
  <c r="F225"/>
  <c r="G225"/>
  <c r="H225"/>
  <c r="I225"/>
  <c r="L225" s="1"/>
  <c r="D375" s="1"/>
  <c r="J225"/>
  <c r="K225"/>
  <c r="C226"/>
  <c r="L226" s="1"/>
  <c r="D376" s="1"/>
  <c r="D226"/>
  <c r="E226"/>
  <c r="F226"/>
  <c r="G226"/>
  <c r="H226"/>
  <c r="I226"/>
  <c r="J226"/>
  <c r="K226"/>
  <c r="C227"/>
  <c r="D227"/>
  <c r="E227"/>
  <c r="F227"/>
  <c r="G227"/>
  <c r="H227"/>
  <c r="I227"/>
  <c r="L227" s="1"/>
  <c r="D377" s="1"/>
  <c r="J227"/>
  <c r="K227"/>
  <c r="C228"/>
  <c r="L228" s="1"/>
  <c r="D378" s="1"/>
  <c r="D228"/>
  <c r="E228"/>
  <c r="F228"/>
  <c r="G228"/>
  <c r="H228"/>
  <c r="I228"/>
  <c r="J228"/>
  <c r="K228"/>
  <c r="C229"/>
  <c r="D229"/>
  <c r="E229"/>
  <c r="F229"/>
  <c r="G229"/>
  <c r="H229"/>
  <c r="I229"/>
  <c r="L229" s="1"/>
  <c r="D379" s="1"/>
  <c r="J229"/>
  <c r="K229"/>
  <c r="C230"/>
  <c r="L230" s="1"/>
  <c r="D380" s="1"/>
  <c r="D230"/>
  <c r="E230"/>
  <c r="F230"/>
  <c r="G230"/>
  <c r="H230"/>
  <c r="I230"/>
  <c r="J230"/>
  <c r="K230"/>
  <c r="C231"/>
  <c r="D231"/>
  <c r="E231"/>
  <c r="F231"/>
  <c r="G231"/>
  <c r="H231"/>
  <c r="I231"/>
  <c r="L231" s="1"/>
  <c r="D381" s="1"/>
  <c r="J231"/>
  <c r="K231"/>
  <c r="C232"/>
  <c r="L232" s="1"/>
  <c r="D382" s="1"/>
  <c r="D232"/>
  <c r="E232"/>
  <c r="F232"/>
  <c r="G232"/>
  <c r="H232"/>
  <c r="I232"/>
  <c r="J232"/>
  <c r="K232"/>
  <c r="C233"/>
  <c r="D233"/>
  <c r="E233"/>
  <c r="L233" s="1"/>
  <c r="D383" s="1"/>
  <c r="F233"/>
  <c r="G233"/>
  <c r="H233"/>
  <c r="I233"/>
  <c r="J233"/>
  <c r="K233"/>
  <c r="C234"/>
  <c r="L234" s="1"/>
  <c r="D384" s="1"/>
  <c r="D234"/>
  <c r="E234"/>
  <c r="F234"/>
  <c r="G234"/>
  <c r="H234"/>
  <c r="I234"/>
  <c r="J234"/>
  <c r="K234"/>
  <c r="C235"/>
  <c r="D235"/>
  <c r="E235"/>
  <c r="F235"/>
  <c r="G235"/>
  <c r="H235"/>
  <c r="I235"/>
  <c r="J235"/>
  <c r="K235"/>
  <c r="C236"/>
  <c r="D236"/>
  <c r="E236"/>
  <c r="F236"/>
  <c r="G236"/>
  <c r="H236"/>
  <c r="I236"/>
  <c r="J236"/>
  <c r="K236"/>
  <c r="C237"/>
  <c r="C240" s="1"/>
  <c r="D237"/>
  <c r="D240" s="1"/>
  <c r="E237"/>
  <c r="E240" s="1"/>
  <c r="F237"/>
  <c r="F240" s="1"/>
  <c r="G237"/>
  <c r="G240" s="1"/>
  <c r="H237"/>
  <c r="H240" s="1"/>
  <c r="I237"/>
  <c r="I240" s="1"/>
  <c r="J237"/>
  <c r="J240" s="1"/>
  <c r="K237"/>
  <c r="K240" s="1"/>
  <c r="C136"/>
  <c r="D136"/>
  <c r="E136"/>
  <c r="L136" s="1"/>
  <c r="D356" s="1"/>
  <c r="F136"/>
  <c r="G136"/>
  <c r="H136"/>
  <c r="I136"/>
  <c r="J136"/>
  <c r="K136"/>
  <c r="C137"/>
  <c r="D137"/>
  <c r="E137"/>
  <c r="F137"/>
  <c r="G137"/>
  <c r="H137"/>
  <c r="I137"/>
  <c r="J137"/>
  <c r="K137"/>
  <c r="L137"/>
  <c r="D357" s="1"/>
  <c r="C138"/>
  <c r="D138"/>
  <c r="E138"/>
  <c r="L138" s="1"/>
  <c r="D358" s="1"/>
  <c r="F138"/>
  <c r="G138"/>
  <c r="H138"/>
  <c r="I138"/>
  <c r="J138"/>
  <c r="K138"/>
  <c r="C139"/>
  <c r="D139"/>
  <c r="E139"/>
  <c r="F139"/>
  <c r="G139"/>
  <c r="H139"/>
  <c r="I139"/>
  <c r="J139"/>
  <c r="K139"/>
  <c r="L139"/>
  <c r="D359" s="1"/>
  <c r="C140"/>
  <c r="D140"/>
  <c r="E140"/>
  <c r="L140" s="1"/>
  <c r="D360" s="1"/>
  <c r="F140"/>
  <c r="G140"/>
  <c r="H140"/>
  <c r="I140"/>
  <c r="J140"/>
  <c r="K140"/>
  <c r="C141"/>
  <c r="D141"/>
  <c r="E141"/>
  <c r="F141"/>
  <c r="G141"/>
  <c r="H141"/>
  <c r="I141"/>
  <c r="J141"/>
  <c r="K141"/>
  <c r="L141"/>
  <c r="D361" s="1"/>
  <c r="C142"/>
  <c r="D142"/>
  <c r="E142"/>
  <c r="L142" s="1"/>
  <c r="D362" s="1"/>
  <c r="F142"/>
  <c r="G142"/>
  <c r="H142"/>
  <c r="I142"/>
  <c r="J142"/>
  <c r="K142"/>
  <c r="C143"/>
  <c r="D143"/>
  <c r="E143"/>
  <c r="F143"/>
  <c r="G143"/>
  <c r="H143"/>
  <c r="I143"/>
  <c r="J143"/>
  <c r="K143"/>
  <c r="L143"/>
  <c r="D363" s="1"/>
  <c r="C144"/>
  <c r="D144"/>
  <c r="E144"/>
  <c r="L144" s="1"/>
  <c r="D364" s="1"/>
  <c r="F144"/>
  <c r="G144"/>
  <c r="H144"/>
  <c r="I144"/>
  <c r="J144"/>
  <c r="K144"/>
  <c r="C145"/>
  <c r="D145"/>
  <c r="E145"/>
  <c r="F145"/>
  <c r="G145"/>
  <c r="H145"/>
  <c r="I145"/>
  <c r="J145"/>
  <c r="K145"/>
  <c r="L145"/>
  <c r="D365" s="1"/>
  <c r="C146"/>
  <c r="D146"/>
  <c r="E146"/>
  <c r="L146" s="1"/>
  <c r="D366" s="1"/>
  <c r="F146"/>
  <c r="G146"/>
  <c r="H146"/>
  <c r="I146"/>
  <c r="J146"/>
  <c r="K146"/>
  <c r="C147"/>
  <c r="D147"/>
  <c r="E147"/>
  <c r="F147"/>
  <c r="G147"/>
  <c r="H147"/>
  <c r="I147"/>
  <c r="J147"/>
  <c r="K147"/>
  <c r="L147" s="1"/>
  <c r="D367" s="1"/>
  <c r="C148"/>
  <c r="D148"/>
  <c r="E148"/>
  <c r="F148"/>
  <c r="G148"/>
  <c r="H148"/>
  <c r="I148"/>
  <c r="J148"/>
  <c r="K148"/>
  <c r="C149"/>
  <c r="D149"/>
  <c r="E149"/>
  <c r="F149"/>
  <c r="G149"/>
  <c r="H149"/>
  <c r="I149"/>
  <c r="J149"/>
  <c r="K149"/>
  <c r="C150"/>
  <c r="D150"/>
  <c r="E150"/>
  <c r="F150"/>
  <c r="G150"/>
  <c r="H150"/>
  <c r="I150"/>
  <c r="J150"/>
  <c r="K150"/>
  <c r="V118"/>
  <c r="W118"/>
  <c r="V119"/>
  <c r="W119"/>
  <c r="V120"/>
  <c r="W120"/>
  <c r="V121"/>
  <c r="W121"/>
  <c r="V122"/>
  <c r="W122"/>
  <c r="V123"/>
  <c r="W123"/>
  <c r="V124"/>
  <c r="W124"/>
  <c r="V125"/>
  <c r="W125"/>
  <c r="V126"/>
  <c r="W126"/>
  <c r="V127"/>
  <c r="W127"/>
  <c r="V128"/>
  <c r="W128"/>
  <c r="V129"/>
  <c r="W129"/>
  <c r="V130"/>
  <c r="W130"/>
  <c r="V131"/>
  <c r="W131"/>
  <c r="V132"/>
  <c r="W132"/>
  <c r="A132"/>
  <c r="BQ29" i="13" l="1"/>
  <c r="BO33"/>
  <c r="BP29"/>
  <c r="BP39" s="1"/>
  <c r="BO29"/>
  <c r="BO39" s="1"/>
  <c r="BO41" s="1"/>
  <c r="BP33"/>
  <c r="BU21" i="14"/>
  <c r="BQ33" i="13"/>
  <c r="BQ39" s="1"/>
  <c r="R170" i="12"/>
  <c r="R174"/>
  <c r="R178"/>
  <c r="R169"/>
  <c r="R173"/>
  <c r="R177"/>
  <c r="R181"/>
  <c r="R168"/>
  <c r="R172"/>
  <c r="R176"/>
  <c r="R180"/>
  <c r="R167"/>
  <c r="R171"/>
  <c r="R175"/>
  <c r="R179"/>
  <c r="R166"/>
  <c r="R58"/>
  <c r="BT49" i="13"/>
  <c r="BT46"/>
  <c r="BQ66"/>
  <c r="BX21" i="14"/>
  <c r="BT21"/>
  <c r="R21" i="12"/>
  <c r="L150" i="26"/>
  <c r="D370" s="1"/>
  <c r="L280"/>
  <c r="L149"/>
  <c r="D369" s="1"/>
  <c r="L279"/>
  <c r="L237"/>
  <c r="L148"/>
  <c r="D368" s="1"/>
  <c r="L236"/>
  <c r="D386" s="1"/>
  <c r="L278"/>
  <c r="L235"/>
  <c r="D385" s="1"/>
  <c r="BS21" i="14" l="1"/>
  <c r="BT59" i="13"/>
  <c r="BP41"/>
  <c r="BQ41"/>
  <c r="R60" i="12"/>
  <c r="BT61" i="13"/>
  <c r="L240" i="26"/>
  <c r="D387"/>
  <c r="C60" l="1"/>
  <c r="C61"/>
  <c r="C62"/>
  <c r="C63"/>
  <c r="C64"/>
  <c r="C65"/>
  <c r="C66"/>
  <c r="C67"/>
  <c r="C68"/>
  <c r="C69"/>
  <c r="C70"/>
  <c r="C71"/>
  <c r="C72"/>
  <c r="C73"/>
  <c r="C74"/>
  <c r="X25"/>
  <c r="X26"/>
  <c r="X27"/>
  <c r="X28"/>
  <c r="X29"/>
  <c r="X30"/>
  <c r="X31"/>
  <c r="X32"/>
  <c r="X33"/>
  <c r="X34"/>
  <c r="X35"/>
  <c r="X36"/>
  <c r="X38"/>
  <c r="V5"/>
  <c r="W5"/>
  <c r="V6"/>
  <c r="W6"/>
  <c r="V7"/>
  <c r="W7"/>
  <c r="V8"/>
  <c r="W8"/>
  <c r="V9"/>
  <c r="W9"/>
  <c r="V10"/>
  <c r="W10"/>
  <c r="V11"/>
  <c r="W11"/>
  <c r="V12"/>
  <c r="W12"/>
  <c r="V13"/>
  <c r="W13"/>
  <c r="V14"/>
  <c r="W14"/>
  <c r="V15"/>
  <c r="W15"/>
  <c r="V16"/>
  <c r="W16"/>
  <c r="V17"/>
  <c r="W17"/>
  <c r="V18"/>
  <c r="W18"/>
  <c r="V19"/>
  <c r="Y19" s="1"/>
  <c r="W19"/>
  <c r="Z19" l="1"/>
  <c r="X19"/>
  <c r="C52"/>
  <c r="I104"/>
  <c r="D104"/>
  <c r="H104"/>
  <c r="F104"/>
  <c r="C104"/>
  <c r="G104"/>
  <c r="K104"/>
  <c r="J104"/>
  <c r="E104"/>
  <c r="D50"/>
  <c r="N50" s="1"/>
  <c r="K102"/>
  <c r="F102"/>
  <c r="J102"/>
  <c r="H102"/>
  <c r="C102"/>
  <c r="E102"/>
  <c r="I102"/>
  <c r="D102"/>
  <c r="G102"/>
  <c r="C48"/>
  <c r="I100"/>
  <c r="D100"/>
  <c r="H100"/>
  <c r="F100"/>
  <c r="C100"/>
  <c r="G100"/>
  <c r="K100"/>
  <c r="J100"/>
  <c r="E100"/>
  <c r="D46"/>
  <c r="N46" s="1"/>
  <c r="K98"/>
  <c r="F98"/>
  <c r="J98"/>
  <c r="D98"/>
  <c r="C98"/>
  <c r="E98"/>
  <c r="I98"/>
  <c r="H98"/>
  <c r="G98"/>
  <c r="C44"/>
  <c r="J96"/>
  <c r="E96"/>
  <c r="D96"/>
  <c r="H96"/>
  <c r="F96"/>
  <c r="I96"/>
  <c r="C96"/>
  <c r="G96"/>
  <c r="K96"/>
  <c r="D42"/>
  <c r="N42" s="1"/>
  <c r="H94"/>
  <c r="C94"/>
  <c r="G94"/>
  <c r="K94"/>
  <c r="F94"/>
  <c r="J94"/>
  <c r="D94"/>
  <c r="E94"/>
  <c r="I94"/>
  <c r="C53"/>
  <c r="E105"/>
  <c r="H105"/>
  <c r="C105"/>
  <c r="G105"/>
  <c r="K105"/>
  <c r="I105"/>
  <c r="D105"/>
  <c r="F105"/>
  <c r="J105"/>
  <c r="D51"/>
  <c r="N51" s="1"/>
  <c r="G103"/>
  <c r="J103"/>
  <c r="E103"/>
  <c r="I103"/>
  <c r="F103"/>
  <c r="D103"/>
  <c r="H103"/>
  <c r="C103"/>
  <c r="L103" s="1"/>
  <c r="C365" s="1"/>
  <c r="K103"/>
  <c r="C49"/>
  <c r="E101"/>
  <c r="H101"/>
  <c r="C101"/>
  <c r="G101"/>
  <c r="K101"/>
  <c r="I101"/>
  <c r="D101"/>
  <c r="F101"/>
  <c r="J101"/>
  <c r="D47"/>
  <c r="N47" s="1"/>
  <c r="C99"/>
  <c r="J99"/>
  <c r="E99"/>
  <c r="I99"/>
  <c r="G99"/>
  <c r="F99"/>
  <c r="D99"/>
  <c r="H99"/>
  <c r="K99"/>
  <c r="C45"/>
  <c r="H97"/>
  <c r="D97"/>
  <c r="C97"/>
  <c r="G97"/>
  <c r="K97"/>
  <c r="E97"/>
  <c r="F97"/>
  <c r="J97"/>
  <c r="I97"/>
  <c r="D43"/>
  <c r="N43" s="1"/>
  <c r="F95"/>
  <c r="E95"/>
  <c r="I95"/>
  <c r="G95"/>
  <c r="D95"/>
  <c r="H95"/>
  <c r="C95"/>
  <c r="K95"/>
  <c r="J95"/>
  <c r="X37"/>
  <c r="C56"/>
  <c r="C108"/>
  <c r="E108"/>
  <c r="G108"/>
  <c r="I108"/>
  <c r="K108"/>
  <c r="D108"/>
  <c r="F108"/>
  <c r="H108"/>
  <c r="J108"/>
  <c r="D55"/>
  <c r="N55" s="1"/>
  <c r="D107"/>
  <c r="F107"/>
  <c r="H107"/>
  <c r="J107"/>
  <c r="C107"/>
  <c r="E107"/>
  <c r="G107"/>
  <c r="I107"/>
  <c r="K107"/>
  <c r="D54"/>
  <c r="N54" s="1"/>
  <c r="D106"/>
  <c r="F106"/>
  <c r="H106"/>
  <c r="J106"/>
  <c r="C106"/>
  <c r="E106"/>
  <c r="G106"/>
  <c r="I106"/>
  <c r="K106"/>
  <c r="C77"/>
  <c r="J56"/>
  <c r="T56" s="1"/>
  <c r="H56"/>
  <c r="R56" s="1"/>
  <c r="F56"/>
  <c r="P56" s="1"/>
  <c r="D56"/>
  <c r="N56" s="1"/>
  <c r="K55"/>
  <c r="U55" s="1"/>
  <c r="I55"/>
  <c r="S55" s="1"/>
  <c r="G55"/>
  <c r="Q55" s="1"/>
  <c r="E55"/>
  <c r="O55" s="1"/>
  <c r="C55"/>
  <c r="K54"/>
  <c r="U54" s="1"/>
  <c r="I54"/>
  <c r="S54" s="1"/>
  <c r="G54"/>
  <c r="Q54" s="1"/>
  <c r="E54"/>
  <c r="O54" s="1"/>
  <c r="C54"/>
  <c r="J53"/>
  <c r="T53" s="1"/>
  <c r="H53"/>
  <c r="R53" s="1"/>
  <c r="F53"/>
  <c r="P53" s="1"/>
  <c r="D53"/>
  <c r="N53" s="1"/>
  <c r="J52"/>
  <c r="T52" s="1"/>
  <c r="H52"/>
  <c r="R52" s="1"/>
  <c r="F52"/>
  <c r="P52" s="1"/>
  <c r="D52"/>
  <c r="N52" s="1"/>
  <c r="K51"/>
  <c r="U51" s="1"/>
  <c r="I51"/>
  <c r="S51" s="1"/>
  <c r="G51"/>
  <c r="Q51" s="1"/>
  <c r="E51"/>
  <c r="O51" s="1"/>
  <c r="C51"/>
  <c r="K50"/>
  <c r="U50" s="1"/>
  <c r="I50"/>
  <c r="S50" s="1"/>
  <c r="G50"/>
  <c r="Q50" s="1"/>
  <c r="E50"/>
  <c r="O50" s="1"/>
  <c r="C50"/>
  <c r="J49"/>
  <c r="T49" s="1"/>
  <c r="H49"/>
  <c r="R49" s="1"/>
  <c r="F49"/>
  <c r="P49" s="1"/>
  <c r="D49"/>
  <c r="N49" s="1"/>
  <c r="J48"/>
  <c r="T48" s="1"/>
  <c r="H48"/>
  <c r="R48" s="1"/>
  <c r="F48"/>
  <c r="P48" s="1"/>
  <c r="D48"/>
  <c r="N48" s="1"/>
  <c r="K47"/>
  <c r="U47" s="1"/>
  <c r="I47"/>
  <c r="S47" s="1"/>
  <c r="G47"/>
  <c r="Q47" s="1"/>
  <c r="E47"/>
  <c r="O47" s="1"/>
  <c r="C47"/>
  <c r="K46"/>
  <c r="U46" s="1"/>
  <c r="I46"/>
  <c r="S46" s="1"/>
  <c r="G46"/>
  <c r="Q46" s="1"/>
  <c r="E46"/>
  <c r="O46" s="1"/>
  <c r="C46"/>
  <c r="J45"/>
  <c r="T45" s="1"/>
  <c r="H45"/>
  <c r="R45" s="1"/>
  <c r="F45"/>
  <c r="P45" s="1"/>
  <c r="D45"/>
  <c r="N45" s="1"/>
  <c r="J44"/>
  <c r="T44" s="1"/>
  <c r="H44"/>
  <c r="R44" s="1"/>
  <c r="F44"/>
  <c r="P44" s="1"/>
  <c r="D44"/>
  <c r="N44" s="1"/>
  <c r="K43"/>
  <c r="U43" s="1"/>
  <c r="I43"/>
  <c r="S43" s="1"/>
  <c r="G43"/>
  <c r="Q43" s="1"/>
  <c r="E43"/>
  <c r="O43" s="1"/>
  <c r="C43"/>
  <c r="K42"/>
  <c r="U42" s="1"/>
  <c r="I42"/>
  <c r="S42" s="1"/>
  <c r="G42"/>
  <c r="Q42" s="1"/>
  <c r="E42"/>
  <c r="O42" s="1"/>
  <c r="C42"/>
  <c r="J74"/>
  <c r="H74"/>
  <c r="F74"/>
  <c r="D74"/>
  <c r="J73"/>
  <c r="H73"/>
  <c r="F73"/>
  <c r="D73"/>
  <c r="J72"/>
  <c r="H72"/>
  <c r="F72"/>
  <c r="D72"/>
  <c r="J71"/>
  <c r="H71"/>
  <c r="F71"/>
  <c r="D71"/>
  <c r="J70"/>
  <c r="H70"/>
  <c r="F70"/>
  <c r="D70"/>
  <c r="J69"/>
  <c r="H69"/>
  <c r="F69"/>
  <c r="D69"/>
  <c r="J68"/>
  <c r="H68"/>
  <c r="F68"/>
  <c r="D68"/>
  <c r="J67"/>
  <c r="H67"/>
  <c r="F67"/>
  <c r="D67"/>
  <c r="J66"/>
  <c r="H66"/>
  <c r="F66"/>
  <c r="D66"/>
  <c r="J65"/>
  <c r="H65"/>
  <c r="F65"/>
  <c r="D65"/>
  <c r="J64"/>
  <c r="H64"/>
  <c r="F64"/>
  <c r="D64"/>
  <c r="J63"/>
  <c r="H63"/>
  <c r="F63"/>
  <c r="D63"/>
  <c r="J62"/>
  <c r="H62"/>
  <c r="F62"/>
  <c r="D62"/>
  <c r="J61"/>
  <c r="H61"/>
  <c r="F61"/>
  <c r="D61"/>
  <c r="J60"/>
  <c r="J77" s="1"/>
  <c r="H60"/>
  <c r="H77" s="1"/>
  <c r="F60"/>
  <c r="F77" s="1"/>
  <c r="D60"/>
  <c r="D77" s="1"/>
  <c r="K56"/>
  <c r="U56" s="1"/>
  <c r="I56"/>
  <c r="S56" s="1"/>
  <c r="G56"/>
  <c r="Q56" s="1"/>
  <c r="E56"/>
  <c r="O56" s="1"/>
  <c r="J55"/>
  <c r="T55" s="1"/>
  <c r="H55"/>
  <c r="R55" s="1"/>
  <c r="F55"/>
  <c r="P55" s="1"/>
  <c r="J54"/>
  <c r="T54" s="1"/>
  <c r="H54"/>
  <c r="R54" s="1"/>
  <c r="F54"/>
  <c r="P54" s="1"/>
  <c r="K53"/>
  <c r="U53" s="1"/>
  <c r="I53"/>
  <c r="S53" s="1"/>
  <c r="G53"/>
  <c r="Q53" s="1"/>
  <c r="E53"/>
  <c r="O53" s="1"/>
  <c r="K52"/>
  <c r="U52" s="1"/>
  <c r="I52"/>
  <c r="S52" s="1"/>
  <c r="G52"/>
  <c r="Q52" s="1"/>
  <c r="E52"/>
  <c r="O52" s="1"/>
  <c r="J51"/>
  <c r="T51" s="1"/>
  <c r="H51"/>
  <c r="R51" s="1"/>
  <c r="F51"/>
  <c r="P51" s="1"/>
  <c r="J50"/>
  <c r="T50" s="1"/>
  <c r="H50"/>
  <c r="R50" s="1"/>
  <c r="F50"/>
  <c r="P50" s="1"/>
  <c r="K49"/>
  <c r="U49" s="1"/>
  <c r="I49"/>
  <c r="S49" s="1"/>
  <c r="G49"/>
  <c r="Q49" s="1"/>
  <c r="E49"/>
  <c r="O49" s="1"/>
  <c r="K48"/>
  <c r="U48" s="1"/>
  <c r="I48"/>
  <c r="S48" s="1"/>
  <c r="G48"/>
  <c r="Q48" s="1"/>
  <c r="E48"/>
  <c r="O48" s="1"/>
  <c r="J47"/>
  <c r="T47" s="1"/>
  <c r="H47"/>
  <c r="R47" s="1"/>
  <c r="F47"/>
  <c r="P47" s="1"/>
  <c r="J46"/>
  <c r="T46" s="1"/>
  <c r="H46"/>
  <c r="R46" s="1"/>
  <c r="F46"/>
  <c r="P46" s="1"/>
  <c r="K45"/>
  <c r="U45" s="1"/>
  <c r="I45"/>
  <c r="S45" s="1"/>
  <c r="G45"/>
  <c r="Q45" s="1"/>
  <c r="E45"/>
  <c r="O45" s="1"/>
  <c r="K44"/>
  <c r="U44" s="1"/>
  <c r="I44"/>
  <c r="S44" s="1"/>
  <c r="G44"/>
  <c r="Q44" s="1"/>
  <c r="E44"/>
  <c r="O44" s="1"/>
  <c r="J43"/>
  <c r="T43" s="1"/>
  <c r="H43"/>
  <c r="R43" s="1"/>
  <c r="F43"/>
  <c r="P43" s="1"/>
  <c r="J42"/>
  <c r="T42" s="1"/>
  <c r="H42"/>
  <c r="R42" s="1"/>
  <c r="F42"/>
  <c r="P42" s="1"/>
  <c r="K74"/>
  <c r="I74"/>
  <c r="G74"/>
  <c r="E74"/>
  <c r="K73"/>
  <c r="I73"/>
  <c r="G73"/>
  <c r="E73"/>
  <c r="K72"/>
  <c r="I72"/>
  <c r="G72"/>
  <c r="E72"/>
  <c r="K71"/>
  <c r="I71"/>
  <c r="G71"/>
  <c r="E71"/>
  <c r="K70"/>
  <c r="I70"/>
  <c r="G70"/>
  <c r="E70"/>
  <c r="K69"/>
  <c r="I69"/>
  <c r="G69"/>
  <c r="E69"/>
  <c r="K68"/>
  <c r="I68"/>
  <c r="G68"/>
  <c r="E68"/>
  <c r="K67"/>
  <c r="I67"/>
  <c r="G67"/>
  <c r="E67"/>
  <c r="K66"/>
  <c r="I66"/>
  <c r="G66"/>
  <c r="E66"/>
  <c r="K65"/>
  <c r="I65"/>
  <c r="G65"/>
  <c r="E65"/>
  <c r="K64"/>
  <c r="I64"/>
  <c r="G64"/>
  <c r="E64"/>
  <c r="K63"/>
  <c r="I63"/>
  <c r="G63"/>
  <c r="E63"/>
  <c r="K62"/>
  <c r="I62"/>
  <c r="G62"/>
  <c r="E62"/>
  <c r="K61"/>
  <c r="I61"/>
  <c r="G61"/>
  <c r="E61"/>
  <c r="K60"/>
  <c r="K77" s="1"/>
  <c r="I60"/>
  <c r="I77" s="1"/>
  <c r="G60"/>
  <c r="G77" s="1"/>
  <c r="E60"/>
  <c r="E77" s="1"/>
  <c r="A88" i="23"/>
  <c r="A46" i="18"/>
  <c r="A43" i="17"/>
  <c r="BM87" i="14"/>
  <c r="BM88"/>
  <c r="BM91"/>
  <c r="BM92"/>
  <c r="BM94"/>
  <c r="BM95"/>
  <c r="BM96"/>
  <c r="BM97"/>
  <c r="BM98"/>
  <c r="BM100"/>
  <c r="M46" i="26" l="1"/>
  <c r="B360"/>
  <c r="V45"/>
  <c r="M43"/>
  <c r="B357"/>
  <c r="B365"/>
  <c r="L97"/>
  <c r="C359" s="1"/>
  <c r="L99"/>
  <c r="C361" s="1"/>
  <c r="L101"/>
  <c r="C363" s="1"/>
  <c r="L105"/>
  <c r="C367" s="1"/>
  <c r="L96"/>
  <c r="C358" s="1"/>
  <c r="L98"/>
  <c r="C360" s="1"/>
  <c r="L102"/>
  <c r="C364" s="1"/>
  <c r="M42"/>
  <c r="B356"/>
  <c r="M50"/>
  <c r="B364"/>
  <c r="M45"/>
  <c r="B359"/>
  <c r="M49"/>
  <c r="B363"/>
  <c r="V53"/>
  <c r="B367"/>
  <c r="M44"/>
  <c r="V44" s="1"/>
  <c r="B358"/>
  <c r="M48"/>
  <c r="B362"/>
  <c r="V52"/>
  <c r="B366"/>
  <c r="V48"/>
  <c r="V49"/>
  <c r="L94"/>
  <c r="C356" s="1"/>
  <c r="M47"/>
  <c r="B361"/>
  <c r="L95"/>
  <c r="C357" s="1"/>
  <c r="L100"/>
  <c r="C362" s="1"/>
  <c r="L104"/>
  <c r="C366" s="1"/>
  <c r="H81" a="1"/>
  <c r="H87" s="1"/>
  <c r="L74"/>
  <c r="L62"/>
  <c r="L63"/>
  <c r="L64"/>
  <c r="L65"/>
  <c r="L66"/>
  <c r="L67"/>
  <c r="L68"/>
  <c r="L69"/>
  <c r="L70"/>
  <c r="L71"/>
  <c r="L73"/>
  <c r="E81" a="1"/>
  <c r="G81" a="1"/>
  <c r="D81" a="1"/>
  <c r="F81" a="1"/>
  <c r="L72"/>
  <c r="L108"/>
  <c r="C370" s="1"/>
  <c r="V56"/>
  <c r="E370" s="1"/>
  <c r="B370"/>
  <c r="L107"/>
  <c r="C369" s="1"/>
  <c r="V55"/>
  <c r="B369"/>
  <c r="L106"/>
  <c r="C368" s="1"/>
  <c r="B368"/>
  <c r="V43"/>
  <c r="V47"/>
  <c r="V51"/>
  <c r="V42"/>
  <c r="V46"/>
  <c r="V50"/>
  <c r="V54"/>
  <c r="L60"/>
  <c r="L61"/>
  <c r="W52" l="1"/>
  <c r="E366"/>
  <c r="W53"/>
  <c r="E367"/>
  <c r="W44"/>
  <c r="E358"/>
  <c r="W46"/>
  <c r="E360"/>
  <c r="W43"/>
  <c r="E357"/>
  <c r="W48"/>
  <c r="E362"/>
  <c r="W50"/>
  <c r="E364"/>
  <c r="W47"/>
  <c r="E361"/>
  <c r="W49"/>
  <c r="E363"/>
  <c r="W45"/>
  <c r="E359"/>
  <c r="W56"/>
  <c r="W42"/>
  <c r="E356"/>
  <c r="W51"/>
  <c r="E365"/>
  <c r="H82"/>
  <c r="H83"/>
  <c r="H85"/>
  <c r="H84"/>
  <c r="H89"/>
  <c r="H86"/>
  <c r="H88"/>
  <c r="H81"/>
  <c r="F84"/>
  <c r="F82"/>
  <c r="F89"/>
  <c r="F85"/>
  <c r="F81"/>
  <c r="F88"/>
  <c r="F86"/>
  <c r="F87"/>
  <c r="F83"/>
  <c r="G81"/>
  <c r="G86"/>
  <c r="G88"/>
  <c r="G89"/>
  <c r="G85"/>
  <c r="G82"/>
  <c r="G84"/>
  <c r="G87"/>
  <c r="G83"/>
  <c r="D82"/>
  <c r="D86"/>
  <c r="D81"/>
  <c r="D85"/>
  <c r="D89"/>
  <c r="D84"/>
  <c r="D88"/>
  <c r="D83"/>
  <c r="D87"/>
  <c r="E82"/>
  <c r="E84"/>
  <c r="E89"/>
  <c r="E85"/>
  <c r="E81"/>
  <c r="E86"/>
  <c r="E88"/>
  <c r="E87"/>
  <c r="E83"/>
  <c r="W55"/>
  <c r="E369"/>
  <c r="W54"/>
  <c r="E368"/>
  <c r="BM48" i="14"/>
  <c r="BM50"/>
  <c r="BM51"/>
  <c r="BM52"/>
  <c r="BM54"/>
  <c r="BM55"/>
  <c r="BM56"/>
  <c r="BM57"/>
  <c r="BM58"/>
  <c r="BM60"/>
  <c r="BR6"/>
  <c r="BR9"/>
  <c r="BR13"/>
  <c r="BR25"/>
  <c r="BN35"/>
  <c r="BN36"/>
  <c r="BN37"/>
  <c r="BN38"/>
  <c r="BN34"/>
  <c r="BN31"/>
  <c r="BN32"/>
  <c r="BN30"/>
  <c r="BN28"/>
  <c r="BN27"/>
  <c r="BR25" i="13"/>
  <c r="BP25" i="14"/>
  <c r="BQ25"/>
  <c r="A36" i="23"/>
  <c r="A85" s="1"/>
  <c r="A37"/>
  <c r="A86" s="1"/>
  <c r="A38"/>
  <c r="A87" s="1"/>
  <c r="A24" i="21"/>
  <c r="A25"/>
  <c r="A26"/>
  <c r="A27"/>
  <c r="A28"/>
  <c r="A29"/>
  <c r="A30"/>
  <c r="A31"/>
  <c r="A32"/>
  <c r="A33"/>
  <c r="A34"/>
  <c r="A35"/>
  <c r="A23"/>
  <c r="A12" i="20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1"/>
  <c r="A12" i="19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1"/>
  <c r="A12" i="18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11"/>
  <c r="A12" i="17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11"/>
  <c r="AH25" i="13"/>
  <c r="AI25"/>
  <c r="AJ25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BJ25"/>
  <c r="BK25"/>
  <c r="BL25"/>
  <c r="BM25"/>
  <c r="BM45" s="1"/>
  <c r="BN25"/>
  <c r="BN45" s="1"/>
  <c r="BO25"/>
  <c r="BO45" s="1"/>
  <c r="BP25"/>
  <c r="BP45" s="1"/>
  <c r="BQ25"/>
  <c r="BQ45" s="1"/>
  <c r="D46" i="6"/>
  <c r="E46"/>
  <c r="BQ13" i="14"/>
  <c r="BQ9"/>
  <c r="BQ6"/>
  <c r="BQ13" i="13"/>
  <c r="BQ9"/>
  <c r="BQ6"/>
  <c r="J142" i="4"/>
  <c r="B38" i="21" l="1"/>
  <c r="BR19" i="14"/>
  <c r="BQ19"/>
  <c r="BR53"/>
  <c r="BS53"/>
  <c r="BR49"/>
  <c r="BS49"/>
  <c r="BR46"/>
  <c r="BS46"/>
  <c r="BR93" i="13"/>
  <c r="BR53"/>
  <c r="BS53"/>
  <c r="BR49"/>
  <c r="BS49"/>
  <c r="BR46"/>
  <c r="BS46"/>
  <c r="D46" i="20"/>
  <c r="B42" i="23"/>
  <c r="E46" i="20"/>
  <c r="D46" i="19"/>
  <c r="D46" i="17"/>
  <c r="E46"/>
  <c r="E46" i="19"/>
  <c r="H46" i="6"/>
  <c r="BO36" i="14"/>
  <c r="BO76" i="13"/>
  <c r="BO28" i="14"/>
  <c r="BO68" i="13"/>
  <c r="BP36" i="14"/>
  <c r="BP76" i="13"/>
  <c r="BO35" i="14"/>
  <c r="BO75" i="13"/>
  <c r="BQ28" i="14"/>
  <c r="BQ68" i="13"/>
  <c r="BP27" i="14"/>
  <c r="BP67" i="13"/>
  <c r="BQ31" i="14"/>
  <c r="BQ71" i="13"/>
  <c r="BP30" i="14"/>
  <c r="BP70" i="13"/>
  <c r="BP38" i="14"/>
  <c r="BP78" i="13"/>
  <c r="BO37" i="14"/>
  <c r="BO77" i="13"/>
  <c r="BQ35" i="14"/>
  <c r="BQ75" i="13"/>
  <c r="BP34" i="14"/>
  <c r="BP74" i="13"/>
  <c r="BN33" i="14"/>
  <c r="BN29"/>
  <c r="BQ67" i="13"/>
  <c r="BO32" i="14"/>
  <c r="BO72" i="13"/>
  <c r="BQ30" i="14"/>
  <c r="BQ70" i="13"/>
  <c r="BQ38" i="14"/>
  <c r="BQ78" i="13"/>
  <c r="BP37" i="14"/>
  <c r="BP77" i="13"/>
  <c r="BQ34" i="14"/>
  <c r="BQ74" i="13"/>
  <c r="BP32" i="14"/>
  <c r="BP72" i="13"/>
  <c r="BO31" i="14"/>
  <c r="BO71" i="13"/>
  <c r="BQ37" i="14"/>
  <c r="BQ77" i="13"/>
  <c r="BP28" i="14"/>
  <c r="BP68" i="13"/>
  <c r="BO27" i="14"/>
  <c r="BO67" i="13"/>
  <c r="BQ32" i="14"/>
  <c r="BQ72" i="13"/>
  <c r="BP31" i="14"/>
  <c r="BP71" i="13"/>
  <c r="BO30" i="14"/>
  <c r="BO70" i="13"/>
  <c r="BO38" i="14"/>
  <c r="BO78" i="13"/>
  <c r="BQ36" i="14"/>
  <c r="BQ76" i="13"/>
  <c r="BP35" i="14"/>
  <c r="BP75" i="13"/>
  <c r="BO34" i="14"/>
  <c r="BO74" i="13"/>
  <c r="BN26" i="14"/>
  <c r="D46" i="18"/>
  <c r="E46"/>
  <c r="BQ19" i="13"/>
  <c r="A27" i="23"/>
  <c r="A28"/>
  <c r="A77" s="1"/>
  <c r="A29"/>
  <c r="A78" s="1"/>
  <c r="A30"/>
  <c r="A79" s="1"/>
  <c r="A31"/>
  <c r="A80" s="1"/>
  <c r="A32"/>
  <c r="A81" s="1"/>
  <c r="A33"/>
  <c r="A82" s="1"/>
  <c r="A34"/>
  <c r="A83" s="1"/>
  <c r="A35"/>
  <c r="A84" s="1"/>
  <c r="S13" i="12"/>
  <c r="S9"/>
  <c r="S6"/>
  <c r="D44" i="6"/>
  <c r="B40" i="21" s="1"/>
  <c r="E44" i="6"/>
  <c r="C40" i="21" s="1"/>
  <c r="D45" i="6"/>
  <c r="E45"/>
  <c r="N21" i="3"/>
  <c r="BP6" i="14"/>
  <c r="BP9"/>
  <c r="BQ49" s="1"/>
  <c r="BP13"/>
  <c r="BQ53" s="1"/>
  <c r="Q59" i="12"/>
  <c r="T59" s="1"/>
  <c r="Q57"/>
  <c r="T57" s="1"/>
  <c r="Q56"/>
  <c r="T56" s="1"/>
  <c r="Q55"/>
  <c r="T55" s="1"/>
  <c r="Q54"/>
  <c r="T54" s="1"/>
  <c r="Q53"/>
  <c r="T53" s="1"/>
  <c r="Q50"/>
  <c r="T50" s="1"/>
  <c r="Q51"/>
  <c r="T51" s="1"/>
  <c r="Q49"/>
  <c r="T49" s="1"/>
  <c r="Q47"/>
  <c r="T47" s="1"/>
  <c r="P167"/>
  <c r="Q29"/>
  <c r="Q26"/>
  <c r="Q33"/>
  <c r="Q46"/>
  <c r="T46" s="1"/>
  <c r="BP6" i="13"/>
  <c r="BP9"/>
  <c r="BQ49" s="1"/>
  <c r="BP13"/>
  <c r="B29" i="12"/>
  <c r="C29"/>
  <c r="B33"/>
  <c r="C33"/>
  <c r="D41" i="6"/>
  <c r="D42"/>
  <c r="D43"/>
  <c r="B39" i="21" s="1"/>
  <c r="E43" i="6"/>
  <c r="C39" i="21" s="1"/>
  <c r="BN25" i="14"/>
  <c r="BN13"/>
  <c r="BR93" s="1"/>
  <c r="BN9"/>
  <c r="BN6"/>
  <c r="BO6" i="13"/>
  <c r="BO9"/>
  <c r="BO13"/>
  <c r="A199" i="26"/>
  <c r="A222" s="1"/>
  <c r="A246" s="1"/>
  <c r="A177"/>
  <c r="A178" s="1"/>
  <c r="A118"/>
  <c r="A119"/>
  <c r="A120"/>
  <c r="A121"/>
  <c r="A122"/>
  <c r="A123"/>
  <c r="A124"/>
  <c r="A125"/>
  <c r="A126"/>
  <c r="A127"/>
  <c r="A128"/>
  <c r="A129"/>
  <c r="A130"/>
  <c r="A23"/>
  <c r="Y17"/>
  <c r="A5"/>
  <c r="A24" s="1"/>
  <c r="E42" i="6"/>
  <c r="C38" i="21" s="1"/>
  <c r="BO25" i="14"/>
  <c r="BO6"/>
  <c r="BO9"/>
  <c r="BO13"/>
  <c r="BN6" i="13"/>
  <c r="BR86" s="1"/>
  <c r="BN9"/>
  <c r="BN13"/>
  <c r="C21" i="9"/>
  <c r="C58"/>
  <c r="B52"/>
  <c r="A53"/>
  <c r="A54"/>
  <c r="A55"/>
  <c r="A56"/>
  <c r="A57"/>
  <c r="A58"/>
  <c r="A59"/>
  <c r="A60"/>
  <c r="A61"/>
  <c r="A52"/>
  <c r="B19"/>
  <c r="A20"/>
  <c r="A21"/>
  <c r="A22"/>
  <c r="A23"/>
  <c r="A24"/>
  <c r="A25"/>
  <c r="A26"/>
  <c r="A27"/>
  <c r="A28"/>
  <c r="A19"/>
  <c r="B56" i="12"/>
  <c r="D36" i="9"/>
  <c r="D5" s="1"/>
  <c r="A36"/>
  <c r="A5" s="1"/>
  <c r="B32" i="4"/>
  <c r="B33"/>
  <c r="B34"/>
  <c r="B35"/>
  <c r="E28" l="1"/>
  <c r="E29"/>
  <c r="N28"/>
  <c r="N29"/>
  <c r="J29"/>
  <c r="K29"/>
  <c r="L29"/>
  <c r="S72" i="12"/>
  <c r="T72"/>
  <c r="S68"/>
  <c r="T68"/>
  <c r="S65"/>
  <c r="T65"/>
  <c r="B37" i="21"/>
  <c r="BN19" i="14"/>
  <c r="BO19"/>
  <c r="BP19"/>
  <c r="BQ59" s="1"/>
  <c r="BO53"/>
  <c r="BS93"/>
  <c r="BP53"/>
  <c r="BO49"/>
  <c r="BS89"/>
  <c r="BP49"/>
  <c r="BR89"/>
  <c r="BO46"/>
  <c r="BS86"/>
  <c r="BP46"/>
  <c r="BR59"/>
  <c r="BS59"/>
  <c r="BR86"/>
  <c r="BQ46"/>
  <c r="Q92" i="12"/>
  <c r="R92"/>
  <c r="Q88"/>
  <c r="R88"/>
  <c r="Q85"/>
  <c r="R85"/>
  <c r="BR40" i="13"/>
  <c r="BS40"/>
  <c r="S99" i="12"/>
  <c r="BT40" i="13"/>
  <c r="BU40"/>
  <c r="BU40" i="14" s="1"/>
  <c r="BU36" i="13"/>
  <c r="BU36" i="14" s="1"/>
  <c r="BT36" i="13"/>
  <c r="S95" i="12"/>
  <c r="BS36" i="13"/>
  <c r="BR36"/>
  <c r="BR37"/>
  <c r="S96" i="12"/>
  <c r="BT37" i="13"/>
  <c r="BU37"/>
  <c r="BU37" i="14" s="1"/>
  <c r="BS37" i="13"/>
  <c r="BT35"/>
  <c r="BU35"/>
  <c r="BU35" i="14" s="1"/>
  <c r="BS35" i="13"/>
  <c r="BR35"/>
  <c r="S94" i="12"/>
  <c r="BS34" i="13"/>
  <c r="BR34"/>
  <c r="BU34"/>
  <c r="BU34" i="14" s="1"/>
  <c r="S93" i="12"/>
  <c r="BT34" i="13"/>
  <c r="BS38"/>
  <c r="BR38"/>
  <c r="BU38"/>
  <c r="BU38" i="14" s="1"/>
  <c r="BT38" i="13"/>
  <c r="BR30"/>
  <c r="S89" i="12"/>
  <c r="BT30" i="13"/>
  <c r="BU30"/>
  <c r="BU30" i="14" s="1"/>
  <c r="BS30" i="13"/>
  <c r="BS31"/>
  <c r="BR31"/>
  <c r="BU31"/>
  <c r="BU31" i="14" s="1"/>
  <c r="S90" i="12"/>
  <c r="BT31" i="13"/>
  <c r="BT32"/>
  <c r="BU32"/>
  <c r="BU32" i="14" s="1"/>
  <c r="BS32" i="13"/>
  <c r="S91" i="12"/>
  <c r="BR32" i="13"/>
  <c r="BT27"/>
  <c r="BS27"/>
  <c r="BU27"/>
  <c r="BU27" i="14" s="1"/>
  <c r="BR27" i="13"/>
  <c r="BR28"/>
  <c r="BU28"/>
  <c r="BU28" i="14" s="1"/>
  <c r="BT28" i="13"/>
  <c r="BS28"/>
  <c r="BO53"/>
  <c r="BS93"/>
  <c r="BT93"/>
  <c r="BP53"/>
  <c r="BQ53"/>
  <c r="BO49"/>
  <c r="BS89"/>
  <c r="BT89"/>
  <c r="BP49"/>
  <c r="BR89"/>
  <c r="BR59"/>
  <c r="BS59"/>
  <c r="BO46"/>
  <c r="BS86"/>
  <c r="BT86"/>
  <c r="BP46"/>
  <c r="BQ46"/>
  <c r="B41" i="23"/>
  <c r="D43" i="19"/>
  <c r="D43" i="20"/>
  <c r="D44"/>
  <c r="D44" i="19"/>
  <c r="D44" i="17"/>
  <c r="E43" i="19"/>
  <c r="E43" i="20"/>
  <c r="B39" i="23"/>
  <c r="B40"/>
  <c r="E44" i="19"/>
  <c r="E44" i="17"/>
  <c r="E44" i="20"/>
  <c r="D41"/>
  <c r="D41" i="19"/>
  <c r="D45" i="17"/>
  <c r="D45" i="20"/>
  <c r="D45" i="19"/>
  <c r="E42" i="20"/>
  <c r="E42" i="19"/>
  <c r="D42"/>
  <c r="D42" i="20"/>
  <c r="E45"/>
  <c r="E45" i="19"/>
  <c r="E45" i="17"/>
  <c r="BQ75" i="14"/>
  <c r="BP78"/>
  <c r="BP76"/>
  <c r="BO76"/>
  <c r="BP75"/>
  <c r="BO78"/>
  <c r="BP71"/>
  <c r="BO67"/>
  <c r="BQ77"/>
  <c r="BP72"/>
  <c r="BP77"/>
  <c r="BQ70"/>
  <c r="BQ68"/>
  <c r="BP74"/>
  <c r="BO77"/>
  <c r="BP70"/>
  <c r="BP67"/>
  <c r="BQ67"/>
  <c r="BO75"/>
  <c r="BO68"/>
  <c r="BQ71"/>
  <c r="BO74"/>
  <c r="BQ76"/>
  <c r="BO29"/>
  <c r="BO70"/>
  <c r="BQ72"/>
  <c r="BP68"/>
  <c r="BO71"/>
  <c r="BQ74"/>
  <c r="BQ78"/>
  <c r="BO72"/>
  <c r="H45" i="6"/>
  <c r="BP26" i="14"/>
  <c r="BQ26"/>
  <c r="BQ33"/>
  <c r="BO33"/>
  <c r="BN39"/>
  <c r="BP33"/>
  <c r="BP29"/>
  <c r="BO26"/>
  <c r="BQ29"/>
  <c r="BR21"/>
  <c r="D43" i="17"/>
  <c r="A265" i="26"/>
  <c r="A285" s="1"/>
  <c r="A266"/>
  <c r="A286" s="1"/>
  <c r="E43" i="17"/>
  <c r="A6" i="26"/>
  <c r="A25" s="1"/>
  <c r="D41" i="17"/>
  <c r="D41" i="18"/>
  <c r="D42"/>
  <c r="D42" i="17"/>
  <c r="D44" i="18"/>
  <c r="D43"/>
  <c r="D45"/>
  <c r="E44"/>
  <c r="B38" i="23"/>
  <c r="E42" i="18"/>
  <c r="E42" i="17"/>
  <c r="E45" i="18"/>
  <c r="E43"/>
  <c r="BQ21" i="14"/>
  <c r="BQ21" i="13"/>
  <c r="S19" i="12"/>
  <c r="H44" i="6"/>
  <c r="BP19" i="13"/>
  <c r="BQ59" s="1"/>
  <c r="A201" i="26"/>
  <c r="A224" s="1"/>
  <c r="A248" s="1"/>
  <c r="A268" s="1"/>
  <c r="A288" s="1"/>
  <c r="A179"/>
  <c r="A7"/>
  <c r="Z17"/>
  <c r="A200"/>
  <c r="A223" s="1"/>
  <c r="A247" s="1"/>
  <c r="A267" s="1"/>
  <c r="A287" s="1"/>
  <c r="H43" i="6"/>
  <c r="H42"/>
  <c r="BR99" i="14"/>
  <c r="BO19" i="13"/>
  <c r="BN19"/>
  <c r="BR99" s="1"/>
  <c r="O19" i="4"/>
  <c r="O20"/>
  <c r="O21"/>
  <c r="O22"/>
  <c r="O23"/>
  <c r="O24"/>
  <c r="O25"/>
  <c r="O18"/>
  <c r="E26"/>
  <c r="E2"/>
  <c r="D3"/>
  <c r="D4"/>
  <c r="D5"/>
  <c r="D6"/>
  <c r="D7"/>
  <c r="D8"/>
  <c r="D9"/>
  <c r="D10"/>
  <c r="D26" s="1"/>
  <c r="A4" i="8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G166" i="12"/>
  <c r="H166"/>
  <c r="I166"/>
  <c r="J166"/>
  <c r="K166"/>
  <c r="L166"/>
  <c r="M166"/>
  <c r="N166"/>
  <c r="O166"/>
  <c r="P166"/>
  <c r="G167"/>
  <c r="H167"/>
  <c r="I167"/>
  <c r="J167"/>
  <c r="K167"/>
  <c r="L167"/>
  <c r="M167"/>
  <c r="N167"/>
  <c r="O167"/>
  <c r="G168"/>
  <c r="H168"/>
  <c r="I168"/>
  <c r="J168"/>
  <c r="K168"/>
  <c r="L168"/>
  <c r="M168"/>
  <c r="N168"/>
  <c r="O168"/>
  <c r="P168"/>
  <c r="G169"/>
  <c r="H169"/>
  <c r="I169"/>
  <c r="J169"/>
  <c r="K169"/>
  <c r="L169"/>
  <c r="M169"/>
  <c r="N169"/>
  <c r="O169"/>
  <c r="P169"/>
  <c r="G170"/>
  <c r="H170"/>
  <c r="I170"/>
  <c r="J170"/>
  <c r="K170"/>
  <c r="L170"/>
  <c r="M170"/>
  <c r="N170"/>
  <c r="O170"/>
  <c r="P170"/>
  <c r="G171"/>
  <c r="H171"/>
  <c r="I171"/>
  <c r="J171"/>
  <c r="K171"/>
  <c r="L171"/>
  <c r="M171"/>
  <c r="N171"/>
  <c r="O171"/>
  <c r="P171"/>
  <c r="G172"/>
  <c r="H172"/>
  <c r="I172"/>
  <c r="J172"/>
  <c r="K172"/>
  <c r="L172"/>
  <c r="M172"/>
  <c r="N172"/>
  <c r="O172"/>
  <c r="P172"/>
  <c r="G173"/>
  <c r="H173"/>
  <c r="I173"/>
  <c r="J173"/>
  <c r="K173"/>
  <c r="L173"/>
  <c r="M173"/>
  <c r="N173"/>
  <c r="O173"/>
  <c r="P173"/>
  <c r="G174"/>
  <c r="H174"/>
  <c r="I174"/>
  <c r="J174"/>
  <c r="K174"/>
  <c r="L174"/>
  <c r="M174"/>
  <c r="N174"/>
  <c r="O174"/>
  <c r="P174"/>
  <c r="G175"/>
  <c r="H175"/>
  <c r="I175"/>
  <c r="J175"/>
  <c r="K175"/>
  <c r="L175"/>
  <c r="M175"/>
  <c r="N175"/>
  <c r="O175"/>
  <c r="P175"/>
  <c r="G176"/>
  <c r="H176"/>
  <c r="I176"/>
  <c r="J176"/>
  <c r="K176"/>
  <c r="L176"/>
  <c r="M176"/>
  <c r="N176"/>
  <c r="O176"/>
  <c r="P176"/>
  <c r="G177"/>
  <c r="H177"/>
  <c r="I177"/>
  <c r="J177"/>
  <c r="K177"/>
  <c r="L177"/>
  <c r="M177"/>
  <c r="N177"/>
  <c r="O177"/>
  <c r="P177"/>
  <c r="G178"/>
  <c r="H178"/>
  <c r="I178"/>
  <c r="J178"/>
  <c r="K178"/>
  <c r="L178"/>
  <c r="M178"/>
  <c r="N178"/>
  <c r="O178"/>
  <c r="P178"/>
  <c r="G179"/>
  <c r="H179"/>
  <c r="I179"/>
  <c r="J179"/>
  <c r="K179"/>
  <c r="L179"/>
  <c r="M179"/>
  <c r="N179"/>
  <c r="O179"/>
  <c r="P179"/>
  <c r="G180"/>
  <c r="H180"/>
  <c r="I180"/>
  <c r="J180"/>
  <c r="K180"/>
  <c r="L180"/>
  <c r="M180"/>
  <c r="N180"/>
  <c r="O180"/>
  <c r="P180"/>
  <c r="G181"/>
  <c r="H181"/>
  <c r="I181"/>
  <c r="J181"/>
  <c r="K181"/>
  <c r="L181"/>
  <c r="M181"/>
  <c r="N181"/>
  <c r="O181"/>
  <c r="P181"/>
  <c r="A4" i="3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BM6" i="14"/>
  <c r="BQ86" s="1"/>
  <c r="BM9"/>
  <c r="BQ89" s="1"/>
  <c r="BM13"/>
  <c r="BM25"/>
  <c r="BM45" s="1"/>
  <c r="BM65" s="1"/>
  <c r="BM85" s="1"/>
  <c r="BM105" s="1"/>
  <c r="P46" i="12"/>
  <c r="BF27" i="13" s="1"/>
  <c r="BF27" i="14" s="1"/>
  <c r="P47" i="12"/>
  <c r="BF28" i="13" s="1"/>
  <c r="BF28" i="14" s="1"/>
  <c r="P49" i="12"/>
  <c r="BF30" i="13" s="1"/>
  <c r="BF30" i="14" s="1"/>
  <c r="P50" i="12"/>
  <c r="BF31" i="13" s="1"/>
  <c r="BF31" i="14" s="1"/>
  <c r="P51" i="12"/>
  <c r="BF32" i="13" s="1"/>
  <c r="BF32" i="14" s="1"/>
  <c r="P53" i="12"/>
  <c r="BF34" i="13" s="1"/>
  <c r="BF34" i="14" s="1"/>
  <c r="P54" i="12"/>
  <c r="BF35" i="13" s="1"/>
  <c r="BF35" i="14" s="1"/>
  <c r="P55" i="12"/>
  <c r="BF36" i="13" s="1"/>
  <c r="BF36" i="14" s="1"/>
  <c r="P56" i="12"/>
  <c r="BF37" i="13" s="1"/>
  <c r="BF37" i="14" s="1"/>
  <c r="P57" i="12"/>
  <c r="BF38" i="13" s="1"/>
  <c r="BF38" i="14" s="1"/>
  <c r="P59" i="12"/>
  <c r="BF40" i="13" s="1"/>
  <c r="BF40" i="14" s="1"/>
  <c r="BM6" i="13"/>
  <c r="BM9"/>
  <c r="BN49" s="1"/>
  <c r="BM13"/>
  <c r="Q6" i="12"/>
  <c r="Q9"/>
  <c r="Q13"/>
  <c r="J141" i="4"/>
  <c r="BU118" i="14" l="1"/>
  <c r="BU112"/>
  <c r="BU111"/>
  <c r="BU29"/>
  <c r="BU110"/>
  <c r="BU115"/>
  <c r="BU108"/>
  <c r="BU117"/>
  <c r="BU116"/>
  <c r="BU26"/>
  <c r="BU107"/>
  <c r="BU33"/>
  <c r="BU114"/>
  <c r="E27" i="4"/>
  <c r="K27"/>
  <c r="H29"/>
  <c r="K28"/>
  <c r="L28"/>
  <c r="I29"/>
  <c r="M29"/>
  <c r="O32"/>
  <c r="M54" s="1"/>
  <c r="O33"/>
  <c r="O35"/>
  <c r="O34"/>
  <c r="BU120" i="13"/>
  <c r="BU80"/>
  <c r="BU114"/>
  <c r="BU74"/>
  <c r="BU117"/>
  <c r="BU77"/>
  <c r="BU116"/>
  <c r="BU76"/>
  <c r="BU118"/>
  <c r="BU78"/>
  <c r="BU115"/>
  <c r="BU75"/>
  <c r="BU112"/>
  <c r="BU72"/>
  <c r="BU71"/>
  <c r="BU111"/>
  <c r="BU110"/>
  <c r="BU70"/>
  <c r="BU108"/>
  <c r="BU68"/>
  <c r="BU67"/>
  <c r="BU107"/>
  <c r="S78" i="12"/>
  <c r="T78"/>
  <c r="BQ93" i="14"/>
  <c r="BM19"/>
  <c r="BQ99" s="1"/>
  <c r="BN53"/>
  <c r="BN49"/>
  <c r="BO59"/>
  <c r="BS99"/>
  <c r="BP59"/>
  <c r="BR61"/>
  <c r="BS61"/>
  <c r="BN46"/>
  <c r="BR80" i="13"/>
  <c r="BR40" i="14"/>
  <c r="BR120" i="13"/>
  <c r="BT120"/>
  <c r="BT80"/>
  <c r="BT40" i="14"/>
  <c r="BS40"/>
  <c r="BS80" i="13"/>
  <c r="BS120"/>
  <c r="U59" i="12"/>
  <c r="BW40" i="13"/>
  <c r="BW40" i="14" s="1"/>
  <c r="BV40" i="13"/>
  <c r="BV40" i="14" s="1"/>
  <c r="BX40" i="13"/>
  <c r="BX40" i="14" s="1"/>
  <c r="BT38"/>
  <c r="BU78" s="1"/>
  <c r="BT78" i="13"/>
  <c r="BT118"/>
  <c r="BR34" i="14"/>
  <c r="BR74" s="1"/>
  <c r="BR74" i="13"/>
  <c r="BR114"/>
  <c r="BR33"/>
  <c r="BR73" s="1"/>
  <c r="S97" i="12"/>
  <c r="E30" i="4"/>
  <c r="BV38" i="13"/>
  <c r="BV38" i="14" s="1"/>
  <c r="BW38" i="13"/>
  <c r="BW38" i="14" s="1"/>
  <c r="BX38" i="13"/>
  <c r="BX38" i="14" s="1"/>
  <c r="U57" i="12"/>
  <c r="BU33" i="13"/>
  <c r="BR35" i="14"/>
  <c r="BR75" s="1"/>
  <c r="BR115" i="13"/>
  <c r="BR75"/>
  <c r="BW35"/>
  <c r="BW35" i="14" s="1"/>
  <c r="BV35" i="13"/>
  <c r="BV35" i="14" s="1"/>
  <c r="U54" i="12"/>
  <c r="BX35" i="13"/>
  <c r="BX35" i="14" s="1"/>
  <c r="U56" i="12"/>
  <c r="BV37" i="13"/>
  <c r="BV37" i="14" s="1"/>
  <c r="BW37" i="13"/>
  <c r="BW37" i="14" s="1"/>
  <c r="BX37" i="13"/>
  <c r="BX37" i="14" s="1"/>
  <c r="BR36"/>
  <c r="BR76" s="1"/>
  <c r="BR76" i="13"/>
  <c r="BR116"/>
  <c r="BT116"/>
  <c r="BT36" i="14"/>
  <c r="BT76" i="13"/>
  <c r="BS78"/>
  <c r="BS118"/>
  <c r="BS38" i="14"/>
  <c r="BS75" i="13"/>
  <c r="BS115"/>
  <c r="BS35" i="14"/>
  <c r="BS75" s="1"/>
  <c r="BS37"/>
  <c r="BS77" i="13"/>
  <c r="BS117"/>
  <c r="U55" i="12"/>
  <c r="BV36" i="13"/>
  <c r="BV36" i="14" s="1"/>
  <c r="BW36" i="13"/>
  <c r="BW36" i="14" s="1"/>
  <c r="BX36" i="13"/>
  <c r="BX36" i="14" s="1"/>
  <c r="R72" i="12"/>
  <c r="BR118" i="13"/>
  <c r="BR78"/>
  <c r="BR38" i="14"/>
  <c r="BR78" s="1"/>
  <c r="BS74" i="13"/>
  <c r="BS114"/>
  <c r="BS33"/>
  <c r="BS34" i="14"/>
  <c r="BT115" i="13"/>
  <c r="BT75"/>
  <c r="BT35" i="14"/>
  <c r="BT117" i="13"/>
  <c r="BT77"/>
  <c r="BT37" i="14"/>
  <c r="BT74" i="13"/>
  <c r="BT114"/>
  <c r="BT33"/>
  <c r="BT34" i="14"/>
  <c r="BW34" i="13"/>
  <c r="BW34" i="14" s="1"/>
  <c r="BV34" i="13"/>
  <c r="BV34" i="14" s="1"/>
  <c r="U53" i="12"/>
  <c r="BX34" i="13"/>
  <c r="BX34" i="14" s="1"/>
  <c r="BR77" i="13"/>
  <c r="BR37" i="14"/>
  <c r="BR77" s="1"/>
  <c r="BR117" i="13"/>
  <c r="BS76"/>
  <c r="BS116"/>
  <c r="BS36" i="14"/>
  <c r="BS112" i="13"/>
  <c r="BS72"/>
  <c r="BS32" i="14"/>
  <c r="BT71" i="13"/>
  <c r="BT111"/>
  <c r="BT31" i="14"/>
  <c r="BW31" i="13"/>
  <c r="BW31" i="14" s="1"/>
  <c r="BV31" i="13"/>
  <c r="BV31" i="14" s="1"/>
  <c r="BX31" i="13"/>
  <c r="BX31" i="14" s="1"/>
  <c r="U50" i="12"/>
  <c r="BR70" i="13"/>
  <c r="BR29"/>
  <c r="BR69" s="1"/>
  <c r="BR30" i="14"/>
  <c r="BR70" s="1"/>
  <c r="BR110" i="13"/>
  <c r="BR71"/>
  <c r="BR111"/>
  <c r="BR31" i="14"/>
  <c r="BR71" s="1"/>
  <c r="BR112" i="13"/>
  <c r="BR32" i="14"/>
  <c r="BR72" s="1"/>
  <c r="BR72" i="13"/>
  <c r="BT72"/>
  <c r="BT112"/>
  <c r="BT32" i="14"/>
  <c r="BV30" i="13"/>
  <c r="BV30" i="14" s="1"/>
  <c r="BW30" i="13"/>
  <c r="BW30" i="14" s="1"/>
  <c r="BX30" i="13"/>
  <c r="BX30" i="14" s="1"/>
  <c r="U49" i="12"/>
  <c r="R68"/>
  <c r="BU29" i="13"/>
  <c r="U51" i="12"/>
  <c r="BV32" i="13"/>
  <c r="BV32" i="14" s="1"/>
  <c r="BW32" i="13"/>
  <c r="BW32" i="14" s="1"/>
  <c r="BX32" i="13"/>
  <c r="BX32" i="14" s="1"/>
  <c r="BS70" i="13"/>
  <c r="BS110"/>
  <c r="BS29"/>
  <c r="BS30" i="14"/>
  <c r="BS70" s="1"/>
  <c r="BS111" i="13"/>
  <c r="BS71"/>
  <c r="BS31" i="14"/>
  <c r="BT70" i="13"/>
  <c r="BT29"/>
  <c r="BT110"/>
  <c r="BT30" i="14"/>
  <c r="BT107" i="13"/>
  <c r="BT27" i="14"/>
  <c r="BT26" i="13"/>
  <c r="BT67"/>
  <c r="BS108"/>
  <c r="BS28" i="14"/>
  <c r="BS68" i="13"/>
  <c r="BR108"/>
  <c r="BR28" i="14"/>
  <c r="BR68" s="1"/>
  <c r="BR68" i="13"/>
  <c r="S86" i="12"/>
  <c r="BS107" i="13"/>
  <c r="BS67"/>
  <c r="BS26"/>
  <c r="BS27" i="14"/>
  <c r="R65" i="12"/>
  <c r="S87"/>
  <c r="BU26" i="13"/>
  <c r="BT28" i="14"/>
  <c r="BT68" i="13"/>
  <c r="BT108"/>
  <c r="BR67"/>
  <c r="BR26"/>
  <c r="BR107"/>
  <c r="BR27" i="14"/>
  <c r="BR67" s="1"/>
  <c r="BQ93" i="13"/>
  <c r="BN53"/>
  <c r="BM49"/>
  <c r="BQ89"/>
  <c r="BQ86"/>
  <c r="BO59"/>
  <c r="BS99"/>
  <c r="BR61"/>
  <c r="BS61"/>
  <c r="BP59"/>
  <c r="BT99"/>
  <c r="BN46"/>
  <c r="BO66" i="14"/>
  <c r="BP66"/>
  <c r="BQ69"/>
  <c r="BP73"/>
  <c r="BQ66"/>
  <c r="BO69"/>
  <c r="BO73"/>
  <c r="BP69"/>
  <c r="BQ73"/>
  <c r="S21" i="12"/>
  <c r="BQ39" i="14"/>
  <c r="BO39"/>
  <c r="BP39"/>
  <c r="BF29"/>
  <c r="BN21" i="13"/>
  <c r="BR101" s="1"/>
  <c r="BF26" i="14"/>
  <c r="BF33"/>
  <c r="BP21"/>
  <c r="Q52" i="12"/>
  <c r="S52" s="1"/>
  <c r="Q45"/>
  <c r="S45" s="1"/>
  <c r="BP21" i="13"/>
  <c r="BQ61" s="1"/>
  <c r="BO21" i="14"/>
  <c r="A180" i="26"/>
  <c r="A202"/>
  <c r="A225" s="1"/>
  <c r="A249" s="1"/>
  <c r="A269" s="1"/>
  <c r="A289" s="1"/>
  <c r="A8"/>
  <c r="A26"/>
  <c r="BN21" i="14"/>
  <c r="BR101" s="1"/>
  <c r="BO21" i="13"/>
  <c r="Q19" i="12"/>
  <c r="BM19" i="13"/>
  <c r="BN59" s="1"/>
  <c r="E372" i="26"/>
  <c r="D372"/>
  <c r="C372"/>
  <c r="B372"/>
  <c r="E354"/>
  <c r="D354"/>
  <c r="A356"/>
  <c r="A373" s="1"/>
  <c r="C354"/>
  <c r="B354"/>
  <c r="A42"/>
  <c r="M160"/>
  <c r="M162"/>
  <c r="M164"/>
  <c r="M168"/>
  <c r="M170"/>
  <c r="Y6"/>
  <c r="Y7"/>
  <c r="Y8"/>
  <c r="Y9"/>
  <c r="Y10"/>
  <c r="Y11"/>
  <c r="Y12"/>
  <c r="Y13"/>
  <c r="Y14"/>
  <c r="Y15"/>
  <c r="Y16"/>
  <c r="Y18"/>
  <c r="A131"/>
  <c r="A117"/>
  <c r="K266"/>
  <c r="J266"/>
  <c r="I266"/>
  <c r="H266"/>
  <c r="G266"/>
  <c r="F266"/>
  <c r="E266"/>
  <c r="D266"/>
  <c r="C266"/>
  <c r="K223"/>
  <c r="J223"/>
  <c r="I223"/>
  <c r="H223"/>
  <c r="G223"/>
  <c r="F223"/>
  <c r="E223"/>
  <c r="D223"/>
  <c r="C223"/>
  <c r="K170"/>
  <c r="J170"/>
  <c r="I170"/>
  <c r="H170"/>
  <c r="G170"/>
  <c r="F170"/>
  <c r="E170"/>
  <c r="D170"/>
  <c r="K169"/>
  <c r="J169"/>
  <c r="I169"/>
  <c r="H169"/>
  <c r="G169"/>
  <c r="F169"/>
  <c r="E169"/>
  <c r="D169"/>
  <c r="K168"/>
  <c r="J168"/>
  <c r="I168"/>
  <c r="H168"/>
  <c r="G168"/>
  <c r="F168"/>
  <c r="E168"/>
  <c r="D168"/>
  <c r="K167"/>
  <c r="J167"/>
  <c r="I167"/>
  <c r="H167"/>
  <c r="G167"/>
  <c r="F167"/>
  <c r="E167"/>
  <c r="D167"/>
  <c r="K166"/>
  <c r="J166"/>
  <c r="I166"/>
  <c r="H166"/>
  <c r="G166"/>
  <c r="F166"/>
  <c r="E166"/>
  <c r="D166"/>
  <c r="K165"/>
  <c r="J165"/>
  <c r="I165"/>
  <c r="H165"/>
  <c r="G165"/>
  <c r="F165"/>
  <c r="E165"/>
  <c r="D165"/>
  <c r="K164"/>
  <c r="J164"/>
  <c r="I164"/>
  <c r="H164"/>
  <c r="G164"/>
  <c r="F164"/>
  <c r="E164"/>
  <c r="D164"/>
  <c r="K163"/>
  <c r="J163"/>
  <c r="I163"/>
  <c r="H163"/>
  <c r="G163"/>
  <c r="F163"/>
  <c r="E163"/>
  <c r="D163"/>
  <c r="K162"/>
  <c r="J162"/>
  <c r="I162"/>
  <c r="H162"/>
  <c r="G162"/>
  <c r="F162"/>
  <c r="E162"/>
  <c r="D162"/>
  <c r="K161"/>
  <c r="J161"/>
  <c r="I161"/>
  <c r="H161"/>
  <c r="G161"/>
  <c r="F161"/>
  <c r="E161"/>
  <c r="D161"/>
  <c r="K160"/>
  <c r="J160"/>
  <c r="I160"/>
  <c r="H160"/>
  <c r="G160"/>
  <c r="F160"/>
  <c r="E160"/>
  <c r="D160"/>
  <c r="K159"/>
  <c r="J159"/>
  <c r="I159"/>
  <c r="H159"/>
  <c r="G159"/>
  <c r="F159"/>
  <c r="E159"/>
  <c r="D159"/>
  <c r="K135"/>
  <c r="J135"/>
  <c r="I135"/>
  <c r="H135"/>
  <c r="G135"/>
  <c r="F135"/>
  <c r="E135"/>
  <c r="D135"/>
  <c r="C135"/>
  <c r="W117"/>
  <c r="V117"/>
  <c r="E116"/>
  <c r="G116" s="1"/>
  <c r="I116" s="1"/>
  <c r="K116" s="1"/>
  <c r="M116" s="1"/>
  <c r="O116" s="1"/>
  <c r="Q116" s="1"/>
  <c r="S116" s="1"/>
  <c r="A60"/>
  <c r="A59"/>
  <c r="L41"/>
  <c r="C22"/>
  <c r="C283" s="1"/>
  <c r="L283" s="1"/>
  <c r="Y5"/>
  <c r="W4"/>
  <c r="V4"/>
  <c r="Y4" s="1"/>
  <c r="E3"/>
  <c r="E22" s="1"/>
  <c r="D283" s="1"/>
  <c r="E41" i="6"/>
  <c r="C37" i="21" s="1"/>
  <c r="BK87" i="14"/>
  <c r="BL6"/>
  <c r="BP86" s="1"/>
  <c r="BL9"/>
  <c r="BP89" s="1"/>
  <c r="BL13"/>
  <c r="BL25"/>
  <c r="BL45" s="1"/>
  <c r="BL65" s="1"/>
  <c r="BL85" s="1"/>
  <c r="BL105" s="1"/>
  <c r="BL47"/>
  <c r="BL48"/>
  <c r="BL50"/>
  <c r="BL51"/>
  <c r="BL52"/>
  <c r="BL54"/>
  <c r="BL55"/>
  <c r="BL56"/>
  <c r="BL57"/>
  <c r="BL58"/>
  <c r="BL60"/>
  <c r="BL87"/>
  <c r="BL88"/>
  <c r="BL90"/>
  <c r="BL91"/>
  <c r="BL92"/>
  <c r="BL94"/>
  <c r="BL95"/>
  <c r="BL96"/>
  <c r="BL97"/>
  <c r="BL98"/>
  <c r="BL100"/>
  <c r="BL6" i="13"/>
  <c r="BM46" s="1"/>
  <c r="BL9"/>
  <c r="BL13"/>
  <c r="BM53" s="1"/>
  <c r="BL45"/>
  <c r="E40" i="6"/>
  <c r="D40"/>
  <c r="BI87" i="14"/>
  <c r="BJ87"/>
  <c r="BI88"/>
  <c r="BJ88"/>
  <c r="BK88"/>
  <c r="BI90"/>
  <c r="BJ90"/>
  <c r="BK90"/>
  <c r="BI91"/>
  <c r="BJ91"/>
  <c r="BK91"/>
  <c r="BI92"/>
  <c r="BJ92"/>
  <c r="BK92"/>
  <c r="BI94"/>
  <c r="BJ94"/>
  <c r="BK94"/>
  <c r="BI95"/>
  <c r="BJ95"/>
  <c r="BK95"/>
  <c r="BI96"/>
  <c r="BJ96"/>
  <c r="BK96"/>
  <c r="BI97"/>
  <c r="BJ97"/>
  <c r="BK97"/>
  <c r="BI98"/>
  <c r="BJ98"/>
  <c r="BK98"/>
  <c r="BI100"/>
  <c r="BJ100"/>
  <c r="BK100"/>
  <c r="BI47"/>
  <c r="BJ47"/>
  <c r="BK47"/>
  <c r="BI48"/>
  <c r="BJ48"/>
  <c r="BK48"/>
  <c r="BI50"/>
  <c r="BJ50"/>
  <c r="BK50"/>
  <c r="BI51"/>
  <c r="BJ51"/>
  <c r="BK51"/>
  <c r="BI52"/>
  <c r="BJ52"/>
  <c r="BK52"/>
  <c r="BI54"/>
  <c r="BJ54"/>
  <c r="BK54"/>
  <c r="BI55"/>
  <c r="BJ55"/>
  <c r="BK55"/>
  <c r="BI56"/>
  <c r="BJ56"/>
  <c r="BK56"/>
  <c r="BI57"/>
  <c r="BJ57"/>
  <c r="BK57"/>
  <c r="BI58"/>
  <c r="BJ58"/>
  <c r="BK58"/>
  <c r="BI60"/>
  <c r="BJ60"/>
  <c r="BK60"/>
  <c r="BJ25"/>
  <c r="BJ45" s="1"/>
  <c r="BJ65" s="1"/>
  <c r="BJ85" s="1"/>
  <c r="BJ105" s="1"/>
  <c r="BJ13"/>
  <c r="BJ9"/>
  <c r="BN89" s="1"/>
  <c r="BJ6"/>
  <c r="BN86" s="1"/>
  <c r="BH87" i="13"/>
  <c r="BI87"/>
  <c r="BH88"/>
  <c r="BI88"/>
  <c r="BH90"/>
  <c r="BI90"/>
  <c r="BH91"/>
  <c r="BI91"/>
  <c r="BH92"/>
  <c r="BI92"/>
  <c r="BH94"/>
  <c r="BI94"/>
  <c r="BH95"/>
  <c r="BI95"/>
  <c r="BH96"/>
  <c r="BI96"/>
  <c r="BH97"/>
  <c r="BI97"/>
  <c r="BH98"/>
  <c r="BI98"/>
  <c r="BH100"/>
  <c r="BI100"/>
  <c r="BH47"/>
  <c r="BI47"/>
  <c r="BH48"/>
  <c r="BI48"/>
  <c r="BH50"/>
  <c r="BI50"/>
  <c r="BH51"/>
  <c r="BI51"/>
  <c r="BH52"/>
  <c r="BI52"/>
  <c r="BH54"/>
  <c r="BI54"/>
  <c r="BH55"/>
  <c r="BI55"/>
  <c r="BH56"/>
  <c r="BI56"/>
  <c r="BH57"/>
  <c r="BI57"/>
  <c r="BH58"/>
  <c r="BI58"/>
  <c r="BH60"/>
  <c r="BI60"/>
  <c r="BJ45"/>
  <c r="BJ13"/>
  <c r="BJ9"/>
  <c r="BJ6"/>
  <c r="C75" i="15"/>
  <c r="D75"/>
  <c r="E75"/>
  <c r="F75"/>
  <c r="G75"/>
  <c r="H75"/>
  <c r="I75"/>
  <c r="J75"/>
  <c r="K75"/>
  <c r="L75"/>
  <c r="M75"/>
  <c r="N75"/>
  <c r="O75"/>
  <c r="P75"/>
  <c r="Q75"/>
  <c r="I39" i="6"/>
  <c r="E4"/>
  <c r="E4" i="17" s="1"/>
  <c r="E5" i="6"/>
  <c r="E5" i="17" s="1"/>
  <c r="E6" i="6"/>
  <c r="E6" i="17" s="1"/>
  <c r="E7" i="6"/>
  <c r="B3" i="23" s="1"/>
  <c r="E8" i="6"/>
  <c r="K8" s="1"/>
  <c r="E9"/>
  <c r="E9" i="17" s="1"/>
  <c r="E10" i="6"/>
  <c r="B6" i="23" s="1"/>
  <c r="E11" i="6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4" i="19" s="1"/>
  <c r="E35" i="6"/>
  <c r="E35" i="19" s="1"/>
  <c r="E36" i="6"/>
  <c r="E36" i="19" s="1"/>
  <c r="E37" i="6"/>
  <c r="E37" i="19" s="1"/>
  <c r="E38" i="6"/>
  <c r="E38" i="19" s="1"/>
  <c r="E39" i="6"/>
  <c r="E39" i="19" s="1"/>
  <c r="E3" i="6"/>
  <c r="E3" i="17" s="1"/>
  <c r="D4" i="6"/>
  <c r="D4" i="17" s="1"/>
  <c r="D5" i="6"/>
  <c r="D5" i="17" s="1"/>
  <c r="D6" i="6"/>
  <c r="D6" i="17" s="1"/>
  <c r="D7" i="6"/>
  <c r="J7" s="1"/>
  <c r="D8"/>
  <c r="D8" i="17" s="1"/>
  <c r="J8" s="1"/>
  <c r="D9" i="6"/>
  <c r="D9" i="17" s="1"/>
  <c r="J9" s="1"/>
  <c r="D10" i="6"/>
  <c r="D10" i="17" s="1"/>
  <c r="J10" s="1"/>
  <c r="D11" i="6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4" i="19" s="1"/>
  <c r="J34" s="1"/>
  <c r="D35" i="6"/>
  <c r="D35" i="19" s="1"/>
  <c r="J35" s="1"/>
  <c r="D36" i="6"/>
  <c r="D36" i="19" s="1"/>
  <c r="J36" s="1"/>
  <c r="D37" i="6"/>
  <c r="D37" i="19" s="1"/>
  <c r="J37" s="1"/>
  <c r="D38" i="6"/>
  <c r="D38" i="19" s="1"/>
  <c r="J38" s="1"/>
  <c r="D39" i="6"/>
  <c r="D39" i="19" s="1"/>
  <c r="D3" i="6"/>
  <c r="D3" i="17" s="1"/>
  <c r="BK25" i="14"/>
  <c r="BK45" s="1"/>
  <c r="BK65" s="1"/>
  <c r="BK85" s="1"/>
  <c r="BK105" s="1"/>
  <c r="BK6"/>
  <c r="BO86" s="1"/>
  <c r="BK9"/>
  <c r="BO89" s="1"/>
  <c r="BK13"/>
  <c r="BK6" i="13"/>
  <c r="BK9"/>
  <c r="BK13"/>
  <c r="BK45"/>
  <c r="R13" i="6"/>
  <c r="R14" s="1"/>
  <c r="R15" s="1"/>
  <c r="R16" s="1"/>
  <c r="R17" s="1"/>
  <c r="R18" s="1"/>
  <c r="R19" s="1"/>
  <c r="R20" s="1"/>
  <c r="R21" s="1"/>
  <c r="R22" s="1"/>
  <c r="R23" s="1"/>
  <c r="R13" i="17"/>
  <c r="R14" s="1"/>
  <c r="R15" s="1"/>
  <c r="R16" s="1"/>
  <c r="R17" s="1"/>
  <c r="R18" s="1"/>
  <c r="R19" s="1"/>
  <c r="R20" s="1"/>
  <c r="R21" s="1"/>
  <c r="R22" s="1"/>
  <c r="R13" i="18"/>
  <c r="R14"/>
  <c r="R15"/>
  <c r="R16" s="1"/>
  <c r="R17" s="1"/>
  <c r="R18" s="1"/>
  <c r="R19" s="1"/>
  <c r="R20" s="1"/>
  <c r="R21" s="1"/>
  <c r="R22" s="1"/>
  <c r="R13" i="20"/>
  <c r="R14"/>
  <c r="R15" s="1"/>
  <c r="R16" s="1"/>
  <c r="R17" s="1"/>
  <c r="R18" s="1"/>
  <c r="R19" s="1"/>
  <c r="R20" s="1"/>
  <c r="R21" s="1"/>
  <c r="R22" s="1"/>
  <c r="I38"/>
  <c r="R13" i="19"/>
  <c r="R14" s="1"/>
  <c r="R15" s="1"/>
  <c r="R16" s="1"/>
  <c r="R17" s="1"/>
  <c r="R18" s="1"/>
  <c r="R19" s="1"/>
  <c r="R20" s="1"/>
  <c r="R21" s="1"/>
  <c r="R22" s="1"/>
  <c r="I38" i="18"/>
  <c r="I38" i="17"/>
  <c r="I38" i="6"/>
  <c r="L15" i="17"/>
  <c r="L16"/>
  <c r="L17"/>
  <c r="L18"/>
  <c r="L19"/>
  <c r="L20"/>
  <c r="L14"/>
  <c r="L19" i="6"/>
  <c r="L20"/>
  <c r="L21"/>
  <c r="L22"/>
  <c r="L23"/>
  <c r="L24"/>
  <c r="L18"/>
  <c r="L25" i="20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K10"/>
  <c r="J10"/>
  <c r="I10"/>
  <c r="H10"/>
  <c r="K9"/>
  <c r="J9"/>
  <c r="I9"/>
  <c r="H9"/>
  <c r="K8"/>
  <c r="J8"/>
  <c r="I8"/>
  <c r="H8"/>
  <c r="K7"/>
  <c r="J7"/>
  <c r="I7"/>
  <c r="H7"/>
  <c r="L25" i="19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K10"/>
  <c r="J10"/>
  <c r="I10"/>
  <c r="H10"/>
  <c r="K9"/>
  <c r="J9"/>
  <c r="I9"/>
  <c r="H9"/>
  <c r="K8"/>
  <c r="J8"/>
  <c r="I8"/>
  <c r="H8"/>
  <c r="K7"/>
  <c r="J7"/>
  <c r="I7"/>
  <c r="H7"/>
  <c r="I37" i="18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K10"/>
  <c r="J10"/>
  <c r="I10"/>
  <c r="H10"/>
  <c r="K9"/>
  <c r="J9"/>
  <c r="I9"/>
  <c r="H9"/>
  <c r="K8"/>
  <c r="J8"/>
  <c r="I8"/>
  <c r="H8"/>
  <c r="K7"/>
  <c r="J7"/>
  <c r="I7"/>
  <c r="H7"/>
  <c r="I37" i="1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37" i="6"/>
  <c r="C22" i="8"/>
  <c r="D22"/>
  <c r="E22"/>
  <c r="F22"/>
  <c r="G22"/>
  <c r="H22"/>
  <c r="I22"/>
  <c r="J22"/>
  <c r="K22"/>
  <c r="L22"/>
  <c r="M22"/>
  <c r="N22"/>
  <c r="B22"/>
  <c r="C149" i="12"/>
  <c r="D149"/>
  <c r="E149"/>
  <c r="F149"/>
  <c r="G149"/>
  <c r="H149"/>
  <c r="I149"/>
  <c r="J149"/>
  <c r="K149"/>
  <c r="L149"/>
  <c r="M149"/>
  <c r="N149"/>
  <c r="O149"/>
  <c r="C150"/>
  <c r="D150"/>
  <c r="E150"/>
  <c r="F150"/>
  <c r="G150"/>
  <c r="H150"/>
  <c r="I150"/>
  <c r="J150"/>
  <c r="K150"/>
  <c r="L150"/>
  <c r="M150"/>
  <c r="N150"/>
  <c r="O150"/>
  <c r="C152"/>
  <c r="D152"/>
  <c r="E152"/>
  <c r="F152"/>
  <c r="G152"/>
  <c r="H152"/>
  <c r="I152"/>
  <c r="J152"/>
  <c r="K152"/>
  <c r="L152"/>
  <c r="M152"/>
  <c r="N152"/>
  <c r="O152"/>
  <c r="C153"/>
  <c r="D153"/>
  <c r="E153"/>
  <c r="F153"/>
  <c r="G153"/>
  <c r="H153"/>
  <c r="I153"/>
  <c r="J153"/>
  <c r="K153"/>
  <c r="L153"/>
  <c r="M153"/>
  <c r="N153"/>
  <c r="O153"/>
  <c r="C154"/>
  <c r="D154"/>
  <c r="E154"/>
  <c r="F154"/>
  <c r="G154"/>
  <c r="H154"/>
  <c r="I154"/>
  <c r="J154"/>
  <c r="K154"/>
  <c r="L154"/>
  <c r="M154"/>
  <c r="N154"/>
  <c r="O154"/>
  <c r="C156"/>
  <c r="D156"/>
  <c r="E156"/>
  <c r="F156"/>
  <c r="G156"/>
  <c r="H156"/>
  <c r="I156"/>
  <c r="J156"/>
  <c r="K156"/>
  <c r="L156"/>
  <c r="M156"/>
  <c r="N156"/>
  <c r="O156"/>
  <c r="C157"/>
  <c r="D157"/>
  <c r="E157"/>
  <c r="F157"/>
  <c r="G157"/>
  <c r="H157"/>
  <c r="I157"/>
  <c r="J157"/>
  <c r="K157"/>
  <c r="L157"/>
  <c r="M157"/>
  <c r="N157"/>
  <c r="O157"/>
  <c r="C158"/>
  <c r="D158"/>
  <c r="E158"/>
  <c r="F158"/>
  <c r="G158"/>
  <c r="H158"/>
  <c r="I158"/>
  <c r="J158"/>
  <c r="K158"/>
  <c r="L158"/>
  <c r="M158"/>
  <c r="N158"/>
  <c r="O158"/>
  <c r="C159"/>
  <c r="D159"/>
  <c r="E159"/>
  <c r="F159"/>
  <c r="G159"/>
  <c r="H159"/>
  <c r="I159"/>
  <c r="J159"/>
  <c r="K159"/>
  <c r="L159"/>
  <c r="M159"/>
  <c r="N159"/>
  <c r="O159"/>
  <c r="C160"/>
  <c r="D160"/>
  <c r="E160"/>
  <c r="F160"/>
  <c r="G160"/>
  <c r="H160"/>
  <c r="I160"/>
  <c r="J160"/>
  <c r="K160"/>
  <c r="L160"/>
  <c r="M160"/>
  <c r="N160"/>
  <c r="O160"/>
  <c r="B160"/>
  <c r="B149"/>
  <c r="B150"/>
  <c r="B152"/>
  <c r="B153"/>
  <c r="B154"/>
  <c r="B156"/>
  <c r="B157"/>
  <c r="B158"/>
  <c r="B159"/>
  <c r="Q21" i="2"/>
  <c r="P21"/>
  <c r="O21"/>
  <c r="K21"/>
  <c r="L21"/>
  <c r="M21"/>
  <c r="N21"/>
  <c r="J21"/>
  <c r="I21"/>
  <c r="G21"/>
  <c r="H21"/>
  <c r="F21"/>
  <c r="E21"/>
  <c r="D21"/>
  <c r="C21"/>
  <c r="B21"/>
  <c r="BI6" i="14"/>
  <c r="BM86" s="1"/>
  <c r="BI9"/>
  <c r="BM89" s="1"/>
  <c r="BI13"/>
  <c r="P66" i="12"/>
  <c r="P67"/>
  <c r="P69"/>
  <c r="P70"/>
  <c r="P71"/>
  <c r="P73"/>
  <c r="P74"/>
  <c r="P75"/>
  <c r="P76"/>
  <c r="P77"/>
  <c r="P79"/>
  <c r="BI45" i="13"/>
  <c r="BI65" s="1"/>
  <c r="BI85" s="1"/>
  <c r="BI105" s="1"/>
  <c r="BI6"/>
  <c r="BM86" s="1"/>
  <c r="BI9"/>
  <c r="BM89" s="1"/>
  <c r="BI13"/>
  <c r="BM93" s="1"/>
  <c r="O67" i="12"/>
  <c r="J140" i="4"/>
  <c r="J139"/>
  <c r="BH100" i="14"/>
  <c r="BG100"/>
  <c r="BF100"/>
  <c r="BE100"/>
  <c r="BD100"/>
  <c r="BC100"/>
  <c r="BB100"/>
  <c r="BA100"/>
  <c r="AZ100"/>
  <c r="AY100"/>
  <c r="AX100"/>
  <c r="AW100"/>
  <c r="AV100"/>
  <c r="AU100"/>
  <c r="AT100"/>
  <c r="AS100"/>
  <c r="AR100"/>
  <c r="AQ100"/>
  <c r="AP100"/>
  <c r="AO100"/>
  <c r="AN100"/>
  <c r="AM100"/>
  <c r="AL100"/>
  <c r="AK100"/>
  <c r="AJ100"/>
  <c r="AI100"/>
  <c r="AH100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BH98"/>
  <c r="BG98"/>
  <c r="BF98"/>
  <c r="BE98"/>
  <c r="BD98"/>
  <c r="BC98"/>
  <c r="BB98"/>
  <c r="BA98"/>
  <c r="AZ98"/>
  <c r="AY98"/>
  <c r="AX98"/>
  <c r="AW98"/>
  <c r="AV98"/>
  <c r="AU98"/>
  <c r="AT98"/>
  <c r="AS98"/>
  <c r="AR98"/>
  <c r="AQ98"/>
  <c r="AP98"/>
  <c r="AO98"/>
  <c r="AN98"/>
  <c r="AM98"/>
  <c r="AL98"/>
  <c r="AK98"/>
  <c r="AJ98"/>
  <c r="AI98"/>
  <c r="AH98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BH97"/>
  <c r="BG97"/>
  <c r="BF97"/>
  <c r="BE97"/>
  <c r="BD97"/>
  <c r="BC97"/>
  <c r="BB97"/>
  <c r="BA97"/>
  <c r="AZ97"/>
  <c r="AY97"/>
  <c r="AX97"/>
  <c r="AW97"/>
  <c r="AV97"/>
  <c r="AU97"/>
  <c r="AT97"/>
  <c r="AS97"/>
  <c r="AR97"/>
  <c r="AQ97"/>
  <c r="AP97"/>
  <c r="AO97"/>
  <c r="AN97"/>
  <c r="AM97"/>
  <c r="AL97"/>
  <c r="AK97"/>
  <c r="AJ97"/>
  <c r="AI97"/>
  <c r="AH97"/>
  <c r="AG97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BH96"/>
  <c r="BG96"/>
  <c r="BF96"/>
  <c r="BE96"/>
  <c r="BD96"/>
  <c r="BC96"/>
  <c r="BB96"/>
  <c r="BA96"/>
  <c r="AZ96"/>
  <c r="AY96"/>
  <c r="AX96"/>
  <c r="AW96"/>
  <c r="AV96"/>
  <c r="AU96"/>
  <c r="AT96"/>
  <c r="AS96"/>
  <c r="AR96"/>
  <c r="AQ96"/>
  <c r="AP96"/>
  <c r="AO96"/>
  <c r="AN96"/>
  <c r="AM96"/>
  <c r="AL96"/>
  <c r="AK96"/>
  <c r="AJ96"/>
  <c r="AI96"/>
  <c r="AH96"/>
  <c r="AG96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BH95"/>
  <c r="BG95"/>
  <c r="BF95"/>
  <c r="BE95"/>
  <c r="BD95"/>
  <c r="BC95"/>
  <c r="BB95"/>
  <c r="BA95"/>
  <c r="AZ95"/>
  <c r="AY95"/>
  <c r="AX95"/>
  <c r="AW95"/>
  <c r="AV95"/>
  <c r="AU95"/>
  <c r="AT95"/>
  <c r="AS95"/>
  <c r="AR95"/>
  <c r="AQ95"/>
  <c r="AP95"/>
  <c r="AO95"/>
  <c r="AN95"/>
  <c r="AM95"/>
  <c r="AL95"/>
  <c r="AK95"/>
  <c r="AJ95"/>
  <c r="AI95"/>
  <c r="AH95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BH94"/>
  <c r="BG94"/>
  <c r="BF94"/>
  <c r="BE94"/>
  <c r="BD94"/>
  <c r="BC94"/>
  <c r="BB94"/>
  <c r="BA94"/>
  <c r="AZ94"/>
  <c r="AY94"/>
  <c r="AX94"/>
  <c r="AW94"/>
  <c r="AV94"/>
  <c r="AU94"/>
  <c r="AT94"/>
  <c r="AS94"/>
  <c r="AR94"/>
  <c r="AQ94"/>
  <c r="AP94"/>
  <c r="AO94"/>
  <c r="AN94"/>
  <c r="AM94"/>
  <c r="AL94"/>
  <c r="AK94"/>
  <c r="AJ94"/>
  <c r="AI94"/>
  <c r="AH94"/>
  <c r="AG94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BH92"/>
  <c r="BG92"/>
  <c r="BF92"/>
  <c r="BE92"/>
  <c r="BD92"/>
  <c r="BC92"/>
  <c r="BB92"/>
  <c r="BA92"/>
  <c r="AZ92"/>
  <c r="AY92"/>
  <c r="AX92"/>
  <c r="AW92"/>
  <c r="AV92"/>
  <c r="AU92"/>
  <c r="AT92"/>
  <c r="AS92"/>
  <c r="AR92"/>
  <c r="AQ92"/>
  <c r="AP92"/>
  <c r="AO92"/>
  <c r="AN92"/>
  <c r="AM92"/>
  <c r="AL92"/>
  <c r="AK92"/>
  <c r="AJ92"/>
  <c r="AI92"/>
  <c r="AH92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BH91"/>
  <c r="BG91"/>
  <c r="BF91"/>
  <c r="BE91"/>
  <c r="BD91"/>
  <c r="BC91"/>
  <c r="BB91"/>
  <c r="BA91"/>
  <c r="AZ91"/>
  <c r="AY91"/>
  <c r="AX91"/>
  <c r="AW91"/>
  <c r="AV91"/>
  <c r="AU91"/>
  <c r="AT91"/>
  <c r="AS91"/>
  <c r="AR91"/>
  <c r="AQ91"/>
  <c r="AP91"/>
  <c r="AO91"/>
  <c r="AN91"/>
  <c r="AM91"/>
  <c r="AL91"/>
  <c r="AK91"/>
  <c r="AJ91"/>
  <c r="AI91"/>
  <c r="AH91"/>
  <c r="AG91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BH90"/>
  <c r="BG90"/>
  <c r="BF90"/>
  <c r="BE90"/>
  <c r="BD90"/>
  <c r="BC90"/>
  <c r="BB90"/>
  <c r="BA90"/>
  <c r="AZ90"/>
  <c r="AY90"/>
  <c r="AX90"/>
  <c r="AW90"/>
  <c r="AV90"/>
  <c r="AU90"/>
  <c r="AT90"/>
  <c r="AS90"/>
  <c r="AR90"/>
  <c r="AQ90"/>
  <c r="AP90"/>
  <c r="AO90"/>
  <c r="AN90"/>
  <c r="AM90"/>
  <c r="AL90"/>
  <c r="AK90"/>
  <c r="AJ90"/>
  <c r="AI90"/>
  <c r="AH90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BH88"/>
  <c r="BG88"/>
  <c r="BF88"/>
  <c r="BE88"/>
  <c r="BD88"/>
  <c r="BC88"/>
  <c r="BB88"/>
  <c r="BA88"/>
  <c r="AZ88"/>
  <c r="AY88"/>
  <c r="AX88"/>
  <c r="AW88"/>
  <c r="AV88"/>
  <c r="AU88"/>
  <c r="AT88"/>
  <c r="AS88"/>
  <c r="AR88"/>
  <c r="AQ88"/>
  <c r="AP88"/>
  <c r="AO88"/>
  <c r="AN88"/>
  <c r="AM88"/>
  <c r="AL88"/>
  <c r="AK88"/>
  <c r="AJ88"/>
  <c r="AI88"/>
  <c r="AH88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BH87"/>
  <c r="BG87"/>
  <c r="BF87"/>
  <c r="BE87"/>
  <c r="BD87"/>
  <c r="BC87"/>
  <c r="BB87"/>
  <c r="BA87"/>
  <c r="AZ87"/>
  <c r="AY87"/>
  <c r="AX87"/>
  <c r="AW87"/>
  <c r="AV87"/>
  <c r="AU87"/>
  <c r="AT87"/>
  <c r="AS87"/>
  <c r="AR87"/>
  <c r="AQ87"/>
  <c r="AP87"/>
  <c r="AO87"/>
  <c r="AN87"/>
  <c r="AM87"/>
  <c r="AL87"/>
  <c r="AK87"/>
  <c r="AJ87"/>
  <c r="AI87"/>
  <c r="AH87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B6"/>
  <c r="C6"/>
  <c r="D6"/>
  <c r="E6"/>
  <c r="F6"/>
  <c r="G6"/>
  <c r="H6"/>
  <c r="H86" s="1"/>
  <c r="I6"/>
  <c r="J6"/>
  <c r="J86" s="1"/>
  <c r="K6"/>
  <c r="L6"/>
  <c r="M6"/>
  <c r="N6"/>
  <c r="N86" s="1"/>
  <c r="O6"/>
  <c r="P6"/>
  <c r="P86" s="1"/>
  <c r="Q6"/>
  <c r="R46" s="1"/>
  <c r="R6"/>
  <c r="S6"/>
  <c r="T6"/>
  <c r="T46" s="1"/>
  <c r="U6"/>
  <c r="V6"/>
  <c r="V86" s="1"/>
  <c r="W6"/>
  <c r="X6"/>
  <c r="X86" s="1"/>
  <c r="Y6"/>
  <c r="Z46" s="1"/>
  <c r="Z6"/>
  <c r="B9"/>
  <c r="C9"/>
  <c r="D9"/>
  <c r="E9"/>
  <c r="F9"/>
  <c r="F89" s="1"/>
  <c r="G9"/>
  <c r="H9"/>
  <c r="I9"/>
  <c r="J9"/>
  <c r="K9"/>
  <c r="L9"/>
  <c r="L89" s="1"/>
  <c r="M9"/>
  <c r="N9"/>
  <c r="N89" s="1"/>
  <c r="O9"/>
  <c r="O89" s="1"/>
  <c r="P9"/>
  <c r="P89" s="1"/>
  <c r="Q9"/>
  <c r="R9"/>
  <c r="S9"/>
  <c r="S89" s="1"/>
  <c r="T9"/>
  <c r="U9"/>
  <c r="V9"/>
  <c r="W9"/>
  <c r="X9"/>
  <c r="Y9"/>
  <c r="Z9"/>
  <c r="Z89" s="1"/>
  <c r="B13"/>
  <c r="C13"/>
  <c r="D13"/>
  <c r="E13"/>
  <c r="F13"/>
  <c r="G13"/>
  <c r="H13"/>
  <c r="H93" s="1"/>
  <c r="I13"/>
  <c r="J13"/>
  <c r="J93" s="1"/>
  <c r="K13"/>
  <c r="L13"/>
  <c r="M13"/>
  <c r="N13"/>
  <c r="O13"/>
  <c r="P13"/>
  <c r="Q13"/>
  <c r="R13"/>
  <c r="R93" s="1"/>
  <c r="S13"/>
  <c r="T13"/>
  <c r="T93" s="1"/>
  <c r="U13"/>
  <c r="V13"/>
  <c r="V93" s="1"/>
  <c r="W13"/>
  <c r="X13"/>
  <c r="Y13"/>
  <c r="Z13"/>
  <c r="Z93" s="1"/>
  <c r="G87" i="13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AW87"/>
  <c r="AX87"/>
  <c r="AY87"/>
  <c r="AZ87"/>
  <c r="BA87"/>
  <c r="BB87"/>
  <c r="BC87"/>
  <c r="BD87"/>
  <c r="BE87"/>
  <c r="BF87"/>
  <c r="BG87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AM88"/>
  <c r="AN88"/>
  <c r="AO88"/>
  <c r="AP88"/>
  <c r="AQ88"/>
  <c r="AR88"/>
  <c r="AS88"/>
  <c r="AT88"/>
  <c r="AU88"/>
  <c r="AV88"/>
  <c r="AW88"/>
  <c r="AX88"/>
  <c r="AY88"/>
  <c r="AZ88"/>
  <c r="BA88"/>
  <c r="BB88"/>
  <c r="BC88"/>
  <c r="BD88"/>
  <c r="BE88"/>
  <c r="BF88"/>
  <c r="BG88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AK90"/>
  <c r="AL90"/>
  <c r="AM90"/>
  <c r="AN90"/>
  <c r="AO90"/>
  <c r="AP90"/>
  <c r="AQ90"/>
  <c r="AR90"/>
  <c r="AS90"/>
  <c r="AT90"/>
  <c r="AU90"/>
  <c r="AV90"/>
  <c r="AW90"/>
  <c r="AX90"/>
  <c r="AY90"/>
  <c r="AZ90"/>
  <c r="BA90"/>
  <c r="BB90"/>
  <c r="BC90"/>
  <c r="BD90"/>
  <c r="BE90"/>
  <c r="BF90"/>
  <c r="BG90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AK91"/>
  <c r="AL91"/>
  <c r="AM91"/>
  <c r="AN91"/>
  <c r="AO91"/>
  <c r="AP91"/>
  <c r="AQ91"/>
  <c r="AR91"/>
  <c r="AS91"/>
  <c r="AT91"/>
  <c r="AU91"/>
  <c r="AV91"/>
  <c r="AW91"/>
  <c r="AX91"/>
  <c r="AY91"/>
  <c r="AZ91"/>
  <c r="BA91"/>
  <c r="BB91"/>
  <c r="BC91"/>
  <c r="BD91"/>
  <c r="BE91"/>
  <c r="BF91"/>
  <c r="BG91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AK92"/>
  <c r="AL92"/>
  <c r="AM92"/>
  <c r="AN92"/>
  <c r="AO92"/>
  <c r="AP92"/>
  <c r="AQ92"/>
  <c r="AR92"/>
  <c r="AS92"/>
  <c r="AT92"/>
  <c r="AU92"/>
  <c r="AV92"/>
  <c r="AW92"/>
  <c r="AX92"/>
  <c r="AY92"/>
  <c r="AZ92"/>
  <c r="BA92"/>
  <c r="BB92"/>
  <c r="BC92"/>
  <c r="BD92"/>
  <c r="BE92"/>
  <c r="BF92"/>
  <c r="BG92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AK94"/>
  <c r="AL94"/>
  <c r="AM94"/>
  <c r="AN94"/>
  <c r="AO94"/>
  <c r="AP94"/>
  <c r="AQ94"/>
  <c r="AR94"/>
  <c r="AS94"/>
  <c r="AT94"/>
  <c r="AU94"/>
  <c r="AV94"/>
  <c r="AW94"/>
  <c r="AX94"/>
  <c r="AY94"/>
  <c r="AZ94"/>
  <c r="BA94"/>
  <c r="BB94"/>
  <c r="BC94"/>
  <c r="BD94"/>
  <c r="BE94"/>
  <c r="BF94"/>
  <c r="BG94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AK95"/>
  <c r="AL95"/>
  <c r="AM95"/>
  <c r="AN95"/>
  <c r="AO95"/>
  <c r="AP95"/>
  <c r="AQ95"/>
  <c r="AR95"/>
  <c r="AS95"/>
  <c r="AT95"/>
  <c r="AU95"/>
  <c r="AV95"/>
  <c r="AW95"/>
  <c r="AX95"/>
  <c r="AY95"/>
  <c r="AZ95"/>
  <c r="BA95"/>
  <c r="BB95"/>
  <c r="BC95"/>
  <c r="BD95"/>
  <c r="BE95"/>
  <c r="BF95"/>
  <c r="BG95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AM96"/>
  <c r="AN96"/>
  <c r="AO96"/>
  <c r="AP96"/>
  <c r="AQ96"/>
  <c r="AR96"/>
  <c r="AS96"/>
  <c r="AT96"/>
  <c r="AU96"/>
  <c r="AV96"/>
  <c r="AW96"/>
  <c r="AX96"/>
  <c r="AY96"/>
  <c r="AZ96"/>
  <c r="BA96"/>
  <c r="BB96"/>
  <c r="BC96"/>
  <c r="BD96"/>
  <c r="BE96"/>
  <c r="BF96"/>
  <c r="BG96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AK97"/>
  <c r="AL97"/>
  <c r="AM97"/>
  <c r="AN97"/>
  <c r="AO97"/>
  <c r="AP97"/>
  <c r="AQ97"/>
  <c r="AR97"/>
  <c r="AS97"/>
  <c r="AT97"/>
  <c r="AU97"/>
  <c r="AV97"/>
  <c r="AW97"/>
  <c r="AX97"/>
  <c r="AY97"/>
  <c r="AZ97"/>
  <c r="BA97"/>
  <c r="BB97"/>
  <c r="BC97"/>
  <c r="BD97"/>
  <c r="BE97"/>
  <c r="BF97"/>
  <c r="BG97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AK98"/>
  <c r="AL98"/>
  <c r="AM98"/>
  <c r="AN98"/>
  <c r="AO98"/>
  <c r="AP98"/>
  <c r="AQ98"/>
  <c r="AR98"/>
  <c r="AS98"/>
  <c r="AT98"/>
  <c r="AU98"/>
  <c r="AV98"/>
  <c r="AW98"/>
  <c r="AX98"/>
  <c r="AY98"/>
  <c r="AZ98"/>
  <c r="BA98"/>
  <c r="BB98"/>
  <c r="BC98"/>
  <c r="BD98"/>
  <c r="BE98"/>
  <c r="BF98"/>
  <c r="BG98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AK100"/>
  <c r="AL100"/>
  <c r="AM100"/>
  <c r="AN100"/>
  <c r="AO100"/>
  <c r="AP100"/>
  <c r="AQ100"/>
  <c r="AR100"/>
  <c r="AS100"/>
  <c r="AT100"/>
  <c r="AU100"/>
  <c r="AV100"/>
  <c r="AW100"/>
  <c r="AX100"/>
  <c r="AY100"/>
  <c r="AZ100"/>
  <c r="BA100"/>
  <c r="BB100"/>
  <c r="BC100"/>
  <c r="BD100"/>
  <c r="BE100"/>
  <c r="BF100"/>
  <c r="BG100"/>
  <c r="F100"/>
  <c r="F97"/>
  <c r="F98"/>
  <c r="F96"/>
  <c r="F95"/>
  <c r="F94"/>
  <c r="F90"/>
  <c r="F91"/>
  <c r="F92"/>
  <c r="F87"/>
  <c r="F88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O59" i="12"/>
  <c r="BE40" i="13" s="1"/>
  <c r="BE40" i="14" s="1"/>
  <c r="O53" i="12"/>
  <c r="BD34" i="13" s="1"/>
  <c r="BD34" i="14" s="1"/>
  <c r="O54" i="12"/>
  <c r="BB35" i="13" s="1"/>
  <c r="BB35" i="14" s="1"/>
  <c r="O55" i="12"/>
  <c r="BD36" i="13" s="1"/>
  <c r="BD36" i="14" s="1"/>
  <c r="O56" i="12"/>
  <c r="P96" s="1"/>
  <c r="O57"/>
  <c r="BB38" i="13" s="1"/>
  <c r="BB38" i="14" s="1"/>
  <c r="O49" i="12"/>
  <c r="BC30" i="13" s="1"/>
  <c r="BC30" i="14" s="1"/>
  <c r="O50" i="12"/>
  <c r="BE31" i="13" s="1"/>
  <c r="BE31" i="14" s="1"/>
  <c r="O51" i="12"/>
  <c r="BE32" i="13" s="1"/>
  <c r="BE32" i="14" s="1"/>
  <c r="O47" i="12"/>
  <c r="P87" s="1"/>
  <c r="O46"/>
  <c r="V25" i="13"/>
  <c r="V45" s="1"/>
  <c r="V65" s="1"/>
  <c r="V85" s="1"/>
  <c r="V105" s="1"/>
  <c r="W25"/>
  <c r="W45" s="1"/>
  <c r="W65" s="1"/>
  <c r="W85" s="1"/>
  <c r="W105" s="1"/>
  <c r="X25"/>
  <c r="X45" s="1"/>
  <c r="X65" s="1"/>
  <c r="X85" s="1"/>
  <c r="X105" s="1"/>
  <c r="Y25"/>
  <c r="Y45" s="1"/>
  <c r="Y65" s="1"/>
  <c r="Y85" s="1"/>
  <c r="Y105" s="1"/>
  <c r="V13"/>
  <c r="V53" s="1"/>
  <c r="W13"/>
  <c r="X13"/>
  <c r="Y13"/>
  <c r="V9"/>
  <c r="W9"/>
  <c r="X9"/>
  <c r="Y9"/>
  <c r="Z9"/>
  <c r="Z89" s="1"/>
  <c r="V6"/>
  <c r="W6"/>
  <c r="W46" s="1"/>
  <c r="X6"/>
  <c r="X19" s="1"/>
  <c r="Y6"/>
  <c r="B6"/>
  <c r="C6"/>
  <c r="C46" s="1"/>
  <c r="D6"/>
  <c r="E6"/>
  <c r="F6"/>
  <c r="F86" s="1"/>
  <c r="G6"/>
  <c r="G86" s="1"/>
  <c r="H6"/>
  <c r="H86" s="1"/>
  <c r="I6"/>
  <c r="J6"/>
  <c r="K6"/>
  <c r="K86" s="1"/>
  <c r="L6"/>
  <c r="M6"/>
  <c r="N6"/>
  <c r="O6"/>
  <c r="P6"/>
  <c r="Q6"/>
  <c r="Q86" s="1"/>
  <c r="R6"/>
  <c r="S6"/>
  <c r="T6"/>
  <c r="T86" s="1"/>
  <c r="U6"/>
  <c r="B9"/>
  <c r="C9"/>
  <c r="D9"/>
  <c r="E9"/>
  <c r="F9"/>
  <c r="F89" s="1"/>
  <c r="G9"/>
  <c r="G89" s="1"/>
  <c r="H9"/>
  <c r="H89" s="1"/>
  <c r="I9"/>
  <c r="J9"/>
  <c r="J89" s="1"/>
  <c r="K9"/>
  <c r="K89" s="1"/>
  <c r="L9"/>
  <c r="L89" s="1"/>
  <c r="M9"/>
  <c r="N9"/>
  <c r="O9"/>
  <c r="O89" s="1"/>
  <c r="P9"/>
  <c r="P89" s="1"/>
  <c r="Q9"/>
  <c r="R9"/>
  <c r="R89" s="1"/>
  <c r="S9"/>
  <c r="S89" s="1"/>
  <c r="T9"/>
  <c r="T89" s="1"/>
  <c r="U9"/>
  <c r="B13"/>
  <c r="C13"/>
  <c r="D13"/>
  <c r="E13"/>
  <c r="F13"/>
  <c r="F93" s="1"/>
  <c r="G13"/>
  <c r="H13"/>
  <c r="I13"/>
  <c r="J13"/>
  <c r="K13"/>
  <c r="L13"/>
  <c r="M53" s="1"/>
  <c r="M13"/>
  <c r="N13"/>
  <c r="O13"/>
  <c r="O53" s="1"/>
  <c r="P13"/>
  <c r="Q13"/>
  <c r="Q93" s="1"/>
  <c r="R13"/>
  <c r="R93" s="1"/>
  <c r="S13"/>
  <c r="T13"/>
  <c r="U13"/>
  <c r="C25"/>
  <c r="C45" s="1"/>
  <c r="C65" s="1"/>
  <c r="C85" s="1"/>
  <c r="C105" s="1"/>
  <c r="D25"/>
  <c r="D45" s="1"/>
  <c r="D65" s="1"/>
  <c r="D85" s="1"/>
  <c r="D105" s="1"/>
  <c r="E25"/>
  <c r="E45" s="1"/>
  <c r="E65" s="1"/>
  <c r="E85" s="1"/>
  <c r="E105" s="1"/>
  <c r="F25"/>
  <c r="F45" s="1"/>
  <c r="F65" s="1"/>
  <c r="F85" s="1"/>
  <c r="F105" s="1"/>
  <c r="G25"/>
  <c r="G45" s="1"/>
  <c r="G65" s="1"/>
  <c r="G85" s="1"/>
  <c r="G105" s="1"/>
  <c r="H25"/>
  <c r="H45" s="1"/>
  <c r="H65" s="1"/>
  <c r="H85" s="1"/>
  <c r="H105" s="1"/>
  <c r="I25"/>
  <c r="I45" s="1"/>
  <c r="I65" s="1"/>
  <c r="I85" s="1"/>
  <c r="I105" s="1"/>
  <c r="J25"/>
  <c r="J45" s="1"/>
  <c r="J65" s="1"/>
  <c r="J85" s="1"/>
  <c r="J105" s="1"/>
  <c r="K25"/>
  <c r="K45" s="1"/>
  <c r="K65" s="1"/>
  <c r="K85" s="1"/>
  <c r="K105" s="1"/>
  <c r="L25"/>
  <c r="L45" s="1"/>
  <c r="L65" s="1"/>
  <c r="L85" s="1"/>
  <c r="L105" s="1"/>
  <c r="M25"/>
  <c r="M45" s="1"/>
  <c r="M65" s="1"/>
  <c r="M85" s="1"/>
  <c r="M105" s="1"/>
  <c r="N25"/>
  <c r="N45" s="1"/>
  <c r="N65" s="1"/>
  <c r="N85" s="1"/>
  <c r="N105" s="1"/>
  <c r="O25"/>
  <c r="O45" s="1"/>
  <c r="O65" s="1"/>
  <c r="O85" s="1"/>
  <c r="O105" s="1"/>
  <c r="P25"/>
  <c r="P45" s="1"/>
  <c r="P65" s="1"/>
  <c r="P85" s="1"/>
  <c r="P105" s="1"/>
  <c r="Q25"/>
  <c r="Q45" s="1"/>
  <c r="Q65" s="1"/>
  <c r="Q85" s="1"/>
  <c r="Q105" s="1"/>
  <c r="R25"/>
  <c r="R45" s="1"/>
  <c r="R65" s="1"/>
  <c r="R85" s="1"/>
  <c r="R105" s="1"/>
  <c r="S25"/>
  <c r="S45" s="1"/>
  <c r="S65" s="1"/>
  <c r="S85" s="1"/>
  <c r="S105" s="1"/>
  <c r="T25"/>
  <c r="T45" s="1"/>
  <c r="T65" s="1"/>
  <c r="T85" s="1"/>
  <c r="T105" s="1"/>
  <c r="U25"/>
  <c r="U45" s="1"/>
  <c r="U65" s="1"/>
  <c r="U85" s="1"/>
  <c r="U105" s="1"/>
  <c r="Z25"/>
  <c r="Z45" s="1"/>
  <c r="Z65" s="1"/>
  <c r="Z85" s="1"/>
  <c r="Z105" s="1"/>
  <c r="AA25"/>
  <c r="AA45" s="1"/>
  <c r="AA65" s="1"/>
  <c r="AA85" s="1"/>
  <c r="AA105" s="1"/>
  <c r="AB25"/>
  <c r="AB45" s="1"/>
  <c r="AB65" s="1"/>
  <c r="AB85" s="1"/>
  <c r="AB105" s="1"/>
  <c r="AC25"/>
  <c r="AC45" s="1"/>
  <c r="AC65" s="1"/>
  <c r="AC85" s="1"/>
  <c r="AC105" s="1"/>
  <c r="AD25"/>
  <c r="AD45" s="1"/>
  <c r="AD65" s="1"/>
  <c r="AD85" s="1"/>
  <c r="AD105" s="1"/>
  <c r="AE25"/>
  <c r="AE45" s="1"/>
  <c r="AE65" s="1"/>
  <c r="AE85" s="1"/>
  <c r="AE105" s="1"/>
  <c r="AF25"/>
  <c r="AF45" s="1"/>
  <c r="AF65" s="1"/>
  <c r="AF85" s="1"/>
  <c r="AF105" s="1"/>
  <c r="AG25"/>
  <c r="AG45" s="1"/>
  <c r="AG65" s="1"/>
  <c r="AG85" s="1"/>
  <c r="AG105" s="1"/>
  <c r="AH45"/>
  <c r="AH65" s="1"/>
  <c r="AH85" s="1"/>
  <c r="AH105" s="1"/>
  <c r="AI45"/>
  <c r="AI65" s="1"/>
  <c r="AI85" s="1"/>
  <c r="AI105" s="1"/>
  <c r="AJ45"/>
  <c r="AJ65" s="1"/>
  <c r="AJ85" s="1"/>
  <c r="AJ105" s="1"/>
  <c r="AK45"/>
  <c r="AK65" s="1"/>
  <c r="AK85" s="1"/>
  <c r="AK105" s="1"/>
  <c r="AL45"/>
  <c r="AL65" s="1"/>
  <c r="AL85" s="1"/>
  <c r="AL105" s="1"/>
  <c r="AM45"/>
  <c r="AM65" s="1"/>
  <c r="AM85" s="1"/>
  <c r="AM105" s="1"/>
  <c r="AN45"/>
  <c r="AN65" s="1"/>
  <c r="AN85" s="1"/>
  <c r="AN105" s="1"/>
  <c r="AO45"/>
  <c r="AO65" s="1"/>
  <c r="AO85" s="1"/>
  <c r="AO105" s="1"/>
  <c r="AP45"/>
  <c r="AP65" s="1"/>
  <c r="AP85" s="1"/>
  <c r="AP105" s="1"/>
  <c r="AQ45"/>
  <c r="AQ65" s="1"/>
  <c r="AQ85" s="1"/>
  <c r="AQ105" s="1"/>
  <c r="AR45"/>
  <c r="AR65" s="1"/>
  <c r="AR85" s="1"/>
  <c r="AR105" s="1"/>
  <c r="AS45"/>
  <c r="AS65" s="1"/>
  <c r="AS85" s="1"/>
  <c r="AS105" s="1"/>
  <c r="AT45"/>
  <c r="AT65" s="1"/>
  <c r="AT85" s="1"/>
  <c r="AT105" s="1"/>
  <c r="AU45"/>
  <c r="AU65" s="1"/>
  <c r="AU85" s="1"/>
  <c r="AU105" s="1"/>
  <c r="AV45"/>
  <c r="AV65" s="1"/>
  <c r="AV85" s="1"/>
  <c r="AV105" s="1"/>
  <c r="AW45"/>
  <c r="AW65" s="1"/>
  <c r="AW85" s="1"/>
  <c r="AW105" s="1"/>
  <c r="AX45"/>
  <c r="AX65" s="1"/>
  <c r="AX85" s="1"/>
  <c r="AX105" s="1"/>
  <c r="AY45"/>
  <c r="AY65" s="1"/>
  <c r="AY85" s="1"/>
  <c r="AY105" s="1"/>
  <c r="AZ45"/>
  <c r="AZ65" s="1"/>
  <c r="AZ85" s="1"/>
  <c r="AZ105" s="1"/>
  <c r="BA45"/>
  <c r="BA65" s="1"/>
  <c r="BA85" s="1"/>
  <c r="BA105" s="1"/>
  <c r="BB45"/>
  <c r="BB65" s="1"/>
  <c r="BB85" s="1"/>
  <c r="BB105" s="1"/>
  <c r="BC45"/>
  <c r="BC65" s="1"/>
  <c r="BC85" s="1"/>
  <c r="BC105" s="1"/>
  <c r="BD45"/>
  <c r="BD65" s="1"/>
  <c r="BD85" s="1"/>
  <c r="BD105" s="1"/>
  <c r="BE45"/>
  <c r="BE65" s="1"/>
  <c r="BE85" s="1"/>
  <c r="BE105" s="1"/>
  <c r="BF45"/>
  <c r="BF65" s="1"/>
  <c r="BF85" s="1"/>
  <c r="BF105" s="1"/>
  <c r="BG45"/>
  <c r="BG65" s="1"/>
  <c r="BG85" s="1"/>
  <c r="BG105" s="1"/>
  <c r="BH45"/>
  <c r="BH65" s="1"/>
  <c r="BH85" s="1"/>
  <c r="BH105" s="1"/>
  <c r="B25"/>
  <c r="B45" s="1"/>
  <c r="B65" s="1"/>
  <c r="B85" s="1"/>
  <c r="B105" s="1"/>
  <c r="D33" i="12"/>
  <c r="D92" s="1"/>
  <c r="E33"/>
  <c r="F33"/>
  <c r="B26"/>
  <c r="B39" s="1"/>
  <c r="B41" s="1"/>
  <c r="C26"/>
  <c r="D26"/>
  <c r="E26"/>
  <c r="F26"/>
  <c r="D29"/>
  <c r="E88" s="1"/>
  <c r="E29"/>
  <c r="F29"/>
  <c r="G88" s="1"/>
  <c r="C86"/>
  <c r="D86"/>
  <c r="E86"/>
  <c r="F86"/>
  <c r="G86"/>
  <c r="C87"/>
  <c r="D87"/>
  <c r="E87"/>
  <c r="F87"/>
  <c r="G87"/>
  <c r="C89"/>
  <c r="D89"/>
  <c r="E89"/>
  <c r="F89"/>
  <c r="G89"/>
  <c r="C90"/>
  <c r="D90"/>
  <c r="E90"/>
  <c r="F90"/>
  <c r="G90"/>
  <c r="C91"/>
  <c r="D91"/>
  <c r="E91"/>
  <c r="F91"/>
  <c r="G91"/>
  <c r="C92"/>
  <c r="G92"/>
  <c r="C93"/>
  <c r="D93"/>
  <c r="E93"/>
  <c r="F93"/>
  <c r="G93"/>
  <c r="C94"/>
  <c r="D94"/>
  <c r="E94"/>
  <c r="F94"/>
  <c r="G94"/>
  <c r="C95"/>
  <c r="D95"/>
  <c r="E95"/>
  <c r="F95"/>
  <c r="G95"/>
  <c r="C96"/>
  <c r="D96"/>
  <c r="E96"/>
  <c r="F96"/>
  <c r="G96"/>
  <c r="C97"/>
  <c r="D97"/>
  <c r="E97"/>
  <c r="F97"/>
  <c r="G97"/>
  <c r="C99"/>
  <c r="D99"/>
  <c r="E99"/>
  <c r="F99"/>
  <c r="G99"/>
  <c r="D66"/>
  <c r="E66"/>
  <c r="F66"/>
  <c r="G66"/>
  <c r="C67"/>
  <c r="D67"/>
  <c r="E67"/>
  <c r="F67"/>
  <c r="G67"/>
  <c r="C69"/>
  <c r="D69"/>
  <c r="E69"/>
  <c r="F69"/>
  <c r="G69"/>
  <c r="C70"/>
  <c r="D70"/>
  <c r="E70"/>
  <c r="F70"/>
  <c r="G70"/>
  <c r="C71"/>
  <c r="D71"/>
  <c r="E71"/>
  <c r="F71"/>
  <c r="G71"/>
  <c r="C73"/>
  <c r="D73"/>
  <c r="E73"/>
  <c r="F73"/>
  <c r="G73"/>
  <c r="C74"/>
  <c r="D74"/>
  <c r="E74"/>
  <c r="F74"/>
  <c r="G74"/>
  <c r="C75"/>
  <c r="D75"/>
  <c r="E75"/>
  <c r="F75"/>
  <c r="G75"/>
  <c r="C76"/>
  <c r="D76"/>
  <c r="E76"/>
  <c r="F76"/>
  <c r="G76"/>
  <c r="C77"/>
  <c r="D77"/>
  <c r="E77"/>
  <c r="F77"/>
  <c r="G77"/>
  <c r="C79"/>
  <c r="D79"/>
  <c r="E79"/>
  <c r="F79"/>
  <c r="G79"/>
  <c r="B46"/>
  <c r="E27" i="13"/>
  <c r="C46" i="12"/>
  <c r="G27" i="13" s="1"/>
  <c r="D46" i="12"/>
  <c r="K27" i="13" s="1"/>
  <c r="K27" i="14" s="1"/>
  <c r="E46" i="12"/>
  <c r="P27" i="13" s="1"/>
  <c r="P27" i="14" s="1"/>
  <c r="F46" i="12"/>
  <c r="U27" i="13" s="1"/>
  <c r="U27" i="14" s="1"/>
  <c r="B47" i="12"/>
  <c r="C28" i="13" s="1"/>
  <c r="C28" i="14" s="1"/>
  <c r="C47" i="12"/>
  <c r="F28" i="13" s="1"/>
  <c r="F28" i="14" s="1"/>
  <c r="D47" i="12"/>
  <c r="L28" i="13" s="1"/>
  <c r="L28" i="14" s="1"/>
  <c r="E47" i="12"/>
  <c r="F47"/>
  <c r="T28" i="13" s="1"/>
  <c r="T28" i="14" s="1"/>
  <c r="B49" i="12"/>
  <c r="E30" i="13" s="1"/>
  <c r="E30" i="14" s="1"/>
  <c r="C49" i="12"/>
  <c r="G30" i="13" s="1"/>
  <c r="D49" i="12"/>
  <c r="L30" i="13" s="1"/>
  <c r="L30" i="14" s="1"/>
  <c r="E49" i="12"/>
  <c r="O30" i="13" s="1"/>
  <c r="O30" i="14" s="1"/>
  <c r="F49" i="12"/>
  <c r="T30" i="13" s="1"/>
  <c r="T30" i="14" s="1"/>
  <c r="B50" i="12"/>
  <c r="C31" i="13" s="1"/>
  <c r="C50" i="12"/>
  <c r="F31" i="13" s="1"/>
  <c r="D50" i="12"/>
  <c r="K31" i="13" s="1"/>
  <c r="K31" i="14" s="1"/>
  <c r="E50" i="12"/>
  <c r="Q31" i="13" s="1"/>
  <c r="Q31" i="14" s="1"/>
  <c r="F50" i="12"/>
  <c r="U31" i="13" s="1"/>
  <c r="U31" i="14" s="1"/>
  <c r="B51" i="12"/>
  <c r="E32" i="13" s="1"/>
  <c r="C51" i="12"/>
  <c r="H32" i="13" s="1"/>
  <c r="D51" i="12"/>
  <c r="M32" i="13" s="1"/>
  <c r="M32" i="14" s="1"/>
  <c r="E51" i="12"/>
  <c r="N32" i="13" s="1"/>
  <c r="N32" i="14" s="1"/>
  <c r="F51" i="12"/>
  <c r="B53"/>
  <c r="C34" i="13" s="1"/>
  <c r="C34" i="14" s="1"/>
  <c r="C53" i="12"/>
  <c r="F34" i="13" s="1"/>
  <c r="D53" i="12"/>
  <c r="L34" i="13" s="1"/>
  <c r="L34" i="14" s="1"/>
  <c r="E53" i="12"/>
  <c r="P34" i="13" s="1"/>
  <c r="P34" i="14" s="1"/>
  <c r="F53" i="12"/>
  <c r="B54"/>
  <c r="B35" i="13" s="1"/>
  <c r="C54" i="12"/>
  <c r="F35" i="13" s="1"/>
  <c r="D54" i="12"/>
  <c r="L35" i="13" s="1"/>
  <c r="L35" i="14" s="1"/>
  <c r="E54" i="12"/>
  <c r="F54"/>
  <c r="B55"/>
  <c r="D36" i="13" s="1"/>
  <c r="C55" i="12"/>
  <c r="H36" i="13" s="1"/>
  <c r="H36" i="14" s="1"/>
  <c r="D55" i="12"/>
  <c r="E55"/>
  <c r="F55"/>
  <c r="T36" i="13" s="1"/>
  <c r="T36" i="14" s="1"/>
  <c r="C56" i="12"/>
  <c r="H37" i="13" s="1"/>
  <c r="D56" i="12"/>
  <c r="E56"/>
  <c r="F56"/>
  <c r="U37" i="13" s="1"/>
  <c r="U37" i="14" s="1"/>
  <c r="B57" i="12"/>
  <c r="D38" i="13" s="1"/>
  <c r="C57" i="12"/>
  <c r="G38" i="13" s="1"/>
  <c r="G38" i="14" s="1"/>
  <c r="D57" i="12"/>
  <c r="E57"/>
  <c r="O38" i="13" s="1"/>
  <c r="O38" i="14" s="1"/>
  <c r="F57" i="12"/>
  <c r="R38" i="13" s="1"/>
  <c r="R38" i="14" s="1"/>
  <c r="B59" i="12"/>
  <c r="E40" i="13" s="1"/>
  <c r="E40" i="14" s="1"/>
  <c r="C59" i="12"/>
  <c r="I40" i="13" s="1"/>
  <c r="I40" i="14" s="1"/>
  <c r="D59" i="12"/>
  <c r="J40" i="13" s="1"/>
  <c r="J40" i="14" s="1"/>
  <c r="E59" i="12"/>
  <c r="F59"/>
  <c r="B6"/>
  <c r="C6"/>
  <c r="D65" s="1"/>
  <c r="D6"/>
  <c r="E6"/>
  <c r="E148" s="1"/>
  <c r="F6"/>
  <c r="B9"/>
  <c r="B151" s="1"/>
  <c r="C9"/>
  <c r="D9"/>
  <c r="E9"/>
  <c r="F9"/>
  <c r="F19" s="1"/>
  <c r="B13"/>
  <c r="B155" s="1"/>
  <c r="C13"/>
  <c r="C155" s="1"/>
  <c r="D13"/>
  <c r="E13"/>
  <c r="F13"/>
  <c r="A4" i="23"/>
  <c r="A53" s="1"/>
  <c r="A5"/>
  <c r="A54" s="1"/>
  <c r="A6"/>
  <c r="A55" s="1"/>
  <c r="A7"/>
  <c r="A56" s="1"/>
  <c r="A8"/>
  <c r="A57" s="1"/>
  <c r="A9"/>
  <c r="A58" s="1"/>
  <c r="A10"/>
  <c r="A59" s="1"/>
  <c r="A11"/>
  <c r="A60" s="1"/>
  <c r="A12"/>
  <c r="A61" s="1"/>
  <c r="A13"/>
  <c r="A62" s="1"/>
  <c r="A14"/>
  <c r="A63" s="1"/>
  <c r="A15"/>
  <c r="A64" s="1"/>
  <c r="A16"/>
  <c r="A65" s="1"/>
  <c r="A17"/>
  <c r="A66" s="1"/>
  <c r="A18"/>
  <c r="A67" s="1"/>
  <c r="A19"/>
  <c r="A68" s="1"/>
  <c r="A20"/>
  <c r="A69" s="1"/>
  <c r="A21"/>
  <c r="A70" s="1"/>
  <c r="A22"/>
  <c r="A71" s="1"/>
  <c r="A23"/>
  <c r="A72" s="1"/>
  <c r="A24"/>
  <c r="A73" s="1"/>
  <c r="A25"/>
  <c r="A74" s="1"/>
  <c r="A26"/>
  <c r="A75" s="1"/>
  <c r="A76"/>
  <c r="A3"/>
  <c r="A52" s="1"/>
  <c r="X19" i="14"/>
  <c r="X21" s="1"/>
  <c r="P46"/>
  <c r="I8" i="6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7"/>
  <c r="E25" i="4"/>
  <c r="F25"/>
  <c r="G25"/>
  <c r="BH60" i="14"/>
  <c r="BG60"/>
  <c r="BF60"/>
  <c r="BE60"/>
  <c r="BD60"/>
  <c r="BC60"/>
  <c r="BB60"/>
  <c r="BA60"/>
  <c r="AZ60"/>
  <c r="AY60"/>
  <c r="AX60"/>
  <c r="AW60"/>
  <c r="AV60"/>
  <c r="AU60"/>
  <c r="AT60"/>
  <c r="AS60"/>
  <c r="AR60"/>
  <c r="AQ60"/>
  <c r="AP60"/>
  <c r="AO60"/>
  <c r="AN60"/>
  <c r="AM60"/>
  <c r="AL60"/>
  <c r="AK60"/>
  <c r="AJ60"/>
  <c r="AI60"/>
  <c r="AH60"/>
  <c r="AG60"/>
  <c r="AF60"/>
  <c r="AE60"/>
  <c r="AD60"/>
  <c r="AC60"/>
  <c r="AB60"/>
  <c r="AA60"/>
  <c r="BH58"/>
  <c r="BG58"/>
  <c r="BF58"/>
  <c r="BE58"/>
  <c r="BD58"/>
  <c r="BC58"/>
  <c r="BB58"/>
  <c r="BA58"/>
  <c r="AZ58"/>
  <c r="AY58"/>
  <c r="AX58"/>
  <c r="AW58"/>
  <c r="AV58"/>
  <c r="AU58"/>
  <c r="AT58"/>
  <c r="AS58"/>
  <c r="AR58"/>
  <c r="AQ58"/>
  <c r="AP58"/>
  <c r="AO58"/>
  <c r="AN58"/>
  <c r="AM58"/>
  <c r="AL58"/>
  <c r="AK58"/>
  <c r="AJ58"/>
  <c r="AI58"/>
  <c r="AH58"/>
  <c r="AG58"/>
  <c r="AF58"/>
  <c r="AE58"/>
  <c r="AD58"/>
  <c r="AC58"/>
  <c r="AB58"/>
  <c r="AA58"/>
  <c r="BH57"/>
  <c r="BG57"/>
  <c r="BF57"/>
  <c r="BE57"/>
  <c r="BD57"/>
  <c r="BC57"/>
  <c r="BB57"/>
  <c r="BA57"/>
  <c r="AZ57"/>
  <c r="AY57"/>
  <c r="AX57"/>
  <c r="AW57"/>
  <c r="AV57"/>
  <c r="AU57"/>
  <c r="AT57"/>
  <c r="AS57"/>
  <c r="AR57"/>
  <c r="AQ57"/>
  <c r="AP57"/>
  <c r="AO57"/>
  <c r="AN57"/>
  <c r="AM57"/>
  <c r="AL57"/>
  <c r="AK57"/>
  <c r="AJ57"/>
  <c r="AI57"/>
  <c r="AH57"/>
  <c r="AG57"/>
  <c r="AF57"/>
  <c r="AE57"/>
  <c r="AD57"/>
  <c r="AC57"/>
  <c r="AB57"/>
  <c r="AA57"/>
  <c r="BH56"/>
  <c r="BG56"/>
  <c r="BF56"/>
  <c r="BE56"/>
  <c r="BD56"/>
  <c r="BC56"/>
  <c r="BB56"/>
  <c r="BA56"/>
  <c r="AZ56"/>
  <c r="AY56"/>
  <c r="AX56"/>
  <c r="AW56"/>
  <c r="AV56"/>
  <c r="AU56"/>
  <c r="AT56"/>
  <c r="AS56"/>
  <c r="AR56"/>
  <c r="AQ56"/>
  <c r="AP56"/>
  <c r="AO56"/>
  <c r="AN56"/>
  <c r="AM56"/>
  <c r="AL56"/>
  <c r="AK56"/>
  <c r="AJ56"/>
  <c r="AI56"/>
  <c r="AH56"/>
  <c r="AG56"/>
  <c r="AF56"/>
  <c r="AE56"/>
  <c r="AD56"/>
  <c r="AC56"/>
  <c r="AB56"/>
  <c r="AA56"/>
  <c r="BH55"/>
  <c r="BG55"/>
  <c r="BF55"/>
  <c r="BE55"/>
  <c r="BD55"/>
  <c r="BC55"/>
  <c r="BB55"/>
  <c r="BA55"/>
  <c r="AZ55"/>
  <c r="AY55"/>
  <c r="AX55"/>
  <c r="AW55"/>
  <c r="AV55"/>
  <c r="AU55"/>
  <c r="AT55"/>
  <c r="AS55"/>
  <c r="AR55"/>
  <c r="AQ55"/>
  <c r="AP55"/>
  <c r="AO55"/>
  <c r="AN55"/>
  <c r="AM55"/>
  <c r="AL55"/>
  <c r="AK55"/>
  <c r="AJ55"/>
  <c r="AI55"/>
  <c r="AH55"/>
  <c r="AG55"/>
  <c r="AF55"/>
  <c r="AE55"/>
  <c r="AD55"/>
  <c r="AC55"/>
  <c r="AB55"/>
  <c r="AA55"/>
  <c r="BH54"/>
  <c r="BG54"/>
  <c r="BF54"/>
  <c r="BE54"/>
  <c r="BD54"/>
  <c r="BC54"/>
  <c r="BB54"/>
  <c r="BA54"/>
  <c r="AZ54"/>
  <c r="AY54"/>
  <c r="AX54"/>
  <c r="AW54"/>
  <c r="AV54"/>
  <c r="AU54"/>
  <c r="AT54"/>
  <c r="AS54"/>
  <c r="AR54"/>
  <c r="AQ54"/>
  <c r="AP54"/>
  <c r="AO54"/>
  <c r="AN54"/>
  <c r="AM54"/>
  <c r="AL54"/>
  <c r="AK54"/>
  <c r="AJ54"/>
  <c r="AI54"/>
  <c r="AH54"/>
  <c r="AG54"/>
  <c r="AF54"/>
  <c r="AE54"/>
  <c r="AD54"/>
  <c r="AC54"/>
  <c r="AB54"/>
  <c r="AA54"/>
  <c r="BH52"/>
  <c r="BG52"/>
  <c r="BF52"/>
  <c r="BE52"/>
  <c r="BD52"/>
  <c r="BC52"/>
  <c r="BB52"/>
  <c r="BA52"/>
  <c r="AZ52"/>
  <c r="AY52"/>
  <c r="AX52"/>
  <c r="AW52"/>
  <c r="AV52"/>
  <c r="AU52"/>
  <c r="AT52"/>
  <c r="AS52"/>
  <c r="AR52"/>
  <c r="AQ52"/>
  <c r="AP52"/>
  <c r="AO52"/>
  <c r="AN52"/>
  <c r="AM52"/>
  <c r="AL52"/>
  <c r="AK52"/>
  <c r="AJ52"/>
  <c r="AI52"/>
  <c r="AH52"/>
  <c r="AG52"/>
  <c r="AF52"/>
  <c r="AE52"/>
  <c r="AD52"/>
  <c r="AC52"/>
  <c r="AB52"/>
  <c r="AA52"/>
  <c r="BH51"/>
  <c r="BG51"/>
  <c r="BF51"/>
  <c r="BE51"/>
  <c r="BD51"/>
  <c r="BC51"/>
  <c r="BB51"/>
  <c r="BA51"/>
  <c r="AZ51"/>
  <c r="AY51"/>
  <c r="AX51"/>
  <c r="AW51"/>
  <c r="AV51"/>
  <c r="AU51"/>
  <c r="AT51"/>
  <c r="AS51"/>
  <c r="AR51"/>
  <c r="AQ51"/>
  <c r="AP51"/>
  <c r="AO51"/>
  <c r="AN51"/>
  <c r="AM51"/>
  <c r="AL51"/>
  <c r="AK51"/>
  <c r="AJ51"/>
  <c r="AI51"/>
  <c r="AH51"/>
  <c r="AG51"/>
  <c r="AF51"/>
  <c r="AE51"/>
  <c r="AD51"/>
  <c r="AC51"/>
  <c r="AB51"/>
  <c r="AA51"/>
  <c r="BH50"/>
  <c r="BG50"/>
  <c r="BF50"/>
  <c r="BE50"/>
  <c r="BD50"/>
  <c r="BC50"/>
  <c r="BB50"/>
  <c r="BA50"/>
  <c r="AZ50"/>
  <c r="AY50"/>
  <c r="AX50"/>
  <c r="AW50"/>
  <c r="AV50"/>
  <c r="AU50"/>
  <c r="AT50"/>
  <c r="AS50"/>
  <c r="AR50"/>
  <c r="AQ50"/>
  <c r="AP50"/>
  <c r="AO50"/>
  <c r="AN50"/>
  <c r="AM50"/>
  <c r="AL50"/>
  <c r="AK50"/>
  <c r="AJ50"/>
  <c r="AI50"/>
  <c r="AH50"/>
  <c r="AG50"/>
  <c r="AF50"/>
  <c r="AE50"/>
  <c r="AD50"/>
  <c r="AC50"/>
  <c r="AB50"/>
  <c r="AA50"/>
  <c r="BH48"/>
  <c r="BG48"/>
  <c r="BF48"/>
  <c r="BE48"/>
  <c r="BD48"/>
  <c r="BC48"/>
  <c r="BB48"/>
  <c r="BA48"/>
  <c r="AZ48"/>
  <c r="AY48"/>
  <c r="AX48"/>
  <c r="AW48"/>
  <c r="AV48"/>
  <c r="AU48"/>
  <c r="AT48"/>
  <c r="AS48"/>
  <c r="AR48"/>
  <c r="AQ48"/>
  <c r="AP48"/>
  <c r="AO48"/>
  <c r="AN48"/>
  <c r="AM48"/>
  <c r="AL48"/>
  <c r="AK48"/>
  <c r="AJ48"/>
  <c r="AI48"/>
  <c r="AH48"/>
  <c r="AG48"/>
  <c r="AF48"/>
  <c r="AE48"/>
  <c r="AD48"/>
  <c r="AC48"/>
  <c r="AB48"/>
  <c r="AA48"/>
  <c r="BH47"/>
  <c r="BG47"/>
  <c r="BF47"/>
  <c r="BE47"/>
  <c r="BD47"/>
  <c r="BC47"/>
  <c r="BB47"/>
  <c r="BA47"/>
  <c r="AZ47"/>
  <c r="AY47"/>
  <c r="AX47"/>
  <c r="AW47"/>
  <c r="AV47"/>
  <c r="AU47"/>
  <c r="AT47"/>
  <c r="AS47"/>
  <c r="AR47"/>
  <c r="AQ47"/>
  <c r="AP47"/>
  <c r="AO47"/>
  <c r="AN47"/>
  <c r="AM47"/>
  <c r="AL47"/>
  <c r="AK47"/>
  <c r="AJ47"/>
  <c r="AI47"/>
  <c r="AH47"/>
  <c r="AG47"/>
  <c r="AF47"/>
  <c r="AE47"/>
  <c r="AD47"/>
  <c r="AC47"/>
  <c r="AB47"/>
  <c r="AA47"/>
  <c r="AB6"/>
  <c r="AB86" s="1"/>
  <c r="AC6"/>
  <c r="AD6"/>
  <c r="AE6"/>
  <c r="AF6"/>
  <c r="AG6"/>
  <c r="AH6"/>
  <c r="AI6"/>
  <c r="AJ6"/>
  <c r="AJ86" s="1"/>
  <c r="AK6"/>
  <c r="AK86" s="1"/>
  <c r="AL6"/>
  <c r="AL86" s="1"/>
  <c r="AM6"/>
  <c r="AN6"/>
  <c r="AN86" s="1"/>
  <c r="AO6"/>
  <c r="AP6"/>
  <c r="AQ6"/>
  <c r="AR6"/>
  <c r="AR86" s="1"/>
  <c r="AS6"/>
  <c r="AS86" s="1"/>
  <c r="AT6"/>
  <c r="AT86" s="1"/>
  <c r="AU6"/>
  <c r="AV6"/>
  <c r="AV86" s="1"/>
  <c r="AW6"/>
  <c r="AW86" s="1"/>
  <c r="AX6"/>
  <c r="AX86" s="1"/>
  <c r="AY6"/>
  <c r="AZ6"/>
  <c r="AZ86" s="1"/>
  <c r="BA6"/>
  <c r="BB6"/>
  <c r="BB86" s="1"/>
  <c r="BC6"/>
  <c r="BD6"/>
  <c r="BD86" s="1"/>
  <c r="BE6"/>
  <c r="BE86" s="1"/>
  <c r="BF6"/>
  <c r="BF86" s="1"/>
  <c r="BG6"/>
  <c r="BH6"/>
  <c r="AB9"/>
  <c r="AC9"/>
  <c r="AD9"/>
  <c r="AE9"/>
  <c r="AF9"/>
  <c r="AF89" s="1"/>
  <c r="AG9"/>
  <c r="AH9"/>
  <c r="AI9"/>
  <c r="AJ9"/>
  <c r="AJ89" s="1"/>
  <c r="AK9"/>
  <c r="AK89" s="1"/>
  <c r="AL9"/>
  <c r="AL89" s="1"/>
  <c r="AM9"/>
  <c r="AN9"/>
  <c r="AN89" s="1"/>
  <c r="AO9"/>
  <c r="AP9"/>
  <c r="AP89" s="1"/>
  <c r="AQ9"/>
  <c r="AR9"/>
  <c r="AR89" s="1"/>
  <c r="AS9"/>
  <c r="AS89" s="1"/>
  <c r="AT9"/>
  <c r="AT89" s="1"/>
  <c r="AU9"/>
  <c r="AV9"/>
  <c r="AV89" s="1"/>
  <c r="AW9"/>
  <c r="AW89" s="1"/>
  <c r="AX9"/>
  <c r="AX89" s="1"/>
  <c r="AY9"/>
  <c r="AZ9"/>
  <c r="AZ89" s="1"/>
  <c r="BA9"/>
  <c r="BA89" s="1"/>
  <c r="BB9"/>
  <c r="BB89" s="1"/>
  <c r="BC9"/>
  <c r="BD9"/>
  <c r="BD89" s="1"/>
  <c r="BE9"/>
  <c r="BE89" s="1"/>
  <c r="BF9"/>
  <c r="BF89" s="1"/>
  <c r="BG9"/>
  <c r="BH9"/>
  <c r="BH89" s="1"/>
  <c r="AB13"/>
  <c r="AB19" s="1"/>
  <c r="AB99" s="1"/>
  <c r="AC13"/>
  <c r="AD13"/>
  <c r="AD93" s="1"/>
  <c r="AE13"/>
  <c r="AF13"/>
  <c r="AF93" s="1"/>
  <c r="AG13"/>
  <c r="AH13"/>
  <c r="AI13"/>
  <c r="AI93" s="1"/>
  <c r="AJ13"/>
  <c r="AK13"/>
  <c r="AK93" s="1"/>
  <c r="AL13"/>
  <c r="AL93" s="1"/>
  <c r="AM13"/>
  <c r="AN13"/>
  <c r="AO13"/>
  <c r="AO93" s="1"/>
  <c r="AP13"/>
  <c r="AQ13"/>
  <c r="AR13"/>
  <c r="AR93" s="1"/>
  <c r="AS13"/>
  <c r="AS93" s="1"/>
  <c r="AT13"/>
  <c r="AU13"/>
  <c r="AV13"/>
  <c r="AW13"/>
  <c r="AW93" s="1"/>
  <c r="AX13"/>
  <c r="AY13"/>
  <c r="AY93" s="1"/>
  <c r="AZ13"/>
  <c r="BA13"/>
  <c r="BA93" s="1"/>
  <c r="BB13"/>
  <c r="BC13"/>
  <c r="BD13"/>
  <c r="BE13"/>
  <c r="BE93" s="1"/>
  <c r="BF13"/>
  <c r="BG13"/>
  <c r="BH13"/>
  <c r="AA6"/>
  <c r="AA9"/>
  <c r="AE89" s="1"/>
  <c r="AA13"/>
  <c r="AA53" s="1"/>
  <c r="AA47" i="13"/>
  <c r="AB47"/>
  <c r="AC47"/>
  <c r="AD47"/>
  <c r="AE47"/>
  <c r="AF47"/>
  <c r="AG47"/>
  <c r="AH47"/>
  <c r="AI47"/>
  <c r="AJ47"/>
  <c r="AK47"/>
  <c r="AL47"/>
  <c r="AM47"/>
  <c r="AN47"/>
  <c r="AO47"/>
  <c r="AP47"/>
  <c r="AQ47"/>
  <c r="AR47"/>
  <c r="AS47"/>
  <c r="AT47"/>
  <c r="AU47"/>
  <c r="AV47"/>
  <c r="AW47"/>
  <c r="AX47"/>
  <c r="AY47"/>
  <c r="AZ47"/>
  <c r="BA47"/>
  <c r="BB47"/>
  <c r="AA48"/>
  <c r="AB48"/>
  <c r="AC48"/>
  <c r="AD48"/>
  <c r="AE48"/>
  <c r="AF48"/>
  <c r="AG48"/>
  <c r="AH48"/>
  <c r="AI48"/>
  <c r="AJ48"/>
  <c r="AK48"/>
  <c r="AL48"/>
  <c r="AM48"/>
  <c r="AN48"/>
  <c r="AO48"/>
  <c r="AP48"/>
  <c r="AQ48"/>
  <c r="AR48"/>
  <c r="AS48"/>
  <c r="AT48"/>
  <c r="AU48"/>
  <c r="AV48"/>
  <c r="AW48"/>
  <c r="AX48"/>
  <c r="AY48"/>
  <c r="AZ48"/>
  <c r="BA48"/>
  <c r="BB48"/>
  <c r="AA50"/>
  <c r="AB50"/>
  <c r="AC50"/>
  <c r="AD50"/>
  <c r="AE50"/>
  <c r="AF50"/>
  <c r="AG50"/>
  <c r="AH50"/>
  <c r="AI50"/>
  <c r="AJ50"/>
  <c r="AK50"/>
  <c r="AL50"/>
  <c r="AM50"/>
  <c r="AN50"/>
  <c r="AO50"/>
  <c r="AP50"/>
  <c r="AQ50"/>
  <c r="AR50"/>
  <c r="AS50"/>
  <c r="AT50"/>
  <c r="AU50"/>
  <c r="AV50"/>
  <c r="AW50"/>
  <c r="AX50"/>
  <c r="AY50"/>
  <c r="AZ50"/>
  <c r="BA50"/>
  <c r="BB50"/>
  <c r="AA51"/>
  <c r="AB51"/>
  <c r="AC51"/>
  <c r="AD51"/>
  <c r="AE51"/>
  <c r="AF51"/>
  <c r="AG51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AY51"/>
  <c r="AZ51"/>
  <c r="BA51"/>
  <c r="BB51"/>
  <c r="AA52"/>
  <c r="AB52"/>
  <c r="AC52"/>
  <c r="AD52"/>
  <c r="AE52"/>
  <c r="AF52"/>
  <c r="AG52"/>
  <c r="AH52"/>
  <c r="AI52"/>
  <c r="AJ52"/>
  <c r="AK52"/>
  <c r="AL52"/>
  <c r="AM52"/>
  <c r="AN52"/>
  <c r="AO52"/>
  <c r="AP52"/>
  <c r="AQ52"/>
  <c r="AR52"/>
  <c r="AS52"/>
  <c r="AT52"/>
  <c r="AU52"/>
  <c r="AV52"/>
  <c r="AW52"/>
  <c r="AX52"/>
  <c r="AY52"/>
  <c r="AZ52"/>
  <c r="BA52"/>
  <c r="BB52"/>
  <c r="AA54"/>
  <c r="AB54"/>
  <c r="AC54"/>
  <c r="AD54"/>
  <c r="AE54"/>
  <c r="AF54"/>
  <c r="AG54"/>
  <c r="AH54"/>
  <c r="AI54"/>
  <c r="AJ54"/>
  <c r="AK54"/>
  <c r="AL54"/>
  <c r="AM54"/>
  <c r="AN54"/>
  <c r="AO54"/>
  <c r="AP54"/>
  <c r="AQ54"/>
  <c r="AR54"/>
  <c r="AS54"/>
  <c r="AT54"/>
  <c r="AU54"/>
  <c r="AV54"/>
  <c r="AW54"/>
  <c r="AX54"/>
  <c r="AY54"/>
  <c r="AZ54"/>
  <c r="BA54"/>
  <c r="BB54"/>
  <c r="AA55"/>
  <c r="AB55"/>
  <c r="AC55"/>
  <c r="AD55"/>
  <c r="AE55"/>
  <c r="AF55"/>
  <c r="AG55"/>
  <c r="AH55"/>
  <c r="AI55"/>
  <c r="AJ55"/>
  <c r="AK55"/>
  <c r="AL55"/>
  <c r="AM55"/>
  <c r="AN55"/>
  <c r="AO55"/>
  <c r="AP55"/>
  <c r="AQ55"/>
  <c r="AR55"/>
  <c r="AS55"/>
  <c r="AT55"/>
  <c r="AU55"/>
  <c r="AV55"/>
  <c r="AW55"/>
  <c r="AX55"/>
  <c r="AY55"/>
  <c r="AZ55"/>
  <c r="BA55"/>
  <c r="BB55"/>
  <c r="AA56"/>
  <c r="AB56"/>
  <c r="AC56"/>
  <c r="AD56"/>
  <c r="AE56"/>
  <c r="AF56"/>
  <c r="AG56"/>
  <c r="AH56"/>
  <c r="AI56"/>
  <c r="AJ56"/>
  <c r="AK56"/>
  <c r="AL56"/>
  <c r="AM56"/>
  <c r="AN56"/>
  <c r="AO56"/>
  <c r="AP56"/>
  <c r="AQ56"/>
  <c r="AR56"/>
  <c r="AS56"/>
  <c r="AT56"/>
  <c r="AU56"/>
  <c r="AV56"/>
  <c r="AW56"/>
  <c r="AX56"/>
  <c r="AY56"/>
  <c r="AZ56"/>
  <c r="BA56"/>
  <c r="BB56"/>
  <c r="AA57"/>
  <c r="AB57"/>
  <c r="AC57"/>
  <c r="AD57"/>
  <c r="AE57"/>
  <c r="AF57"/>
  <c r="AG57"/>
  <c r="AH57"/>
  <c r="AI57"/>
  <c r="AJ57"/>
  <c r="AK57"/>
  <c r="AL57"/>
  <c r="AM57"/>
  <c r="AN57"/>
  <c r="AO57"/>
  <c r="AP57"/>
  <c r="AQ57"/>
  <c r="AR57"/>
  <c r="AS57"/>
  <c r="AT57"/>
  <c r="AU57"/>
  <c r="AV57"/>
  <c r="AW57"/>
  <c r="AX57"/>
  <c r="AY57"/>
  <c r="AZ57"/>
  <c r="BA57"/>
  <c r="BB57"/>
  <c r="AA58"/>
  <c r="AB58"/>
  <c r="AC58"/>
  <c r="AD58"/>
  <c r="AE58"/>
  <c r="AF58"/>
  <c r="AG58"/>
  <c r="AH58"/>
  <c r="AI58"/>
  <c r="AJ58"/>
  <c r="AK58"/>
  <c r="AL58"/>
  <c r="AM58"/>
  <c r="AN58"/>
  <c r="AO58"/>
  <c r="AP58"/>
  <c r="AQ58"/>
  <c r="AR58"/>
  <c r="AS58"/>
  <c r="AT58"/>
  <c r="AU58"/>
  <c r="AV58"/>
  <c r="AW58"/>
  <c r="AX58"/>
  <c r="AY58"/>
  <c r="AZ58"/>
  <c r="BA58"/>
  <c r="BB58"/>
  <c r="AA60"/>
  <c r="AB60"/>
  <c r="AC60"/>
  <c r="AD60"/>
  <c r="AE60"/>
  <c r="AF60"/>
  <c r="AG60"/>
  <c r="AH60"/>
  <c r="AI60"/>
  <c r="AJ60"/>
  <c r="AK60"/>
  <c r="AL60"/>
  <c r="AM60"/>
  <c r="AN60"/>
  <c r="AO60"/>
  <c r="AP60"/>
  <c r="AQ60"/>
  <c r="AR60"/>
  <c r="AS60"/>
  <c r="AT60"/>
  <c r="AU60"/>
  <c r="AV60"/>
  <c r="AW60"/>
  <c r="AX60"/>
  <c r="AY60"/>
  <c r="AZ60"/>
  <c r="BA60"/>
  <c r="BB60"/>
  <c r="Z6"/>
  <c r="Z46" s="1"/>
  <c r="AA6"/>
  <c r="AB6"/>
  <c r="AC6"/>
  <c r="AD6"/>
  <c r="AD86" s="1"/>
  <c r="AE6"/>
  <c r="AF6"/>
  <c r="AF86" s="1"/>
  <c r="AG6"/>
  <c r="AG86" s="1"/>
  <c r="AH6"/>
  <c r="AH86" s="1"/>
  <c r="AI6"/>
  <c r="AI86" s="1"/>
  <c r="AJ6"/>
  <c r="AK6"/>
  <c r="AL6"/>
  <c r="AM6"/>
  <c r="AN6"/>
  <c r="AO6"/>
  <c r="AO86" s="1"/>
  <c r="AP6"/>
  <c r="AQ6"/>
  <c r="AQ86" s="1"/>
  <c r="AR6"/>
  <c r="AS6"/>
  <c r="AT6"/>
  <c r="AU6"/>
  <c r="AV6"/>
  <c r="AW6"/>
  <c r="AX6"/>
  <c r="AY6"/>
  <c r="AY86" s="1"/>
  <c r="AZ6"/>
  <c r="AA9"/>
  <c r="AB9"/>
  <c r="AC9"/>
  <c r="AD9"/>
  <c r="AE9"/>
  <c r="AE89" s="1"/>
  <c r="AF9"/>
  <c r="AF89" s="1"/>
  <c r="AG9"/>
  <c r="AH9"/>
  <c r="AI9"/>
  <c r="AJ9"/>
  <c r="AJ89" s="1"/>
  <c r="AK9"/>
  <c r="AL9"/>
  <c r="AL89" s="1"/>
  <c r="AM9"/>
  <c r="AN9"/>
  <c r="AN89" s="1"/>
  <c r="AO9"/>
  <c r="AO89" s="1"/>
  <c r="AP9"/>
  <c r="AP89" s="1"/>
  <c r="AQ9"/>
  <c r="AQ89" s="1"/>
  <c r="AR9"/>
  <c r="AS49" s="1"/>
  <c r="AS9"/>
  <c r="AT9"/>
  <c r="AT89" s="1"/>
  <c r="AU9"/>
  <c r="AU89" s="1"/>
  <c r="AV9"/>
  <c r="AV89" s="1"/>
  <c r="AW9"/>
  <c r="AX9"/>
  <c r="AX89" s="1"/>
  <c r="AY9"/>
  <c r="AY89" s="1"/>
  <c r="AZ9"/>
  <c r="AZ89" s="1"/>
  <c r="Z13"/>
  <c r="AA13"/>
  <c r="AB13"/>
  <c r="AC13"/>
  <c r="AD13"/>
  <c r="AE13"/>
  <c r="AE93" s="1"/>
  <c r="AF13"/>
  <c r="AF93" s="1"/>
  <c r="AG13"/>
  <c r="AH13"/>
  <c r="AI13"/>
  <c r="AI93" s="1"/>
  <c r="AJ13"/>
  <c r="AJ93" s="1"/>
  <c r="AK13"/>
  <c r="AK93" s="1"/>
  <c r="AL13"/>
  <c r="AM13"/>
  <c r="AM93" s="1"/>
  <c r="AN13"/>
  <c r="AN93" s="1"/>
  <c r="AO13"/>
  <c r="AP13"/>
  <c r="AQ13"/>
  <c r="AR13"/>
  <c r="AS13"/>
  <c r="AT13"/>
  <c r="AU13"/>
  <c r="AU93" s="1"/>
  <c r="AV13"/>
  <c r="AV93" s="1"/>
  <c r="AW13"/>
  <c r="AX13"/>
  <c r="AY13"/>
  <c r="AY93" s="1"/>
  <c r="AZ13"/>
  <c r="AZ93" s="1"/>
  <c r="BA13"/>
  <c r="BA9"/>
  <c r="BA6"/>
  <c r="BC47"/>
  <c r="BD47"/>
  <c r="BE47"/>
  <c r="BF47"/>
  <c r="BG47"/>
  <c r="BC48"/>
  <c r="BD48"/>
  <c r="BE48"/>
  <c r="BF48"/>
  <c r="BG48"/>
  <c r="BC50"/>
  <c r="BD50"/>
  <c r="BE50"/>
  <c r="BF50"/>
  <c r="BG50"/>
  <c r="BC51"/>
  <c r="BD51"/>
  <c r="BE51"/>
  <c r="BF51"/>
  <c r="BG51"/>
  <c r="BC52"/>
  <c r="BD52"/>
  <c r="BE52"/>
  <c r="BF52"/>
  <c r="BG52"/>
  <c r="BC54"/>
  <c r="BD54"/>
  <c r="BE54"/>
  <c r="BF54"/>
  <c r="BG54"/>
  <c r="BC55"/>
  <c r="BD55"/>
  <c r="BE55"/>
  <c r="BF55"/>
  <c r="BG55"/>
  <c r="BC56"/>
  <c r="BD56"/>
  <c r="BE56"/>
  <c r="BF56"/>
  <c r="BG56"/>
  <c r="BC57"/>
  <c r="BD57"/>
  <c r="BE57"/>
  <c r="BF57"/>
  <c r="BG57"/>
  <c r="BC58"/>
  <c r="BD58"/>
  <c r="BE58"/>
  <c r="BF58"/>
  <c r="BG58"/>
  <c r="BC60"/>
  <c r="BD60"/>
  <c r="BE60"/>
  <c r="BF60"/>
  <c r="BG60"/>
  <c r="N99" i="12"/>
  <c r="M99"/>
  <c r="L99"/>
  <c r="K99"/>
  <c r="J99"/>
  <c r="I99"/>
  <c r="H99"/>
  <c r="N97"/>
  <c r="M97"/>
  <c r="L97"/>
  <c r="K97"/>
  <c r="J97"/>
  <c r="I97"/>
  <c r="H97"/>
  <c r="N96"/>
  <c r="M96"/>
  <c r="L96"/>
  <c r="K96"/>
  <c r="J96"/>
  <c r="I96"/>
  <c r="H96"/>
  <c r="N95"/>
  <c r="M95"/>
  <c r="L95"/>
  <c r="K95"/>
  <c r="J95"/>
  <c r="I95"/>
  <c r="H95"/>
  <c r="N94"/>
  <c r="M94"/>
  <c r="L94"/>
  <c r="K94"/>
  <c r="J94"/>
  <c r="I94"/>
  <c r="H94"/>
  <c r="N93"/>
  <c r="M93"/>
  <c r="L93"/>
  <c r="K93"/>
  <c r="J93"/>
  <c r="I93"/>
  <c r="H93"/>
  <c r="I92"/>
  <c r="H92"/>
  <c r="N91"/>
  <c r="M91"/>
  <c r="L91"/>
  <c r="K91"/>
  <c r="J91"/>
  <c r="I91"/>
  <c r="H91"/>
  <c r="N90"/>
  <c r="M90"/>
  <c r="L90"/>
  <c r="K90"/>
  <c r="J90"/>
  <c r="I90"/>
  <c r="H90"/>
  <c r="N89"/>
  <c r="M89"/>
  <c r="L89"/>
  <c r="K89"/>
  <c r="J89"/>
  <c r="I89"/>
  <c r="H89"/>
  <c r="I88"/>
  <c r="H88"/>
  <c r="N87"/>
  <c r="M87"/>
  <c r="L87"/>
  <c r="K87"/>
  <c r="J87"/>
  <c r="I87"/>
  <c r="H87"/>
  <c r="N86"/>
  <c r="M86"/>
  <c r="L86"/>
  <c r="K86"/>
  <c r="J86"/>
  <c r="I86"/>
  <c r="H86"/>
  <c r="I85"/>
  <c r="H85"/>
  <c r="I66"/>
  <c r="J66"/>
  <c r="K66"/>
  <c r="L66"/>
  <c r="M66"/>
  <c r="N66"/>
  <c r="O66"/>
  <c r="I67"/>
  <c r="J67"/>
  <c r="K67"/>
  <c r="L67"/>
  <c r="M67"/>
  <c r="N67"/>
  <c r="I69"/>
  <c r="J69"/>
  <c r="K69"/>
  <c r="L69"/>
  <c r="M69"/>
  <c r="N69"/>
  <c r="O69"/>
  <c r="I70"/>
  <c r="J70"/>
  <c r="K70"/>
  <c r="L70"/>
  <c r="M70"/>
  <c r="N70"/>
  <c r="O70"/>
  <c r="I71"/>
  <c r="J71"/>
  <c r="K71"/>
  <c r="L71"/>
  <c r="M71"/>
  <c r="N71"/>
  <c r="O71"/>
  <c r="I73"/>
  <c r="J73"/>
  <c r="K73"/>
  <c r="L73"/>
  <c r="M73"/>
  <c r="N73"/>
  <c r="O73"/>
  <c r="I74"/>
  <c r="J74"/>
  <c r="K74"/>
  <c r="L74"/>
  <c r="M74"/>
  <c r="N74"/>
  <c r="O74"/>
  <c r="I75"/>
  <c r="J75"/>
  <c r="K75"/>
  <c r="L75"/>
  <c r="M75"/>
  <c r="N75"/>
  <c r="O75"/>
  <c r="I76"/>
  <c r="J76"/>
  <c r="K76"/>
  <c r="L76"/>
  <c r="M76"/>
  <c r="N76"/>
  <c r="O76"/>
  <c r="I77"/>
  <c r="J77"/>
  <c r="K77"/>
  <c r="L77"/>
  <c r="M77"/>
  <c r="N77"/>
  <c r="O77"/>
  <c r="I79"/>
  <c r="J79"/>
  <c r="K79"/>
  <c r="L79"/>
  <c r="M79"/>
  <c r="N79"/>
  <c r="O79"/>
  <c r="H66"/>
  <c r="H67"/>
  <c r="H69"/>
  <c r="H70"/>
  <c r="H71"/>
  <c r="H73"/>
  <c r="H74"/>
  <c r="H75"/>
  <c r="H76"/>
  <c r="H77"/>
  <c r="H79"/>
  <c r="BH6" i="13"/>
  <c r="BH9"/>
  <c r="BH13"/>
  <c r="BG13"/>
  <c r="BG93" s="1"/>
  <c r="BF13"/>
  <c r="BE13"/>
  <c r="BD13"/>
  <c r="BC13"/>
  <c r="BB13"/>
  <c r="BG9"/>
  <c r="BF9"/>
  <c r="BE9"/>
  <c r="BD9"/>
  <c r="BC9"/>
  <c r="BB9"/>
  <c r="BG6"/>
  <c r="BF6"/>
  <c r="BE6"/>
  <c r="BD6"/>
  <c r="BC6"/>
  <c r="BB6"/>
  <c r="O99" i="12"/>
  <c r="O94"/>
  <c r="O91"/>
  <c r="O90"/>
  <c r="O89"/>
  <c r="O86"/>
  <c r="H46"/>
  <c r="AC27" i="13" s="1"/>
  <c r="AC27" i="14" s="1"/>
  <c r="I46" i="12"/>
  <c r="AE27" i="13" s="1"/>
  <c r="AE27" i="14" s="1"/>
  <c r="J46" i="12"/>
  <c r="AI27" i="13" s="1"/>
  <c r="AI27" i="14" s="1"/>
  <c r="K46" i="12"/>
  <c r="AM27" i="13" s="1"/>
  <c r="AM27" i="14" s="1"/>
  <c r="L46" i="12"/>
  <c r="M46"/>
  <c r="AV27" i="13" s="1"/>
  <c r="AV27" i="14" s="1"/>
  <c r="N46" i="12"/>
  <c r="AZ27" i="13" s="1"/>
  <c r="AZ27" i="14" s="1"/>
  <c r="H47" i="12"/>
  <c r="Z28" i="13" s="1"/>
  <c r="Z28" i="14" s="1"/>
  <c r="I47" i="12"/>
  <c r="AG28" i="13" s="1"/>
  <c r="AG28" i="14" s="1"/>
  <c r="J47" i="12"/>
  <c r="AI28" i="13" s="1"/>
  <c r="AI28" i="14" s="1"/>
  <c r="K47" i="12"/>
  <c r="AM28" i="13" s="1"/>
  <c r="AM28" i="14" s="1"/>
  <c r="L47" i="12"/>
  <c r="AQ28" i="13" s="1"/>
  <c r="AQ28" i="14" s="1"/>
  <c r="M47" i="12"/>
  <c r="AT28" i="13" s="1"/>
  <c r="AT28" i="14" s="1"/>
  <c r="N47" i="12"/>
  <c r="BA28" i="13" s="1"/>
  <c r="BA28" i="14" s="1"/>
  <c r="H49" i="12"/>
  <c r="AB30" i="13" s="1"/>
  <c r="AB30" i="14" s="1"/>
  <c r="I49" i="12"/>
  <c r="AG30" i="13" s="1"/>
  <c r="AG30" i="14" s="1"/>
  <c r="J49" i="12"/>
  <c r="AJ30" i="13" s="1"/>
  <c r="AJ30" i="14" s="1"/>
  <c r="K49" i="12"/>
  <c r="AN30" i="13" s="1"/>
  <c r="AN30" i="14" s="1"/>
  <c r="L49" i="12"/>
  <c r="AR30" i="13" s="1"/>
  <c r="AR30" i="14" s="1"/>
  <c r="M49" i="12"/>
  <c r="AT30" i="13" s="1"/>
  <c r="AT30" i="14" s="1"/>
  <c r="N49" i="12"/>
  <c r="AX30" i="13" s="1"/>
  <c r="AX30" i="14" s="1"/>
  <c r="H50" i="12"/>
  <c r="Z31" i="13" s="1"/>
  <c r="Z31" i="14" s="1"/>
  <c r="I50" i="12"/>
  <c r="AD31" i="13" s="1"/>
  <c r="AD31" i="14" s="1"/>
  <c r="J50" i="12"/>
  <c r="AH31" i="13" s="1"/>
  <c r="AH31" i="14" s="1"/>
  <c r="K50" i="12"/>
  <c r="AN31" i="13" s="1"/>
  <c r="AN31" i="14" s="1"/>
  <c r="L50" i="12"/>
  <c r="AQ31" i="13" s="1"/>
  <c r="AQ31" i="14" s="1"/>
  <c r="M50" i="12"/>
  <c r="AV31" i="13" s="1"/>
  <c r="AV31" i="14" s="1"/>
  <c r="N50" i="12"/>
  <c r="BA31" i="13" s="1"/>
  <c r="BA31" i="14" s="1"/>
  <c r="H51" i="12"/>
  <c r="AA32" i="13" s="1"/>
  <c r="AA32" i="14" s="1"/>
  <c r="I51" i="12"/>
  <c r="AE32" i="13" s="1"/>
  <c r="AE32" i="14" s="1"/>
  <c r="J51" i="12"/>
  <c r="AI32" i="13" s="1"/>
  <c r="AI32" i="14" s="1"/>
  <c r="K51" i="12"/>
  <c r="AM32" i="13" s="1"/>
  <c r="AM32" i="14" s="1"/>
  <c r="L51" i="12"/>
  <c r="AQ32" i="13" s="1"/>
  <c r="AQ32" i="14" s="1"/>
  <c r="M51" i="12"/>
  <c r="AU32" i="13" s="1"/>
  <c r="N51" i="12"/>
  <c r="BA32" i="13" s="1"/>
  <c r="BA32" i="14" s="1"/>
  <c r="H53" i="12"/>
  <c r="AC34" i="13" s="1"/>
  <c r="AC34" i="14" s="1"/>
  <c r="I53" i="12"/>
  <c r="AE34" i="13" s="1"/>
  <c r="AE34" i="14" s="1"/>
  <c r="J53" i="12"/>
  <c r="AK34" i="13" s="1"/>
  <c r="AK34" i="14" s="1"/>
  <c r="K53" i="12"/>
  <c r="AL34" i="13" s="1"/>
  <c r="AL34" i="14" s="1"/>
  <c r="L53" i="12"/>
  <c r="AQ34" i="13" s="1"/>
  <c r="AQ34" i="14" s="1"/>
  <c r="M53" i="12"/>
  <c r="AU34" i="13" s="1"/>
  <c r="AU34" i="14" s="1"/>
  <c r="N53" i="12"/>
  <c r="AX34" i="13" s="1"/>
  <c r="AX34" i="14" s="1"/>
  <c r="H54" i="12"/>
  <c r="I54"/>
  <c r="AF35" i="13" s="1"/>
  <c r="AF35" i="14" s="1"/>
  <c r="J54" i="12"/>
  <c r="AK35" i="13" s="1"/>
  <c r="AK35" i="14" s="1"/>
  <c r="K54" i="12"/>
  <c r="AL35" i="13" s="1"/>
  <c r="AL35" i="14" s="1"/>
  <c r="L54" i="12"/>
  <c r="AS35" i="13" s="1"/>
  <c r="AS35" i="14" s="1"/>
  <c r="M54" i="12"/>
  <c r="AW35" i="13" s="1"/>
  <c r="AW35" i="14" s="1"/>
  <c r="N54" i="12"/>
  <c r="BA35" i="13" s="1"/>
  <c r="BA35" i="14" s="1"/>
  <c r="H55" i="12"/>
  <c r="AC36" i="13" s="1"/>
  <c r="AC36" i="14" s="1"/>
  <c r="I55" i="12"/>
  <c r="AD36" i="13" s="1"/>
  <c r="AD36" i="14" s="1"/>
  <c r="J55" i="12"/>
  <c r="AH36" i="13" s="1"/>
  <c r="AH36" i="14" s="1"/>
  <c r="K55" i="12"/>
  <c r="AM36" i="13" s="1"/>
  <c r="AM36" i="14" s="1"/>
  <c r="L55" i="12"/>
  <c r="AS36" i="13" s="1"/>
  <c r="AS36" i="14" s="1"/>
  <c r="M55" i="12"/>
  <c r="AW36" i="13" s="1"/>
  <c r="AW36" i="14" s="1"/>
  <c r="N55" i="12"/>
  <c r="BA36" i="13" s="1"/>
  <c r="BA36" i="14" s="1"/>
  <c r="H56" i="12"/>
  <c r="AA37" i="13" s="1"/>
  <c r="AA37" i="14" s="1"/>
  <c r="I56" i="12"/>
  <c r="AE37" i="13" s="1"/>
  <c r="AE37" i="14" s="1"/>
  <c r="J56" i="12"/>
  <c r="AJ37" i="13" s="1"/>
  <c r="AJ37" i="14" s="1"/>
  <c r="K56" i="12"/>
  <c r="AL37" i="13" s="1"/>
  <c r="AL37" i="14" s="1"/>
  <c r="L56" i="12"/>
  <c r="AQ37" i="13" s="1"/>
  <c r="AQ37" i="14" s="1"/>
  <c r="M56" i="12"/>
  <c r="AU37" i="13" s="1"/>
  <c r="AU37" i="14" s="1"/>
  <c r="N56" i="12"/>
  <c r="AX37" i="13" s="1"/>
  <c r="AX37" i="14" s="1"/>
  <c r="H57" i="12"/>
  <c r="AB38" i="13" s="1"/>
  <c r="AB38" i="14" s="1"/>
  <c r="I57" i="12"/>
  <c r="AF38" i="13" s="1"/>
  <c r="AF38" i="14" s="1"/>
  <c r="J57" i="12"/>
  <c r="AK38" i="13" s="1"/>
  <c r="AK38" i="14" s="1"/>
  <c r="K57" i="12"/>
  <c r="AM38" i="13" s="1"/>
  <c r="AM38" i="14" s="1"/>
  <c r="L57" i="12"/>
  <c r="AQ38" i="13" s="1"/>
  <c r="AQ38" i="14" s="1"/>
  <c r="M57" i="12"/>
  <c r="AV38" i="13" s="1"/>
  <c r="AV38" i="14" s="1"/>
  <c r="N57" i="12"/>
  <c r="AZ38" i="13" s="1"/>
  <c r="AZ38" i="14" s="1"/>
  <c r="H59" i="12"/>
  <c r="I59"/>
  <c r="AD40" i="13" s="1"/>
  <c r="AD40" i="14" s="1"/>
  <c r="J59" i="12"/>
  <c r="AI40" i="13" s="1"/>
  <c r="AI40" i="14" s="1"/>
  <c r="K59" i="12"/>
  <c r="AN40" i="13" s="1"/>
  <c r="AN40" i="14" s="1"/>
  <c r="L59" i="12"/>
  <c r="AS40" i="13" s="1"/>
  <c r="AS40" i="14" s="1"/>
  <c r="M59" i="12"/>
  <c r="AW40" i="13" s="1"/>
  <c r="AW40" i="14" s="1"/>
  <c r="N59" i="12"/>
  <c r="AY40" i="13" s="1"/>
  <c r="AY40" i="14" s="1"/>
  <c r="G46" i="12"/>
  <c r="W27" i="13" s="1"/>
  <c r="W27" i="14" s="1"/>
  <c r="G47" i="12"/>
  <c r="X28" i="13" s="1"/>
  <c r="X28" i="14" s="1"/>
  <c r="G49" i="12"/>
  <c r="Y30" i="13" s="1"/>
  <c r="Y30" i="14" s="1"/>
  <c r="G50" i="12"/>
  <c r="X31" i="13" s="1"/>
  <c r="X31" i="14" s="1"/>
  <c r="G51" i="12"/>
  <c r="Y32" i="13" s="1"/>
  <c r="Y32" i="14" s="1"/>
  <c r="G53" i="12"/>
  <c r="G54"/>
  <c r="W35" i="13" s="1"/>
  <c r="W35" i="14" s="1"/>
  <c r="G55" i="12"/>
  <c r="G56"/>
  <c r="W37" i="13" s="1"/>
  <c r="W37" i="14" s="1"/>
  <c r="G57" i="12"/>
  <c r="V38" i="13" s="1"/>
  <c r="V38" i="14" s="1"/>
  <c r="G59" i="12"/>
  <c r="W40" i="13" s="1"/>
  <c r="W40" i="14" s="1"/>
  <c r="J85" i="12"/>
  <c r="P6"/>
  <c r="P9"/>
  <c r="P13"/>
  <c r="O13"/>
  <c r="N13"/>
  <c r="N52" s="1"/>
  <c r="M13"/>
  <c r="M155" s="1"/>
  <c r="L13"/>
  <c r="L155" s="1"/>
  <c r="K13"/>
  <c r="J13"/>
  <c r="J155" s="1"/>
  <c r="I13"/>
  <c r="I155" s="1"/>
  <c r="H13"/>
  <c r="H155" s="1"/>
  <c r="G13"/>
  <c r="O9"/>
  <c r="N9"/>
  <c r="M9"/>
  <c r="M151" s="1"/>
  <c r="L9"/>
  <c r="K9"/>
  <c r="K151" s="1"/>
  <c r="J9"/>
  <c r="J151" s="1"/>
  <c r="I9"/>
  <c r="I151" s="1"/>
  <c r="H9"/>
  <c r="G9"/>
  <c r="G151" s="1"/>
  <c r="O6"/>
  <c r="N6"/>
  <c r="N45" s="1"/>
  <c r="M6"/>
  <c r="M148" s="1"/>
  <c r="L6"/>
  <c r="L148" s="1"/>
  <c r="K6"/>
  <c r="J6"/>
  <c r="J148" s="1"/>
  <c r="I6"/>
  <c r="I45" s="1"/>
  <c r="H6"/>
  <c r="H148" s="1"/>
  <c r="G6"/>
  <c r="C21" i="3"/>
  <c r="D21"/>
  <c r="E21"/>
  <c r="F21"/>
  <c r="G21"/>
  <c r="H21"/>
  <c r="I21"/>
  <c r="J21"/>
  <c r="K21"/>
  <c r="L21"/>
  <c r="M21"/>
  <c r="B21"/>
  <c r="C8" i="9"/>
  <c r="C18"/>
  <c r="B18"/>
  <c r="C39"/>
  <c r="B53" s="1"/>
  <c r="F39"/>
  <c r="F8"/>
  <c r="J93" i="7"/>
  <c r="J94"/>
  <c r="J95"/>
  <c r="J96"/>
  <c r="J97"/>
  <c r="J98"/>
  <c r="J99"/>
  <c r="J100"/>
  <c r="J101"/>
  <c r="J102"/>
  <c r="J103"/>
  <c r="C9"/>
  <c r="K93"/>
  <c r="K104" s="1"/>
  <c r="D104" s="1"/>
  <c r="K94"/>
  <c r="K95"/>
  <c r="K96"/>
  <c r="K97"/>
  <c r="K98"/>
  <c r="K99"/>
  <c r="K100"/>
  <c r="K101"/>
  <c r="K102"/>
  <c r="K103"/>
  <c r="D9"/>
  <c r="L88"/>
  <c r="J88"/>
  <c r="D122"/>
  <c r="D132"/>
  <c r="D139" s="1"/>
  <c r="E132"/>
  <c r="I138" s="1"/>
  <c r="I132"/>
  <c r="C132"/>
  <c r="G139" s="1"/>
  <c r="D138"/>
  <c r="E138"/>
  <c r="F124"/>
  <c r="G124"/>
  <c r="H124"/>
  <c r="E139"/>
  <c r="F125"/>
  <c r="G125"/>
  <c r="H125"/>
  <c r="I139"/>
  <c r="D140"/>
  <c r="F126"/>
  <c r="G126"/>
  <c r="H126"/>
  <c r="I140"/>
  <c r="D141"/>
  <c r="F127"/>
  <c r="F141"/>
  <c r="G127"/>
  <c r="G141" s="1"/>
  <c r="H127"/>
  <c r="H141" s="1"/>
  <c r="D142"/>
  <c r="E142"/>
  <c r="F128"/>
  <c r="G128"/>
  <c r="H128"/>
  <c r="H142" s="1"/>
  <c r="D143"/>
  <c r="E143"/>
  <c r="F129"/>
  <c r="G129"/>
  <c r="G143"/>
  <c r="H129"/>
  <c r="I143"/>
  <c r="D144"/>
  <c r="F130"/>
  <c r="G130"/>
  <c r="H130"/>
  <c r="I144"/>
  <c r="D137"/>
  <c r="F123"/>
  <c r="G123"/>
  <c r="H123"/>
  <c r="H137" s="1"/>
  <c r="L93"/>
  <c r="L94"/>
  <c r="L95"/>
  <c r="L96"/>
  <c r="L97"/>
  <c r="L98"/>
  <c r="L99"/>
  <c r="L100"/>
  <c r="L101"/>
  <c r="E9"/>
  <c r="F3"/>
  <c r="H153"/>
  <c r="G153"/>
  <c r="F153"/>
  <c r="H152"/>
  <c r="G152"/>
  <c r="F152"/>
  <c r="H151"/>
  <c r="G151"/>
  <c r="F151"/>
  <c r="H150"/>
  <c r="G150"/>
  <c r="F150"/>
  <c r="H149"/>
  <c r="G149"/>
  <c r="F149"/>
  <c r="H148"/>
  <c r="G148"/>
  <c r="F148"/>
  <c r="H147"/>
  <c r="G147"/>
  <c r="F147"/>
  <c r="H146"/>
  <c r="G146"/>
  <c r="F146"/>
  <c r="H145"/>
  <c r="G145"/>
  <c r="F145"/>
  <c r="C144"/>
  <c r="H136"/>
  <c r="F136"/>
  <c r="H135"/>
  <c r="G135"/>
  <c r="F135"/>
  <c r="H122"/>
  <c r="F122"/>
  <c r="H121"/>
  <c r="G121"/>
  <c r="F121"/>
  <c r="C119"/>
  <c r="D119"/>
  <c r="E119"/>
  <c r="L118" s="1"/>
  <c r="E120"/>
  <c r="F120" s="1"/>
  <c r="K118"/>
  <c r="J118"/>
  <c r="H118"/>
  <c r="G118"/>
  <c r="F118"/>
  <c r="K117"/>
  <c r="J117"/>
  <c r="H117"/>
  <c r="G117"/>
  <c r="F117"/>
  <c r="L116"/>
  <c r="K116"/>
  <c r="J116"/>
  <c r="H116"/>
  <c r="G116"/>
  <c r="F116"/>
  <c r="K40"/>
  <c r="K62" s="1"/>
  <c r="K80" s="1"/>
  <c r="K115" s="1"/>
  <c r="J115"/>
  <c r="C15"/>
  <c r="C40" s="1"/>
  <c r="G115"/>
  <c r="F115"/>
  <c r="H114"/>
  <c r="G114"/>
  <c r="F114"/>
  <c r="H113"/>
  <c r="G113"/>
  <c r="F113"/>
  <c r="H112"/>
  <c r="G112"/>
  <c r="F112"/>
  <c r="H111"/>
  <c r="G111"/>
  <c r="F111"/>
  <c r="H110"/>
  <c r="G110"/>
  <c r="F110"/>
  <c r="C108"/>
  <c r="H108" s="1"/>
  <c r="D108"/>
  <c r="G108" s="1"/>
  <c r="E108"/>
  <c r="F108" s="1"/>
  <c r="C107"/>
  <c r="H107" s="1"/>
  <c r="D107"/>
  <c r="G107"/>
  <c r="E107"/>
  <c r="F107" s="1"/>
  <c r="H106"/>
  <c r="G106"/>
  <c r="F106"/>
  <c r="L103"/>
  <c r="H103"/>
  <c r="G103"/>
  <c r="F103"/>
  <c r="L102"/>
  <c r="H102"/>
  <c r="G102"/>
  <c r="F102"/>
  <c r="H101"/>
  <c r="G101"/>
  <c r="F101"/>
  <c r="H100"/>
  <c r="G100"/>
  <c r="F100"/>
  <c r="H99"/>
  <c r="G99"/>
  <c r="F99"/>
  <c r="H98"/>
  <c r="G98"/>
  <c r="F98"/>
  <c r="H97"/>
  <c r="G97"/>
  <c r="F97"/>
  <c r="H96"/>
  <c r="G96"/>
  <c r="F96"/>
  <c r="H95"/>
  <c r="G95"/>
  <c r="F95"/>
  <c r="H94"/>
  <c r="G94"/>
  <c r="F94"/>
  <c r="H93"/>
  <c r="G93"/>
  <c r="F93"/>
  <c r="H92"/>
  <c r="G92"/>
  <c r="F92"/>
  <c r="G91"/>
  <c r="F91"/>
  <c r="H90"/>
  <c r="G90"/>
  <c r="F90"/>
  <c r="M89"/>
  <c r="L89"/>
  <c r="K89"/>
  <c r="J89"/>
  <c r="H89"/>
  <c r="G89"/>
  <c r="F89"/>
  <c r="M88"/>
  <c r="K88"/>
  <c r="H88"/>
  <c r="G88"/>
  <c r="F88"/>
  <c r="M87"/>
  <c r="L87"/>
  <c r="K87"/>
  <c r="J87"/>
  <c r="H87"/>
  <c r="G87"/>
  <c r="F87"/>
  <c r="M86"/>
  <c r="L86"/>
  <c r="K86"/>
  <c r="J86"/>
  <c r="H86"/>
  <c r="G86"/>
  <c r="F86"/>
  <c r="M85"/>
  <c r="L85"/>
  <c r="K85"/>
  <c r="J85"/>
  <c r="H85"/>
  <c r="G85"/>
  <c r="F85"/>
  <c r="M84"/>
  <c r="L84"/>
  <c r="K84"/>
  <c r="J84"/>
  <c r="H84"/>
  <c r="G84"/>
  <c r="F84"/>
  <c r="M83"/>
  <c r="L83"/>
  <c r="K83"/>
  <c r="J83"/>
  <c r="H83"/>
  <c r="G83"/>
  <c r="F83"/>
  <c r="M82"/>
  <c r="L82"/>
  <c r="K82"/>
  <c r="J82"/>
  <c r="H82"/>
  <c r="G82"/>
  <c r="F82"/>
  <c r="M81"/>
  <c r="L81"/>
  <c r="K81"/>
  <c r="J81"/>
  <c r="H81"/>
  <c r="G81"/>
  <c r="F81"/>
  <c r="M80"/>
  <c r="G80"/>
  <c r="F80"/>
  <c r="H79"/>
  <c r="G79"/>
  <c r="F79"/>
  <c r="C78"/>
  <c r="H78" s="1"/>
  <c r="D78"/>
  <c r="G78" s="1"/>
  <c r="E78"/>
  <c r="F78" s="1"/>
  <c r="C77"/>
  <c r="H77" s="1"/>
  <c r="D77"/>
  <c r="G77" s="1"/>
  <c r="E77"/>
  <c r="F77"/>
  <c r="C76"/>
  <c r="H76" s="1"/>
  <c r="D76"/>
  <c r="G76" s="1"/>
  <c r="E76"/>
  <c r="F76" s="1"/>
  <c r="H75"/>
  <c r="G75"/>
  <c r="F75"/>
  <c r="H74"/>
  <c r="G74"/>
  <c r="F74"/>
  <c r="M72"/>
  <c r="L72"/>
  <c r="K72"/>
  <c r="J72"/>
  <c r="H72"/>
  <c r="G72"/>
  <c r="F72"/>
  <c r="M71"/>
  <c r="L71"/>
  <c r="K71"/>
  <c r="J71"/>
  <c r="H71"/>
  <c r="G71"/>
  <c r="F71"/>
  <c r="M70"/>
  <c r="L70"/>
  <c r="K70"/>
  <c r="J70"/>
  <c r="H70"/>
  <c r="G70"/>
  <c r="F70"/>
  <c r="M69"/>
  <c r="L69"/>
  <c r="K69"/>
  <c r="J69"/>
  <c r="H69"/>
  <c r="G69"/>
  <c r="F69"/>
  <c r="M68"/>
  <c r="L68"/>
  <c r="K68"/>
  <c r="J68"/>
  <c r="H68"/>
  <c r="G68"/>
  <c r="F68"/>
  <c r="M67"/>
  <c r="L67"/>
  <c r="K67"/>
  <c r="J67"/>
  <c r="H67"/>
  <c r="G67"/>
  <c r="F67"/>
  <c r="M66"/>
  <c r="L66"/>
  <c r="H66"/>
  <c r="G66"/>
  <c r="F66"/>
  <c r="M65"/>
  <c r="L65"/>
  <c r="K65"/>
  <c r="J65"/>
  <c r="H65"/>
  <c r="G65"/>
  <c r="F65"/>
  <c r="M64"/>
  <c r="L64"/>
  <c r="K64"/>
  <c r="J64"/>
  <c r="H64"/>
  <c r="G64"/>
  <c r="F64"/>
  <c r="M63"/>
  <c r="L63"/>
  <c r="K63"/>
  <c r="J63"/>
  <c r="H63"/>
  <c r="G63"/>
  <c r="F63"/>
  <c r="G62"/>
  <c r="F62"/>
  <c r="H61"/>
  <c r="G61"/>
  <c r="F61"/>
  <c r="C30"/>
  <c r="C55" s="1"/>
  <c r="D30"/>
  <c r="D55" s="1"/>
  <c r="E30"/>
  <c r="E55" s="1"/>
  <c r="G59"/>
  <c r="F59"/>
  <c r="H54"/>
  <c r="G54"/>
  <c r="F54"/>
  <c r="H53"/>
  <c r="G53"/>
  <c r="F53"/>
  <c r="M52"/>
  <c r="J52"/>
  <c r="H52"/>
  <c r="G52"/>
  <c r="F52"/>
  <c r="G51"/>
  <c r="F51"/>
  <c r="C50"/>
  <c r="C48"/>
  <c r="O46" s="1"/>
  <c r="O50"/>
  <c r="D50"/>
  <c r="D48"/>
  <c r="M46" s="1"/>
  <c r="M50"/>
  <c r="E50"/>
  <c r="L50" s="1"/>
  <c r="E48"/>
  <c r="K50"/>
  <c r="H50"/>
  <c r="F50"/>
  <c r="J48"/>
  <c r="G48"/>
  <c r="L46"/>
  <c r="K46"/>
  <c r="J46"/>
  <c r="I46"/>
  <c r="H46"/>
  <c r="G46"/>
  <c r="F46"/>
  <c r="K45"/>
  <c r="J45"/>
  <c r="I45"/>
  <c r="H45"/>
  <c r="G45"/>
  <c r="F45"/>
  <c r="L44"/>
  <c r="K44"/>
  <c r="J44"/>
  <c r="I44"/>
  <c r="H44"/>
  <c r="G44"/>
  <c r="F44"/>
  <c r="K43"/>
  <c r="J43"/>
  <c r="I43"/>
  <c r="H43"/>
  <c r="G43"/>
  <c r="F43"/>
  <c r="L42"/>
  <c r="K42"/>
  <c r="J42"/>
  <c r="I42"/>
  <c r="H42"/>
  <c r="G42"/>
  <c r="F42"/>
  <c r="K41"/>
  <c r="J41"/>
  <c r="I41"/>
  <c r="H41"/>
  <c r="G41"/>
  <c r="F41"/>
  <c r="G40"/>
  <c r="F40"/>
  <c r="H39"/>
  <c r="G39"/>
  <c r="F39"/>
  <c r="H38"/>
  <c r="G38"/>
  <c r="F38"/>
  <c r="C37"/>
  <c r="D37"/>
  <c r="K37" s="1"/>
  <c r="E37"/>
  <c r="L37" s="1"/>
  <c r="H37"/>
  <c r="F37"/>
  <c r="C36"/>
  <c r="O36" s="1"/>
  <c r="D36"/>
  <c r="M36"/>
  <c r="E36"/>
  <c r="L36" s="1"/>
  <c r="K36"/>
  <c r="H36"/>
  <c r="C35"/>
  <c r="D35"/>
  <c r="E35"/>
  <c r="L35" s="1"/>
  <c r="H35"/>
  <c r="F35"/>
  <c r="C34"/>
  <c r="D34"/>
  <c r="E34"/>
  <c r="F34" s="1"/>
  <c r="H34"/>
  <c r="C33"/>
  <c r="H33" s="1"/>
  <c r="O33"/>
  <c r="D33"/>
  <c r="M33" s="1"/>
  <c r="E33"/>
  <c r="L33"/>
  <c r="G33"/>
  <c r="F33"/>
  <c r="O15"/>
  <c r="O32" s="1"/>
  <c r="N32"/>
  <c r="M15"/>
  <c r="M32" s="1"/>
  <c r="L32"/>
  <c r="K32"/>
  <c r="J15"/>
  <c r="J32" s="1"/>
  <c r="C32"/>
  <c r="H32" s="1"/>
  <c r="D32"/>
  <c r="G32"/>
  <c r="E32"/>
  <c r="F32" s="1"/>
  <c r="A32"/>
  <c r="C27"/>
  <c r="D27"/>
  <c r="M27" s="1"/>
  <c r="E27"/>
  <c r="E31" s="1"/>
  <c r="F31" s="1"/>
  <c r="I30"/>
  <c r="H30"/>
  <c r="G30"/>
  <c r="F30"/>
  <c r="C28"/>
  <c r="D28"/>
  <c r="J28" s="1"/>
  <c r="E28"/>
  <c r="L28" s="1"/>
  <c r="K28"/>
  <c r="I28"/>
  <c r="H28"/>
  <c r="G28"/>
  <c r="G27"/>
  <c r="L25"/>
  <c r="K25"/>
  <c r="J25"/>
  <c r="I25"/>
  <c r="H25"/>
  <c r="G25"/>
  <c r="F25"/>
  <c r="L24"/>
  <c r="K24"/>
  <c r="J24"/>
  <c r="I24"/>
  <c r="H24"/>
  <c r="G24"/>
  <c r="F24"/>
  <c r="L23"/>
  <c r="K23"/>
  <c r="J23"/>
  <c r="I23"/>
  <c r="H23"/>
  <c r="G23"/>
  <c r="F23"/>
  <c r="L22"/>
  <c r="K22"/>
  <c r="J22"/>
  <c r="I22"/>
  <c r="H22"/>
  <c r="G22"/>
  <c r="F22"/>
  <c r="L21"/>
  <c r="K21"/>
  <c r="J21"/>
  <c r="I21"/>
  <c r="H21"/>
  <c r="G21"/>
  <c r="F21"/>
  <c r="L20"/>
  <c r="K20"/>
  <c r="J20"/>
  <c r="I20"/>
  <c r="H20"/>
  <c r="G20"/>
  <c r="F20"/>
  <c r="L19"/>
  <c r="K19"/>
  <c r="J19"/>
  <c r="I19"/>
  <c r="H19"/>
  <c r="G19"/>
  <c r="F19"/>
  <c r="L18"/>
  <c r="K18"/>
  <c r="J18"/>
  <c r="I18"/>
  <c r="H18"/>
  <c r="G18"/>
  <c r="F18"/>
  <c r="L17"/>
  <c r="K17"/>
  <c r="J17"/>
  <c r="I17"/>
  <c r="H17"/>
  <c r="G17"/>
  <c r="F17"/>
  <c r="L16"/>
  <c r="K16"/>
  <c r="J16"/>
  <c r="I16"/>
  <c r="H16"/>
  <c r="G16"/>
  <c r="F16"/>
  <c r="H15"/>
  <c r="G15"/>
  <c r="F15"/>
  <c r="L14"/>
  <c r="H14"/>
  <c r="G14"/>
  <c r="F14"/>
  <c r="L13"/>
  <c r="H13"/>
  <c r="G13"/>
  <c r="F13"/>
  <c r="L12"/>
  <c r="E12"/>
  <c r="F12"/>
  <c r="H10"/>
  <c r="G10"/>
  <c r="F10"/>
  <c r="L9"/>
  <c r="F9"/>
  <c r="L8"/>
  <c r="K8"/>
  <c r="J8"/>
  <c r="H8"/>
  <c r="G8"/>
  <c r="F8"/>
  <c r="L7"/>
  <c r="K7"/>
  <c r="J7"/>
  <c r="H7"/>
  <c r="G7"/>
  <c r="F7"/>
  <c r="L6"/>
  <c r="K6"/>
  <c r="J6"/>
  <c r="H6"/>
  <c r="G6"/>
  <c r="F6"/>
  <c r="L5"/>
  <c r="K5"/>
  <c r="J5"/>
  <c r="H5"/>
  <c r="G5"/>
  <c r="F5"/>
  <c r="H4"/>
  <c r="G4"/>
  <c r="F4"/>
  <c r="J132" i="4"/>
  <c r="J133"/>
  <c r="J134"/>
  <c r="J135"/>
  <c r="J136"/>
  <c r="J137"/>
  <c r="J138"/>
  <c r="J131"/>
  <c r="D86"/>
  <c r="A19"/>
  <c r="C79" s="1"/>
  <c r="A20"/>
  <c r="C80" s="1"/>
  <c r="A21"/>
  <c r="C81" s="1"/>
  <c r="A18"/>
  <c r="C78" s="1"/>
  <c r="J54"/>
  <c r="J53"/>
  <c r="N42"/>
  <c r="M42"/>
  <c r="L42"/>
  <c r="K42"/>
  <c r="D44"/>
  <c r="J44" s="1"/>
  <c r="D45"/>
  <c r="J45" s="1"/>
  <c r="D46"/>
  <c r="J46" s="1"/>
  <c r="D47"/>
  <c r="J47" s="1"/>
  <c r="D43"/>
  <c r="J43" s="1"/>
  <c r="G43"/>
  <c r="G44"/>
  <c r="H44"/>
  <c r="G45"/>
  <c r="H45"/>
  <c r="G46"/>
  <c r="H46"/>
  <c r="G47"/>
  <c r="H47"/>
  <c r="G48"/>
  <c r="H48"/>
  <c r="G49"/>
  <c r="H49"/>
  <c r="G50"/>
  <c r="H50"/>
  <c r="G51"/>
  <c r="H51"/>
  <c r="H42"/>
  <c r="G42"/>
  <c r="F42"/>
  <c r="E42"/>
  <c r="G2"/>
  <c r="H43" s="1"/>
  <c r="G19"/>
  <c r="G20"/>
  <c r="G21"/>
  <c r="G22"/>
  <c r="G23"/>
  <c r="G24"/>
  <c r="F51"/>
  <c r="L45"/>
  <c r="L46"/>
  <c r="L47"/>
  <c r="L50"/>
  <c r="C3"/>
  <c r="C2"/>
  <c r="F43" s="1"/>
  <c r="C4"/>
  <c r="F45" s="1"/>
  <c r="F46"/>
  <c r="F48"/>
  <c r="F49"/>
  <c r="F50"/>
  <c r="D18"/>
  <c r="D19"/>
  <c r="E79" s="1"/>
  <c r="D20"/>
  <c r="E80" s="1"/>
  <c r="D24"/>
  <c r="E84" s="1"/>
  <c r="E18"/>
  <c r="E20"/>
  <c r="E22"/>
  <c r="E24"/>
  <c r="F18"/>
  <c r="F19"/>
  <c r="F20"/>
  <c r="F21"/>
  <c r="F22"/>
  <c r="F23"/>
  <c r="F24"/>
  <c r="A7"/>
  <c r="D48" s="1"/>
  <c r="J48" s="1"/>
  <c r="AL19" i="14"/>
  <c r="AP49" i="13"/>
  <c r="AA27"/>
  <c r="AA27" i="14" s="1"/>
  <c r="AD27" i="13"/>
  <c r="AD27" i="14" s="1"/>
  <c r="C25" i="4"/>
  <c r="D85" s="1"/>
  <c r="D25"/>
  <c r="E85" s="1"/>
  <c r="A8"/>
  <c r="E47"/>
  <c r="K44"/>
  <c r="E51"/>
  <c r="E44"/>
  <c r="C24"/>
  <c r="D84" s="1"/>
  <c r="D22"/>
  <c r="E82" s="1"/>
  <c r="M49"/>
  <c r="E49"/>
  <c r="E45"/>
  <c r="L85" i="12"/>
  <c r="N85"/>
  <c r="M45"/>
  <c r="K88"/>
  <c r="M88"/>
  <c r="J48"/>
  <c r="G48"/>
  <c r="J45"/>
  <c r="K85"/>
  <c r="M85"/>
  <c r="O87"/>
  <c r="J88"/>
  <c r="L88"/>
  <c r="N88"/>
  <c r="J92"/>
  <c r="L92"/>
  <c r="N92"/>
  <c r="O93"/>
  <c r="O95"/>
  <c r="O97"/>
  <c r="L52"/>
  <c r="H52"/>
  <c r="K92"/>
  <c r="M92"/>
  <c r="O96"/>
  <c r="A23" i="4"/>
  <c r="C83" s="1"/>
  <c r="D49"/>
  <c r="J49" s="1"/>
  <c r="A9"/>
  <c r="A10" s="1"/>
  <c r="L49"/>
  <c r="M51"/>
  <c r="M50"/>
  <c r="K2"/>
  <c r="M43" s="1"/>
  <c r="E50"/>
  <c r="E48"/>
  <c r="E46"/>
  <c r="E43"/>
  <c r="A22"/>
  <c r="C82" s="1"/>
  <c r="J34" i="7"/>
  <c r="K34"/>
  <c r="J9"/>
  <c r="J10" s="1"/>
  <c r="C21" i="4"/>
  <c r="D81" s="1"/>
  <c r="E23"/>
  <c r="E21"/>
  <c r="E19"/>
  <c r="D23"/>
  <c r="E83" s="1"/>
  <c r="D21"/>
  <c r="E81" s="1"/>
  <c r="H2"/>
  <c r="J24"/>
  <c r="J2"/>
  <c r="K51"/>
  <c r="K50"/>
  <c r="K49"/>
  <c r="K47"/>
  <c r="K46"/>
  <c r="K45"/>
  <c r="M2"/>
  <c r="K43" s="1"/>
  <c r="N51"/>
  <c r="N46"/>
  <c r="N45"/>
  <c r="D39"/>
  <c r="M8" i="7"/>
  <c r="M17"/>
  <c r="M21"/>
  <c r="F27"/>
  <c r="J27"/>
  <c r="L27"/>
  <c r="J33"/>
  <c r="K33"/>
  <c r="G34"/>
  <c r="M34"/>
  <c r="G36"/>
  <c r="J36"/>
  <c r="L41"/>
  <c r="O41"/>
  <c r="L43"/>
  <c r="O43"/>
  <c r="L45"/>
  <c r="O45"/>
  <c r="F48"/>
  <c r="H48"/>
  <c r="K48"/>
  <c r="G50"/>
  <c r="H55"/>
  <c r="L117"/>
  <c r="C141"/>
  <c r="L51" i="4"/>
  <c r="D50"/>
  <c r="J50" s="1"/>
  <c r="A24"/>
  <c r="C84" s="1"/>
  <c r="N54"/>
  <c r="H26"/>
  <c r="N26"/>
  <c r="J26"/>
  <c r="D68" i="12"/>
  <c r="C65"/>
  <c r="F52"/>
  <c r="X38" i="13"/>
  <c r="X38" i="14" s="1"/>
  <c r="Y38" i="13"/>
  <c r="Y38" i="14" s="1"/>
  <c r="W38" i="13"/>
  <c r="W38" i="14" s="1"/>
  <c r="Y36" i="13"/>
  <c r="Y36" i="14" s="1"/>
  <c r="X34" i="13"/>
  <c r="W34"/>
  <c r="W34" i="14" s="1"/>
  <c r="Y34" i="13"/>
  <c r="Y34" i="14" s="1"/>
  <c r="V34" i="13"/>
  <c r="V34" i="14" s="1"/>
  <c r="V28" i="13"/>
  <c r="W28"/>
  <c r="W28" i="14" s="1"/>
  <c r="AR40" i="13"/>
  <c r="AR40" i="14" s="1"/>
  <c r="BA37" i="13"/>
  <c r="BA37" i="14" s="1"/>
  <c r="AB35" i="13"/>
  <c r="AB35" i="14" s="1"/>
  <c r="AC35" i="13"/>
  <c r="AC35" i="14" s="1"/>
  <c r="AA35" i="13"/>
  <c r="AA35" i="14" s="1"/>
  <c r="Z35" i="13"/>
  <c r="AY31"/>
  <c r="AY31" i="14" s="1"/>
  <c r="AJ31" i="13"/>
  <c r="AJ31" i="14" s="1"/>
  <c r="AC31" i="13"/>
  <c r="AC31" i="14" s="1"/>
  <c r="AV30" i="13"/>
  <c r="AV30" i="14" s="1"/>
  <c r="AC30" i="13"/>
  <c r="AC30" i="14" s="1"/>
  <c r="G45" i="12"/>
  <c r="Y40" i="13"/>
  <c r="Y40" i="14" s="1"/>
  <c r="V40" i="13"/>
  <c r="V40" i="14" s="1"/>
  <c r="Y35" i="13"/>
  <c r="Y35" i="14" s="1"/>
  <c r="V35" i="13"/>
  <c r="V35" i="14" s="1"/>
  <c r="W32" i="13"/>
  <c r="W32" i="14" s="1"/>
  <c r="W30" i="13"/>
  <c r="W30" i="14" s="1"/>
  <c r="AA40" i="13"/>
  <c r="AA40" i="14" s="1"/>
  <c r="AC40" i="13"/>
  <c r="AC40" i="14" s="1"/>
  <c r="AB40" i="13"/>
  <c r="AB40" i="14" s="1"/>
  <c r="Z40" i="13"/>
  <c r="Z40" i="14" s="1"/>
  <c r="AA38" i="13"/>
  <c r="AA38" i="14" s="1"/>
  <c r="Z38" i="13"/>
  <c r="Z38" i="14" s="1"/>
  <c r="AU36" i="13"/>
  <c r="AU36" i="14" s="1"/>
  <c r="AA34" i="13"/>
  <c r="AA34" i="14" s="1"/>
  <c r="Z34" i="13"/>
  <c r="Z34" i="14" s="1"/>
  <c r="AO32" i="13"/>
  <c r="AO32" i="14" s="1"/>
  <c r="Z32" i="13"/>
  <c r="Z32" i="14" s="1"/>
  <c r="AE30" i="13"/>
  <c r="AE30" i="14" s="1"/>
  <c r="AR28" i="13"/>
  <c r="AR28" i="14" s="1"/>
  <c r="AA28" i="13"/>
  <c r="AC28"/>
  <c r="AC28" i="14" s="1"/>
  <c r="O92" i="12"/>
  <c r="O88"/>
  <c r="O85"/>
  <c r="S40" i="13"/>
  <c r="S40" i="14" s="1"/>
  <c r="U40" i="13"/>
  <c r="T40"/>
  <c r="T40" i="14" s="1"/>
  <c r="R40" i="13"/>
  <c r="R40" i="14" s="1"/>
  <c r="K40" i="13"/>
  <c r="K40" i="14" s="1"/>
  <c r="C40" i="13"/>
  <c r="F38"/>
  <c r="F38" i="14" s="1"/>
  <c r="K37" i="13"/>
  <c r="K37" i="14" s="1"/>
  <c r="M37" i="13"/>
  <c r="M37" i="14" s="1"/>
  <c r="J37" i="13"/>
  <c r="J37" i="14" s="1"/>
  <c r="L37" i="13"/>
  <c r="L37" i="14" s="1"/>
  <c r="B37" i="13"/>
  <c r="B37" i="14" s="1"/>
  <c r="C37" i="13"/>
  <c r="C37" i="14" s="1"/>
  <c r="D37" i="13"/>
  <c r="D37" i="14" s="1"/>
  <c r="E37" i="13"/>
  <c r="P36"/>
  <c r="P36" i="14" s="1"/>
  <c r="N36" i="13"/>
  <c r="N36" i="14" s="1"/>
  <c r="Q36" i="13"/>
  <c r="Q36" i="14" s="1"/>
  <c r="O36" i="13"/>
  <c r="O36" i="14" s="1"/>
  <c r="G36" i="13"/>
  <c r="G36" i="14" s="1"/>
  <c r="T35" i="13"/>
  <c r="T35" i="14" s="1"/>
  <c r="U35" i="13"/>
  <c r="U35" i="14" s="1"/>
  <c r="S35" i="13"/>
  <c r="S35" i="14" s="1"/>
  <c r="R35" i="13"/>
  <c r="R35" i="14" s="1"/>
  <c r="M35" i="13"/>
  <c r="M35" i="14" s="1"/>
  <c r="J35" i="13"/>
  <c r="J35" i="14" s="1"/>
  <c r="D35" i="13"/>
  <c r="C35"/>
  <c r="C35" i="14" s="1"/>
  <c r="O34" i="13"/>
  <c r="O34" i="14" s="1"/>
  <c r="Q34" i="13"/>
  <c r="Q34" i="14" s="1"/>
  <c r="G34" i="13"/>
  <c r="G34" i="14" s="1"/>
  <c r="I34" i="13"/>
  <c r="I34" i="14" s="1"/>
  <c r="Q32" i="13"/>
  <c r="Q32" i="14" s="1"/>
  <c r="S31" i="13"/>
  <c r="S31" i="14" s="1"/>
  <c r="M31" i="13"/>
  <c r="M31" i="14" s="1"/>
  <c r="B31" i="13"/>
  <c r="B31" i="14" s="1"/>
  <c r="Q30" i="13"/>
  <c r="Q30" i="14" s="1"/>
  <c r="N28" i="13"/>
  <c r="N28" i="14" s="1"/>
  <c r="O28" i="13"/>
  <c r="O28" i="14" s="1"/>
  <c r="E45" i="12"/>
  <c r="E72"/>
  <c r="C72"/>
  <c r="E68"/>
  <c r="F65"/>
  <c r="B27" i="13"/>
  <c r="B27" i="14" s="1"/>
  <c r="D27" i="13"/>
  <c r="D27" i="14" s="1"/>
  <c r="C27" i="13"/>
  <c r="J27"/>
  <c r="J27" i="14" s="1"/>
  <c r="M27" i="13"/>
  <c r="M27" i="14" s="1"/>
  <c r="L27" i="13"/>
  <c r="L27" i="14" s="1"/>
  <c r="N27" i="13"/>
  <c r="N27" i="14" s="1"/>
  <c r="N26" s="1"/>
  <c r="R27" i="13"/>
  <c r="R27" i="14" s="1"/>
  <c r="S27" i="13"/>
  <c r="S27" i="14" s="1"/>
  <c r="T27" i="13"/>
  <c r="T27" i="14" s="1"/>
  <c r="BD28" i="13"/>
  <c r="BD28" i="14" s="1"/>
  <c r="R28" i="13"/>
  <c r="R28" i="14" s="1"/>
  <c r="I28" i="13"/>
  <c r="I28" i="14" s="1"/>
  <c r="P30" i="13"/>
  <c r="P30" i="14" s="1"/>
  <c r="Q40" i="13"/>
  <c r="Q40" i="14" s="1"/>
  <c r="P40" i="13"/>
  <c r="P40" i="14" s="1"/>
  <c r="N40" i="13"/>
  <c r="N40" i="14" s="1"/>
  <c r="O40" i="13"/>
  <c r="O40" i="14" s="1"/>
  <c r="G40" i="13"/>
  <c r="S38"/>
  <c r="T38"/>
  <c r="T38" i="14" s="1"/>
  <c r="K38" i="13"/>
  <c r="K38" i="14" s="1"/>
  <c r="M38" i="13"/>
  <c r="M38" i="14" s="1"/>
  <c r="L38" i="13"/>
  <c r="L38" i="14" s="1"/>
  <c r="J38" i="13"/>
  <c r="J38" i="14" s="1"/>
  <c r="E38" i="13"/>
  <c r="E38" i="14" s="1"/>
  <c r="O37" i="13"/>
  <c r="O37" i="14" s="1"/>
  <c r="Q37" i="13"/>
  <c r="Q37" i="14" s="1"/>
  <c r="N37" i="13"/>
  <c r="N37" i="14" s="1"/>
  <c r="P37" i="13"/>
  <c r="P37" i="14" s="1"/>
  <c r="G37" i="13"/>
  <c r="I37"/>
  <c r="I37" i="14" s="1"/>
  <c r="L36" i="13"/>
  <c r="L36" i="14" s="1"/>
  <c r="J36" i="13"/>
  <c r="J36" i="14" s="1"/>
  <c r="M36" i="13"/>
  <c r="M36" i="14" s="1"/>
  <c r="K36" i="13"/>
  <c r="K36" i="14" s="1"/>
  <c r="Q35" i="13"/>
  <c r="Q35" i="14" s="1"/>
  <c r="O35" i="13"/>
  <c r="O35" i="14" s="1"/>
  <c r="P35" i="13"/>
  <c r="P35" i="14" s="1"/>
  <c r="N35" i="13"/>
  <c r="N35" i="14" s="1"/>
  <c r="T34" i="13"/>
  <c r="T34" i="14" s="1"/>
  <c r="S34" i="13"/>
  <c r="S34" i="14" s="1"/>
  <c r="U34" i="13"/>
  <c r="U34" i="14" s="1"/>
  <c r="R34" i="13"/>
  <c r="R34" i="14" s="1"/>
  <c r="K34" i="13"/>
  <c r="K34" i="14" s="1"/>
  <c r="E34" i="13"/>
  <c r="E34" i="14" s="1"/>
  <c r="S32" i="13"/>
  <c r="S32" i="14" s="1"/>
  <c r="U32" i="13"/>
  <c r="U32" i="14" s="1"/>
  <c r="R32" i="13"/>
  <c r="T32"/>
  <c r="T32" i="14" s="1"/>
  <c r="J32" i="13"/>
  <c r="J32" i="14" s="1"/>
  <c r="L32" i="13"/>
  <c r="L32" i="14" s="1"/>
  <c r="B32" i="13"/>
  <c r="B32" i="14" s="1"/>
  <c r="C32" i="13"/>
  <c r="C32" i="14" s="1"/>
  <c r="D32" i="13"/>
  <c r="D32" i="14" s="1"/>
  <c r="P31" i="13"/>
  <c r="P31" i="14" s="1"/>
  <c r="N31" i="13"/>
  <c r="N31" i="14" s="1"/>
  <c r="H31" i="13"/>
  <c r="H31" i="14" s="1"/>
  <c r="G31" i="13"/>
  <c r="I31"/>
  <c r="I31" i="14" s="1"/>
  <c r="U30" i="13"/>
  <c r="U30" i="14" s="1"/>
  <c r="S30" i="13"/>
  <c r="S30" i="14" s="1"/>
  <c r="M30" i="13"/>
  <c r="M30" i="14" s="1"/>
  <c r="K30" i="13"/>
  <c r="K30" i="14" s="1"/>
  <c r="C30" i="13"/>
  <c r="C30" i="14" s="1"/>
  <c r="B30" i="13"/>
  <c r="E19" i="12"/>
  <c r="C88"/>
  <c r="G85"/>
  <c r="Q28" i="13"/>
  <c r="Q28" i="14" s="1"/>
  <c r="P28" i="13"/>
  <c r="P28" i="14" s="1"/>
  <c r="J30" i="13"/>
  <c r="J30" i="14" s="1"/>
  <c r="H27" i="4"/>
  <c r="O52" i="12"/>
  <c r="L136"/>
  <c r="L138"/>
  <c r="L140"/>
  <c r="L142"/>
  <c r="L144"/>
  <c r="L146"/>
  <c r="L135"/>
  <c r="L139"/>
  <c r="L143"/>
  <c r="L145"/>
  <c r="L134"/>
  <c r="N134"/>
  <c r="L137"/>
  <c r="N137"/>
  <c r="L141"/>
  <c r="N141"/>
  <c r="J137"/>
  <c r="H137"/>
  <c r="J134"/>
  <c r="H134"/>
  <c r="J141"/>
  <c r="H141"/>
  <c r="N136"/>
  <c r="N138"/>
  <c r="N140"/>
  <c r="N142"/>
  <c r="N144"/>
  <c r="N146"/>
  <c r="N135"/>
  <c r="N139"/>
  <c r="N143"/>
  <c r="N145"/>
  <c r="H136"/>
  <c r="H138"/>
  <c r="H140"/>
  <c r="H142"/>
  <c r="H144"/>
  <c r="H146"/>
  <c r="H135"/>
  <c r="H139"/>
  <c r="H143"/>
  <c r="H145"/>
  <c r="J136"/>
  <c r="J138"/>
  <c r="J140"/>
  <c r="J142"/>
  <c r="J144"/>
  <c r="J146"/>
  <c r="J135"/>
  <c r="J139"/>
  <c r="J143"/>
  <c r="J145"/>
  <c r="E85"/>
  <c r="X89" i="13"/>
  <c r="BE53"/>
  <c r="W53"/>
  <c r="S49"/>
  <c r="G49"/>
  <c r="BG86"/>
  <c r="A4" i="2"/>
  <c r="A5" s="1"/>
  <c r="A6" s="1"/>
  <c r="A7" s="1"/>
  <c r="A8" s="1"/>
  <c r="A9" s="1"/>
  <c r="A10" s="1"/>
  <c r="A11" s="1"/>
  <c r="A12" s="1"/>
  <c r="A13" s="1"/>
  <c r="A14" s="1"/>
  <c r="A15" s="1"/>
  <c r="A16" s="1"/>
  <c r="J28" i="13" l="1"/>
  <c r="J28" i="14" s="1"/>
  <c r="D48" i="12"/>
  <c r="V32" i="13"/>
  <c r="V32" i="14" s="1"/>
  <c r="Y37" i="13"/>
  <c r="Y37" i="14" s="1"/>
  <c r="AB31" i="13"/>
  <c r="AB31" i="14" s="1"/>
  <c r="B19" i="12"/>
  <c r="B21" s="1"/>
  <c r="B60" s="1"/>
  <c r="D151"/>
  <c r="M28" i="13"/>
  <c r="M28" i="14" s="1"/>
  <c r="R36" i="13"/>
  <c r="R36" i="14" s="1"/>
  <c r="R31" i="13"/>
  <c r="R31" i="14" s="1"/>
  <c r="P32" i="13"/>
  <c r="P32" i="14" s="1"/>
  <c r="Z36" i="13"/>
  <c r="Z36" i="14" s="1"/>
  <c r="Y27" i="13"/>
  <c r="Y27" i="14" s="1"/>
  <c r="F30" i="13"/>
  <c r="F30" i="14" s="1"/>
  <c r="K28" i="13"/>
  <c r="K28" i="14" s="1"/>
  <c r="B36" i="13"/>
  <c r="B36" i="14" s="1"/>
  <c r="C68" i="12"/>
  <c r="I30" i="13"/>
  <c r="I30" i="14" s="1"/>
  <c r="M110" s="1"/>
  <c r="T31" i="13"/>
  <c r="T31" i="14" s="1"/>
  <c r="O32" i="13"/>
  <c r="O32" i="14" s="1"/>
  <c r="Q38" i="13"/>
  <c r="Q38" i="14" s="1"/>
  <c r="AB28" i="13"/>
  <c r="AB28" i="14" s="1"/>
  <c r="AB108" s="1"/>
  <c r="AD30" i="13"/>
  <c r="AD30" i="14" s="1"/>
  <c r="AN32" i="13"/>
  <c r="AN32" i="14" s="1"/>
  <c r="AB34" i="13"/>
  <c r="AB34" i="14" s="1"/>
  <c r="AC38" i="13"/>
  <c r="AC38" i="14" s="1"/>
  <c r="AC118" s="1"/>
  <c r="AM40" i="13"/>
  <c r="AM40" i="14" s="1"/>
  <c r="X32" i="13"/>
  <c r="X32" i="14" s="1"/>
  <c r="X35" i="13"/>
  <c r="X35" i="14" s="1"/>
  <c r="V37" i="13"/>
  <c r="V37" i="14" s="1"/>
  <c r="X40" i="13"/>
  <c r="X40" i="14" s="1"/>
  <c r="AW30" i="13"/>
  <c r="AW30" i="14" s="1"/>
  <c r="AA31" i="13"/>
  <c r="AA31" i="14" s="1"/>
  <c r="E65" i="12"/>
  <c r="N72"/>
  <c r="C19"/>
  <c r="E31" i="13"/>
  <c r="E31" i="14" s="1"/>
  <c r="R37" i="13"/>
  <c r="R37" i="14" s="1"/>
  <c r="R77" s="1"/>
  <c r="M40" i="13"/>
  <c r="M40" i="14" s="1"/>
  <c r="AA36" i="13"/>
  <c r="AA36" i="14" s="1"/>
  <c r="V30" i="13"/>
  <c r="V30" i="14" s="1"/>
  <c r="AI31" i="13"/>
  <c r="AI31" i="14" s="1"/>
  <c r="AI71" s="1"/>
  <c r="J52" i="12"/>
  <c r="AL27" i="13"/>
  <c r="AL27" i="14" s="1"/>
  <c r="F155" i="12"/>
  <c r="E92"/>
  <c r="P72"/>
  <c r="H19"/>
  <c r="O151"/>
  <c r="N155"/>
  <c r="P45"/>
  <c r="T52"/>
  <c r="U52" s="1"/>
  <c r="V52" s="1"/>
  <c r="W52" s="1"/>
  <c r="X52" s="1"/>
  <c r="O148"/>
  <c r="N151"/>
  <c r="P48"/>
  <c r="T45"/>
  <c r="U45" s="1"/>
  <c r="V45" s="1"/>
  <c r="W45" s="1"/>
  <c r="X45" s="1"/>
  <c r="N148"/>
  <c r="Q72"/>
  <c r="F88"/>
  <c r="F85"/>
  <c r="BS77" i="14"/>
  <c r="BS78"/>
  <c r="BS80"/>
  <c r="BS71"/>
  <c r="BX29"/>
  <c r="BX70"/>
  <c r="BX110"/>
  <c r="BT71"/>
  <c r="BT111"/>
  <c r="BX33"/>
  <c r="BX74"/>
  <c r="BX114"/>
  <c r="BT114"/>
  <c r="BT74"/>
  <c r="BT77"/>
  <c r="BT117"/>
  <c r="BT116"/>
  <c r="BT76"/>
  <c r="BW75"/>
  <c r="BW115"/>
  <c r="BV78"/>
  <c r="BV118"/>
  <c r="BW80"/>
  <c r="BW120"/>
  <c r="BU106"/>
  <c r="BT108"/>
  <c r="BT68"/>
  <c r="BV72"/>
  <c r="BV112"/>
  <c r="BT112"/>
  <c r="BT72"/>
  <c r="BW71"/>
  <c r="BW111"/>
  <c r="BW74"/>
  <c r="BW114"/>
  <c r="BT75"/>
  <c r="BT115"/>
  <c r="BW33"/>
  <c r="BW76"/>
  <c r="BW116"/>
  <c r="BV33"/>
  <c r="BV77"/>
  <c r="BV117"/>
  <c r="BV75"/>
  <c r="BV115"/>
  <c r="BW78"/>
  <c r="BW118"/>
  <c r="BV80"/>
  <c r="BV120"/>
  <c r="BU76"/>
  <c r="BU68"/>
  <c r="BU75"/>
  <c r="BV76"/>
  <c r="BV116"/>
  <c r="BT110"/>
  <c r="BT70"/>
  <c r="BW29"/>
  <c r="BW72"/>
  <c r="BW112"/>
  <c r="BV70"/>
  <c r="BV110"/>
  <c r="BV29"/>
  <c r="BV71"/>
  <c r="BV111"/>
  <c r="BV74"/>
  <c r="BV114"/>
  <c r="BX76"/>
  <c r="BX116"/>
  <c r="BW77"/>
  <c r="BW117"/>
  <c r="BX78"/>
  <c r="BX118"/>
  <c r="BX80"/>
  <c r="BX120"/>
  <c r="BU39"/>
  <c r="BU113"/>
  <c r="BU109"/>
  <c r="BU71"/>
  <c r="BU72"/>
  <c r="BT107"/>
  <c r="BT67"/>
  <c r="BX72"/>
  <c r="BX112"/>
  <c r="BW70"/>
  <c r="BW110"/>
  <c r="BX71"/>
  <c r="BX111"/>
  <c r="BX77"/>
  <c r="BX117"/>
  <c r="BX75"/>
  <c r="BX115"/>
  <c r="BT118"/>
  <c r="BT78"/>
  <c r="BT80"/>
  <c r="BU74"/>
  <c r="BU67"/>
  <c r="BU77"/>
  <c r="BU80"/>
  <c r="BU70"/>
  <c r="I26" i="4"/>
  <c r="M27"/>
  <c r="A11"/>
  <c r="A25"/>
  <c r="C85" s="1"/>
  <c r="C20"/>
  <c r="I27"/>
  <c r="M28"/>
  <c r="N27"/>
  <c r="L26"/>
  <c r="M26"/>
  <c r="L27"/>
  <c r="J27"/>
  <c r="J28"/>
  <c r="M45"/>
  <c r="K26"/>
  <c r="I28"/>
  <c r="H28"/>
  <c r="I24"/>
  <c r="J21"/>
  <c r="D51"/>
  <c r="J51" s="1"/>
  <c r="BW80" i="13"/>
  <c r="BW120"/>
  <c r="BV80"/>
  <c r="BV120"/>
  <c r="BX80"/>
  <c r="BX120"/>
  <c r="V59" i="12"/>
  <c r="W59" s="1"/>
  <c r="X59" s="1"/>
  <c r="BY40" i="13"/>
  <c r="BY40" i="14" s="1"/>
  <c r="BV116" i="13"/>
  <c r="BV76"/>
  <c r="BU113"/>
  <c r="BU73"/>
  <c r="BW118"/>
  <c r="BW78"/>
  <c r="BX74"/>
  <c r="BX114"/>
  <c r="BW116"/>
  <c r="BW76"/>
  <c r="BV117"/>
  <c r="BV77"/>
  <c r="BV115"/>
  <c r="BV75"/>
  <c r="BX118"/>
  <c r="BX78"/>
  <c r="BS76" i="14"/>
  <c r="V53" i="12"/>
  <c r="W53" s="1"/>
  <c r="X53" s="1"/>
  <c r="BY34" i="13"/>
  <c r="BY34" i="14" s="1"/>
  <c r="V56" i="12"/>
  <c r="W56" s="1"/>
  <c r="X56" s="1"/>
  <c r="BY37" i="13"/>
  <c r="BY37" i="14" s="1"/>
  <c r="BW74" i="13"/>
  <c r="BW114"/>
  <c r="BX116"/>
  <c r="BX76"/>
  <c r="BW117"/>
  <c r="BW77"/>
  <c r="V54" i="12"/>
  <c r="W54" s="1"/>
  <c r="X54" s="1"/>
  <c r="BY35" i="13"/>
  <c r="BY35" i="14" s="1"/>
  <c r="V57" i="12"/>
  <c r="W57" s="1"/>
  <c r="X57" s="1"/>
  <c r="BY38" i="13"/>
  <c r="BY38" i="14" s="1"/>
  <c r="BS74"/>
  <c r="BW115" i="13"/>
  <c r="BW75"/>
  <c r="BV74"/>
  <c r="BV114"/>
  <c r="V55" i="12"/>
  <c r="W55" s="1"/>
  <c r="X55" s="1"/>
  <c r="BY36" i="13"/>
  <c r="BY36" i="14" s="1"/>
  <c r="BX117" i="13"/>
  <c r="BX77"/>
  <c r="BX115"/>
  <c r="BX75"/>
  <c r="T38" i="12"/>
  <c r="T97" s="1"/>
  <c r="BV118" i="13"/>
  <c r="BV78"/>
  <c r="V51" i="12"/>
  <c r="W51" s="1"/>
  <c r="X51" s="1"/>
  <c r="BY32" i="13"/>
  <c r="BY32" i="14" s="1"/>
  <c r="V49" i="12"/>
  <c r="W49" s="1"/>
  <c r="X49" s="1"/>
  <c r="BY30" i="13"/>
  <c r="BY30" i="14" s="1"/>
  <c r="BV71" i="13"/>
  <c r="BV111"/>
  <c r="BV112"/>
  <c r="BV72"/>
  <c r="BV70"/>
  <c r="BV110"/>
  <c r="BX111"/>
  <c r="BX71"/>
  <c r="BW112"/>
  <c r="BW72"/>
  <c r="BU109"/>
  <c r="BU69"/>
  <c r="BW70"/>
  <c r="BW110"/>
  <c r="V50" i="12"/>
  <c r="W50" s="1"/>
  <c r="X50" s="1"/>
  <c r="BY31" i="13"/>
  <c r="BX72"/>
  <c r="BX112"/>
  <c r="BX110"/>
  <c r="BX70"/>
  <c r="BW111"/>
  <c r="BW71"/>
  <c r="BS72" i="14"/>
  <c r="BU106" i="13"/>
  <c r="BU66"/>
  <c r="BS67" i="14"/>
  <c r="BS68"/>
  <c r="S80" i="12"/>
  <c r="T80"/>
  <c r="BF19" i="14"/>
  <c r="BF21" s="1"/>
  <c r="BO93"/>
  <c r="BK19"/>
  <c r="BO99" s="1"/>
  <c r="BN93"/>
  <c r="BJ19"/>
  <c r="BN99" s="1"/>
  <c r="BP93"/>
  <c r="BL19"/>
  <c r="BP99" s="1"/>
  <c r="BG93"/>
  <c r="BG19"/>
  <c r="BH93"/>
  <c r="BH19"/>
  <c r="BH21" s="1"/>
  <c r="BM93"/>
  <c r="BI19"/>
  <c r="BI21" s="1"/>
  <c r="BP61"/>
  <c r="BQ61"/>
  <c r="BO61"/>
  <c r="BS101"/>
  <c r="BN59"/>
  <c r="AM37" i="13"/>
  <c r="AM37" i="14" s="1"/>
  <c r="AR38" i="13"/>
  <c r="AR38" i="14" s="1"/>
  <c r="AS28" i="13"/>
  <c r="AS28" i="14" s="1"/>
  <c r="AN27" i="13"/>
  <c r="AN27" i="14" s="1"/>
  <c r="BC28" i="13"/>
  <c r="BC28" i="14" s="1"/>
  <c r="AP28" i="13"/>
  <c r="AP28" i="14" s="1"/>
  <c r="AO27" i="13"/>
  <c r="AO27" i="14" s="1"/>
  <c r="AL40" i="13"/>
  <c r="AL40" i="14" s="1"/>
  <c r="AM80" s="1"/>
  <c r="BS116"/>
  <c r="BW33" i="13"/>
  <c r="BR115" i="14"/>
  <c r="BV33" i="13"/>
  <c r="BS33" i="14"/>
  <c r="BS114"/>
  <c r="BR118"/>
  <c r="BS115"/>
  <c r="BT73" i="13"/>
  <c r="BT113"/>
  <c r="BS117" i="14"/>
  <c r="BS118"/>
  <c r="BR117"/>
  <c r="BS113" i="13"/>
  <c r="BS73"/>
  <c r="BR116" i="14"/>
  <c r="BX33" i="13"/>
  <c r="BT33" i="14"/>
  <c r="BU73" s="1"/>
  <c r="E32" i="4"/>
  <c r="I30"/>
  <c r="BR33" i="14"/>
  <c r="BR73" s="1"/>
  <c r="BR114"/>
  <c r="BT29"/>
  <c r="BR111"/>
  <c r="BT69" i="13"/>
  <c r="BT109"/>
  <c r="BS29" i="14"/>
  <c r="BS110"/>
  <c r="BR112"/>
  <c r="BS112"/>
  <c r="Q68" i="12"/>
  <c r="BS111" i="14"/>
  <c r="BW29" i="13"/>
  <c r="BR29" i="14"/>
  <c r="BR69" s="1"/>
  <c r="BR110"/>
  <c r="BS69" i="13"/>
  <c r="BS109"/>
  <c r="BX29"/>
  <c r="BV29"/>
  <c r="J68" i="12"/>
  <c r="R78"/>
  <c r="BR26" i="14"/>
  <c r="BR66" s="1"/>
  <c r="BR107"/>
  <c r="BS108"/>
  <c r="BT26"/>
  <c r="BU66" s="1"/>
  <c r="BR108"/>
  <c r="BS106" i="13"/>
  <c r="BS39"/>
  <c r="BS66"/>
  <c r="BT106"/>
  <c r="BT66"/>
  <c r="BT39"/>
  <c r="Q65" i="12"/>
  <c r="BR66" i="13"/>
  <c r="BR39"/>
  <c r="BU39"/>
  <c r="BS26" i="14"/>
  <c r="BS107"/>
  <c r="BJ93" i="13"/>
  <c r="BJ53"/>
  <c r="BN93"/>
  <c r="BL93"/>
  <c r="BL53"/>
  <c r="BP93"/>
  <c r="BK93"/>
  <c r="BK53"/>
  <c r="BO93"/>
  <c r="BJ89"/>
  <c r="BJ49"/>
  <c r="BN89"/>
  <c r="BL89"/>
  <c r="BL49"/>
  <c r="BP89"/>
  <c r="BK89"/>
  <c r="BK49"/>
  <c r="BO89"/>
  <c r="BJ86"/>
  <c r="BJ46"/>
  <c r="BN86"/>
  <c r="BK86"/>
  <c r="BK46"/>
  <c r="BO86"/>
  <c r="BL86"/>
  <c r="BL46"/>
  <c r="BP86"/>
  <c r="BQ99"/>
  <c r="BO61"/>
  <c r="BS101"/>
  <c r="BP61"/>
  <c r="BT101"/>
  <c r="C23" i="4"/>
  <c r="D83" s="1"/>
  <c r="N48"/>
  <c r="D80"/>
  <c r="I22"/>
  <c r="H25"/>
  <c r="H20"/>
  <c r="N20"/>
  <c r="F32"/>
  <c r="G54" s="1"/>
  <c r="F33"/>
  <c r="F34"/>
  <c r="F35"/>
  <c r="G32"/>
  <c r="G35"/>
  <c r="M22"/>
  <c r="N49"/>
  <c r="K38" i="19"/>
  <c r="M38" s="1"/>
  <c r="H38"/>
  <c r="K34"/>
  <c r="M34" s="1"/>
  <c r="Q34" s="1"/>
  <c r="H34"/>
  <c r="D40"/>
  <c r="B36" i="21"/>
  <c r="H35" i="19"/>
  <c r="K35"/>
  <c r="M35" s="1"/>
  <c r="H36"/>
  <c r="K36"/>
  <c r="M36" s="1"/>
  <c r="H37"/>
  <c r="K37"/>
  <c r="M37" s="1"/>
  <c r="E40"/>
  <c r="C36" i="21"/>
  <c r="E41" i="20"/>
  <c r="E41" i="19"/>
  <c r="BP79" i="14"/>
  <c r="BQ79"/>
  <c r="BO79"/>
  <c r="P26"/>
  <c r="AY38" i="13"/>
  <c r="AY38" i="14" s="1"/>
  <c r="AZ78" s="1"/>
  <c r="AS30" i="13"/>
  <c r="AS30" i="14" s="1"/>
  <c r="AW110" s="1"/>
  <c r="AK28" i="13"/>
  <c r="AK28" i="14" s="1"/>
  <c r="AG27" i="13"/>
  <c r="AG27" i="14" s="1"/>
  <c r="AZ53"/>
  <c r="AV53"/>
  <c r="BA53" i="13"/>
  <c r="AG19"/>
  <c r="AG21" s="1"/>
  <c r="AE19"/>
  <c r="AE21" s="1"/>
  <c r="AK53"/>
  <c r="BE46"/>
  <c r="BC89"/>
  <c r="AS53"/>
  <c r="Q46"/>
  <c r="P49"/>
  <c r="R26" i="14"/>
  <c r="AN53" i="13"/>
  <c r="BD93"/>
  <c r="R33" i="14"/>
  <c r="AG40" i="13"/>
  <c r="AG40" i="14" s="1"/>
  <c r="AE40" i="13"/>
  <c r="AE40" i="14" s="1"/>
  <c r="AE80" s="1"/>
  <c r="AT40" i="13"/>
  <c r="AT80" s="1"/>
  <c r="AV40"/>
  <c r="AV40" i="14" s="1"/>
  <c r="AW80" s="1"/>
  <c r="BE36" i="13"/>
  <c r="BE36" i="14" s="1"/>
  <c r="AT37" i="13"/>
  <c r="AT37" i="14" s="1"/>
  <c r="AX117" s="1"/>
  <c r="AN35" i="13"/>
  <c r="AN35" i="14" s="1"/>
  <c r="AJ35" i="13"/>
  <c r="AJ35" i="14" s="1"/>
  <c r="AH34" i="13"/>
  <c r="AH34" i="14" s="1"/>
  <c r="AJ38" i="13"/>
  <c r="AJ38" i="14" s="1"/>
  <c r="AZ34" i="13"/>
  <c r="AZ34" i="14" s="1"/>
  <c r="BB36" i="13"/>
  <c r="BB36" i="14" s="1"/>
  <c r="AP36" i="13"/>
  <c r="AP36" i="14" s="1"/>
  <c r="AF37" i="13"/>
  <c r="AF37" i="14" s="1"/>
  <c r="AJ117" s="1"/>
  <c r="BC36" i="13"/>
  <c r="BC36" i="14" s="1"/>
  <c r="AQ36" i="13"/>
  <c r="AQ36" i="14" s="1"/>
  <c r="AU116" s="1"/>
  <c r="AD37" i="13"/>
  <c r="AD37" i="14" s="1"/>
  <c r="AV37" i="13"/>
  <c r="AV37" i="14" s="1"/>
  <c r="AJ34" i="13"/>
  <c r="AJ34" i="14" s="1"/>
  <c r="AO35" i="13"/>
  <c r="AO35" i="14" s="1"/>
  <c r="AS115" s="1"/>
  <c r="AI38" i="13"/>
  <c r="AI38" i="14" s="1"/>
  <c r="AM118" s="1"/>
  <c r="AO30" i="13"/>
  <c r="AO30" i="14" s="1"/>
  <c r="S29" i="12"/>
  <c r="S88" s="1"/>
  <c r="AU31" i="13"/>
  <c r="AU31" i="14" s="1"/>
  <c r="AY111" s="1"/>
  <c r="BE37" i="13"/>
  <c r="BE37" i="14" s="1"/>
  <c r="AH37" i="13"/>
  <c r="AH37" i="14" s="1"/>
  <c r="AN38" i="13"/>
  <c r="AN38" i="14" s="1"/>
  <c r="AN34" i="13"/>
  <c r="AN34" i="14" s="1"/>
  <c r="AF36" i="13"/>
  <c r="AF36" i="14" s="1"/>
  <c r="AY36" i="13"/>
  <c r="AY36" i="14" s="1"/>
  <c r="AQ35" i="13"/>
  <c r="AQ35" i="14" s="1"/>
  <c r="AK36" i="13"/>
  <c r="AK36" i="14" s="1"/>
  <c r="AO37" i="13"/>
  <c r="AO37" i="14" s="1"/>
  <c r="BC34" i="13"/>
  <c r="BC34" i="14" s="1"/>
  <c r="BD74" s="1"/>
  <c r="AU35" i="13"/>
  <c r="AU35" i="14" s="1"/>
  <c r="AJ36" i="13"/>
  <c r="AJ36" i="14" s="1"/>
  <c r="AS34" i="13"/>
  <c r="AS34" i="14" s="1"/>
  <c r="AG35" i="13"/>
  <c r="AK115" s="1"/>
  <c r="BE38"/>
  <c r="BE38" i="14" s="1"/>
  <c r="BF78" s="1"/>
  <c r="AX36" i="13"/>
  <c r="AX36" i="14" s="1"/>
  <c r="AX76" s="1"/>
  <c r="AP38" i="13"/>
  <c r="AP38" i="14" s="1"/>
  <c r="AQ78" s="1"/>
  <c r="AT35" i="13"/>
  <c r="AT75" s="1"/>
  <c r="AP34"/>
  <c r="AP34" i="14" s="1"/>
  <c r="AQ74" s="1"/>
  <c r="AE35" i="13"/>
  <c r="AE35" i="14" s="1"/>
  <c r="AF75" s="1"/>
  <c r="AO28" i="13"/>
  <c r="AO28" i="14" s="1"/>
  <c r="BD40" i="13"/>
  <c r="BD40" i="14" s="1"/>
  <c r="BE80" s="1"/>
  <c r="BB40" i="13"/>
  <c r="BB40" i="14" s="1"/>
  <c r="AF40" i="13"/>
  <c r="AF40" i="14" s="1"/>
  <c r="AF120" s="1"/>
  <c r="AU40" i="13"/>
  <c r="AU40" i="14" s="1"/>
  <c r="AQ40" i="13"/>
  <c r="AQ40" i="14" s="1"/>
  <c r="AP40" i="13"/>
  <c r="AP40" i="14" s="1"/>
  <c r="BC37" i="13"/>
  <c r="BC37" i="14" s="1"/>
  <c r="AG36" i="13"/>
  <c r="AG36" i="14" s="1"/>
  <c r="J72" i="12"/>
  <c r="I52"/>
  <c r="BD37" i="13"/>
  <c r="BD37" i="14" s="1"/>
  <c r="AO34" i="13"/>
  <c r="AO34" i="14" s="1"/>
  <c r="AO114" s="1"/>
  <c r="AV35" i="13"/>
  <c r="AV35" i="14" s="1"/>
  <c r="AE36" i="13"/>
  <c r="AE36" i="14" s="1"/>
  <c r="AE116" s="1"/>
  <c r="AI36" i="13"/>
  <c r="AI36" i="14" s="1"/>
  <c r="AV36" i="13"/>
  <c r="AV36" i="14" s="1"/>
  <c r="AW76" s="1"/>
  <c r="AZ36" i="13"/>
  <c r="AZ36" i="14" s="1"/>
  <c r="AN37" i="13"/>
  <c r="AN37" i="14" s="1"/>
  <c r="AN117" s="1"/>
  <c r="AO38" i="13"/>
  <c r="AO38" i="14" s="1"/>
  <c r="AR34" i="13"/>
  <c r="AR34" i="14" s="1"/>
  <c r="AR74" s="1"/>
  <c r="AD35" i="13"/>
  <c r="AD115" s="1"/>
  <c r="AR35"/>
  <c r="AR35" i="14" s="1"/>
  <c r="AI37" i="13"/>
  <c r="AI37" i="14" s="1"/>
  <c r="AJ77" s="1"/>
  <c r="AZ37" i="13"/>
  <c r="AZ37" i="14" s="1"/>
  <c r="BA77" s="1"/>
  <c r="AS38" i="13"/>
  <c r="AS38" i="14" s="1"/>
  <c r="M52" i="12"/>
  <c r="AM34" i="13"/>
  <c r="AM34" i="14" s="1"/>
  <c r="AT36" i="13"/>
  <c r="AT36" i="14" s="1"/>
  <c r="AU76" s="1"/>
  <c r="AL38" i="13"/>
  <c r="AL38" i="14" s="1"/>
  <c r="AL78" s="1"/>
  <c r="AP35" i="13"/>
  <c r="AP35" i="14" s="1"/>
  <c r="AP115" s="1"/>
  <c r="AK37" i="13"/>
  <c r="AK37" i="14" s="1"/>
  <c r="AL77" s="1"/>
  <c r="AY37" i="13"/>
  <c r="AY37" i="14" s="1"/>
  <c r="AY77" s="1"/>
  <c r="BB37" i="13"/>
  <c r="BB37" i="14" s="1"/>
  <c r="BF117" s="1"/>
  <c r="P68" i="12"/>
  <c r="BB32" i="13"/>
  <c r="BB32" i="14" s="1"/>
  <c r="AJ32" i="13"/>
  <c r="AJ32" i="14" s="1"/>
  <c r="AN112" s="1"/>
  <c r="AF31" i="13"/>
  <c r="AF31" i="14" s="1"/>
  <c r="AF111" s="1"/>
  <c r="AS31" i="13"/>
  <c r="AS31" i="14" s="1"/>
  <c r="N48" i="12"/>
  <c r="N68"/>
  <c r="BC32" i="13"/>
  <c r="BC32" i="14" s="1"/>
  <c r="AV32" i="13"/>
  <c r="AV32" i="14" s="1"/>
  <c r="AV29" s="1"/>
  <c r="AP31" i="13"/>
  <c r="AP31" i="14" s="1"/>
  <c r="AQ71" s="1"/>
  <c r="AM30" i="13"/>
  <c r="AM30" i="14" s="1"/>
  <c r="AF32" i="13"/>
  <c r="AF32" i="14" s="1"/>
  <c r="AW32" i="13"/>
  <c r="AW32" i="14" s="1"/>
  <c r="K48" i="12"/>
  <c r="AK30" i="13"/>
  <c r="AK30" i="14" s="1"/>
  <c r="AG32" i="13"/>
  <c r="AG32" i="14" s="1"/>
  <c r="AI30" i="13"/>
  <c r="AI30" i="14" s="1"/>
  <c r="AH30" i="13"/>
  <c r="AH30" i="14" s="1"/>
  <c r="AH70" s="1"/>
  <c r="AL30" i="13"/>
  <c r="AL30" i="14" s="1"/>
  <c r="AD32" i="13"/>
  <c r="AD32" i="14" s="1"/>
  <c r="AD29" s="1"/>
  <c r="AP32" i="13"/>
  <c r="AP32" i="14" s="1"/>
  <c r="AT32" i="13"/>
  <c r="AT32" i="14" s="1"/>
  <c r="AR31" i="13"/>
  <c r="AR31" i="14" s="1"/>
  <c r="AR71" s="1"/>
  <c r="O48" i="12"/>
  <c r="O68"/>
  <c r="BF39" i="14"/>
  <c r="BF41" s="1"/>
  <c r="AZ30" i="13"/>
  <c r="AZ30" i="14" s="1"/>
  <c r="AE28" i="13"/>
  <c r="AE28" i="14" s="1"/>
  <c r="AE26" s="1"/>
  <c r="M65" i="12"/>
  <c r="P65"/>
  <c r="AF28" i="13"/>
  <c r="AF28" i="14" s="1"/>
  <c r="AL28" i="13"/>
  <c r="AL28" i="14" s="1"/>
  <c r="AL26" s="1"/>
  <c r="O45" i="12"/>
  <c r="AD28" i="13"/>
  <c r="AD28" i="14" s="1"/>
  <c r="AD26" s="1"/>
  <c r="U29"/>
  <c r="AA118" i="13"/>
  <c r="M29" i="14"/>
  <c r="AN29"/>
  <c r="AG26"/>
  <c r="G104" i="7"/>
  <c r="D105"/>
  <c r="D3" s="1"/>
  <c r="G3" s="1"/>
  <c r="F154" i="26"/>
  <c r="F152"/>
  <c r="F153"/>
  <c r="J153"/>
  <c r="J152"/>
  <c r="J154"/>
  <c r="C210"/>
  <c r="G210"/>
  <c r="K210"/>
  <c r="E187"/>
  <c r="I187"/>
  <c r="F210"/>
  <c r="J210"/>
  <c r="D187"/>
  <c r="H187"/>
  <c r="E210"/>
  <c r="I210"/>
  <c r="C187"/>
  <c r="G187"/>
  <c r="K187"/>
  <c r="D210"/>
  <c r="H210"/>
  <c r="F187"/>
  <c r="J187"/>
  <c r="C206"/>
  <c r="G206"/>
  <c r="K206"/>
  <c r="E183"/>
  <c r="I183"/>
  <c r="F206"/>
  <c r="J206"/>
  <c r="D183"/>
  <c r="H183"/>
  <c r="E206"/>
  <c r="I206"/>
  <c r="C183"/>
  <c r="G183"/>
  <c r="K183"/>
  <c r="D206"/>
  <c r="H206"/>
  <c r="F183"/>
  <c r="J183"/>
  <c r="C202"/>
  <c r="G202"/>
  <c r="K202"/>
  <c r="E179"/>
  <c r="I179"/>
  <c r="F202"/>
  <c r="J202"/>
  <c r="D179"/>
  <c r="H179"/>
  <c r="E202"/>
  <c r="I202"/>
  <c r="C179"/>
  <c r="G179"/>
  <c r="K179"/>
  <c r="D202"/>
  <c r="H202"/>
  <c r="F179"/>
  <c r="J179"/>
  <c r="P29" i="14"/>
  <c r="Y33"/>
  <c r="I25" i="4"/>
  <c r="N24"/>
  <c r="F36" i="7"/>
  <c r="G140"/>
  <c r="AM26" i="14"/>
  <c r="AN46" i="13"/>
  <c r="AB46"/>
  <c r="AT53" i="14"/>
  <c r="BG49"/>
  <c r="C45" i="12"/>
  <c r="I53" i="13"/>
  <c r="S33" i="12"/>
  <c r="S92" s="1"/>
  <c r="BM49" i="14"/>
  <c r="BM46"/>
  <c r="V112" i="13"/>
  <c r="R32" i="14"/>
  <c r="S72" s="1"/>
  <c r="E153" i="26"/>
  <c r="E154"/>
  <c r="E152"/>
  <c r="I152"/>
  <c r="I153"/>
  <c r="I154"/>
  <c r="E211"/>
  <c r="I211"/>
  <c r="D188"/>
  <c r="H188"/>
  <c r="D211"/>
  <c r="H211"/>
  <c r="C188"/>
  <c r="G188"/>
  <c r="K188"/>
  <c r="C211"/>
  <c r="L211" s="1"/>
  <c r="C384" s="1"/>
  <c r="G211"/>
  <c r="K211"/>
  <c r="F188"/>
  <c r="J188"/>
  <c r="F211"/>
  <c r="J211"/>
  <c r="E188"/>
  <c r="I188"/>
  <c r="C212"/>
  <c r="K212"/>
  <c r="I189"/>
  <c r="H212"/>
  <c r="H189"/>
  <c r="I212"/>
  <c r="G189"/>
  <c r="F212"/>
  <c r="F189"/>
  <c r="G212"/>
  <c r="E189"/>
  <c r="D212"/>
  <c r="D189"/>
  <c r="E212"/>
  <c r="C189"/>
  <c r="K189"/>
  <c r="J212"/>
  <c r="J189"/>
  <c r="E207"/>
  <c r="I207"/>
  <c r="D184"/>
  <c r="H184"/>
  <c r="D207"/>
  <c r="H207"/>
  <c r="C184"/>
  <c r="G184"/>
  <c r="K184"/>
  <c r="C207"/>
  <c r="L207" s="1"/>
  <c r="C380" s="1"/>
  <c r="G207"/>
  <c r="K207"/>
  <c r="F184"/>
  <c r="J184"/>
  <c r="F207"/>
  <c r="J207"/>
  <c r="E184"/>
  <c r="I184"/>
  <c r="E203"/>
  <c r="I203"/>
  <c r="D180"/>
  <c r="H180"/>
  <c r="D203"/>
  <c r="H203"/>
  <c r="C180"/>
  <c r="G180"/>
  <c r="K180"/>
  <c r="C203"/>
  <c r="G203"/>
  <c r="K203"/>
  <c r="F180"/>
  <c r="J180"/>
  <c r="F203"/>
  <c r="J203"/>
  <c r="E180"/>
  <c r="I180"/>
  <c r="J26" i="14"/>
  <c r="S29"/>
  <c r="Q33"/>
  <c r="AA33"/>
  <c r="F138" i="7"/>
  <c r="K19" i="12"/>
  <c r="K21" s="1"/>
  <c r="AC26" i="14"/>
  <c r="T26"/>
  <c r="K26"/>
  <c r="K46" i="13"/>
  <c r="V86"/>
  <c r="W93"/>
  <c r="W118"/>
  <c r="S38" i="14"/>
  <c r="T78" s="1"/>
  <c r="V80" i="13"/>
  <c r="U40" i="14"/>
  <c r="U80" s="1"/>
  <c r="Z115" i="13"/>
  <c r="Z35" i="14"/>
  <c r="AA75" s="1"/>
  <c r="V108" i="13"/>
  <c r="V28" i="14"/>
  <c r="X74" i="13"/>
  <c r="X34" i="14"/>
  <c r="X74" s="1"/>
  <c r="D154" i="26"/>
  <c r="D153"/>
  <c r="D152"/>
  <c r="H154"/>
  <c r="H152"/>
  <c r="H153"/>
  <c r="C208"/>
  <c r="G208"/>
  <c r="K208"/>
  <c r="C185"/>
  <c r="G185"/>
  <c r="K185"/>
  <c r="F208"/>
  <c r="J208"/>
  <c r="F185"/>
  <c r="J185"/>
  <c r="E208"/>
  <c r="I208"/>
  <c r="E185"/>
  <c r="I185"/>
  <c r="D208"/>
  <c r="H208"/>
  <c r="D185"/>
  <c r="H185"/>
  <c r="C204"/>
  <c r="G204"/>
  <c r="K204"/>
  <c r="C181"/>
  <c r="G181"/>
  <c r="K181"/>
  <c r="F204"/>
  <c r="J204"/>
  <c r="F181"/>
  <c r="J181"/>
  <c r="E204"/>
  <c r="I204"/>
  <c r="E181"/>
  <c r="I181"/>
  <c r="D204"/>
  <c r="H204"/>
  <c r="D181"/>
  <c r="H181"/>
  <c r="O33" i="14"/>
  <c r="M26"/>
  <c r="L33"/>
  <c r="C19" i="4"/>
  <c r="D79" s="1"/>
  <c r="I2"/>
  <c r="F28" i="7"/>
  <c r="D31"/>
  <c r="G31" s="1"/>
  <c r="L34"/>
  <c r="J50"/>
  <c r="W26" i="14"/>
  <c r="T29"/>
  <c r="BM53"/>
  <c r="AA28"/>
  <c r="AA26" s="1"/>
  <c r="AU32"/>
  <c r="C153" i="26"/>
  <c r="C154"/>
  <c r="C152"/>
  <c r="G153"/>
  <c r="G154"/>
  <c r="G152"/>
  <c r="K152"/>
  <c r="K153"/>
  <c r="K154"/>
  <c r="E209"/>
  <c r="I209"/>
  <c r="F186"/>
  <c r="J186"/>
  <c r="D209"/>
  <c r="H209"/>
  <c r="E186"/>
  <c r="I186"/>
  <c r="C209"/>
  <c r="L209" s="1"/>
  <c r="C382" s="1"/>
  <c r="G209"/>
  <c r="K209"/>
  <c r="D186"/>
  <c r="H186"/>
  <c r="F209"/>
  <c r="J209"/>
  <c r="C186"/>
  <c r="L186" s="1"/>
  <c r="G186"/>
  <c r="K186"/>
  <c r="E205"/>
  <c r="I205"/>
  <c r="F182"/>
  <c r="J182"/>
  <c r="D205"/>
  <c r="H205"/>
  <c r="E182"/>
  <c r="I182"/>
  <c r="C205"/>
  <c r="G205"/>
  <c r="K205"/>
  <c r="D182"/>
  <c r="H182"/>
  <c r="F205"/>
  <c r="J205"/>
  <c r="C182"/>
  <c r="G182"/>
  <c r="K182"/>
  <c r="E201"/>
  <c r="I201"/>
  <c r="F178"/>
  <c r="J178"/>
  <c r="D201"/>
  <c r="H201"/>
  <c r="E178"/>
  <c r="I178"/>
  <c r="C201"/>
  <c r="L201" s="1"/>
  <c r="C374" s="1"/>
  <c r="G201"/>
  <c r="K201"/>
  <c r="D178"/>
  <c r="H178"/>
  <c r="F201"/>
  <c r="J201"/>
  <c r="C178"/>
  <c r="L178" s="1"/>
  <c r="G178"/>
  <c r="K178"/>
  <c r="Q29" i="14"/>
  <c r="H138" i="7"/>
  <c r="M28"/>
  <c r="G68" i="12"/>
  <c r="AI26" i="14"/>
  <c r="BG49" i="13"/>
  <c r="AU46"/>
  <c r="AE46"/>
  <c r="L26" i="14"/>
  <c r="W19"/>
  <c r="W21" s="1"/>
  <c r="S53"/>
  <c r="M46"/>
  <c r="D214" i="26"/>
  <c r="D217" s="1"/>
  <c r="F214"/>
  <c r="F217" s="1"/>
  <c r="H214"/>
  <c r="H217" s="1"/>
  <c r="J214"/>
  <c r="J217" s="1"/>
  <c r="D191"/>
  <c r="D194" s="1"/>
  <c r="F191"/>
  <c r="F194" s="1"/>
  <c r="H191"/>
  <c r="H194" s="1"/>
  <c r="J191"/>
  <c r="J194" s="1"/>
  <c r="C214"/>
  <c r="E214"/>
  <c r="E217" s="1"/>
  <c r="G214"/>
  <c r="G217" s="1"/>
  <c r="I214"/>
  <c r="I217" s="1"/>
  <c r="K214"/>
  <c r="K217" s="1"/>
  <c r="C191"/>
  <c r="E191"/>
  <c r="E194" s="1"/>
  <c r="G191"/>
  <c r="G194" s="1"/>
  <c r="I191"/>
  <c r="I194" s="1"/>
  <c r="K191"/>
  <c r="K194" s="1"/>
  <c r="C213"/>
  <c r="G213"/>
  <c r="K213"/>
  <c r="D190"/>
  <c r="H190"/>
  <c r="D213"/>
  <c r="H213"/>
  <c r="C190"/>
  <c r="G190"/>
  <c r="K190"/>
  <c r="E213"/>
  <c r="I213"/>
  <c r="F190"/>
  <c r="J190"/>
  <c r="F213"/>
  <c r="J213"/>
  <c r="E190"/>
  <c r="I190"/>
  <c r="C241"/>
  <c r="C239"/>
  <c r="E239"/>
  <c r="E241"/>
  <c r="G239"/>
  <c r="G241"/>
  <c r="I239"/>
  <c r="I241"/>
  <c r="K239"/>
  <c r="K241"/>
  <c r="D239"/>
  <c r="D241"/>
  <c r="F239"/>
  <c r="F241"/>
  <c r="H239"/>
  <c r="H241"/>
  <c r="J239"/>
  <c r="J241"/>
  <c r="A43"/>
  <c r="L43" s="1"/>
  <c r="L42"/>
  <c r="B24" i="21"/>
  <c r="D32" i="19"/>
  <c r="J32" s="1"/>
  <c r="D32" i="18"/>
  <c r="J32" s="1"/>
  <c r="D32" i="20"/>
  <c r="J32" s="1"/>
  <c r="D32" i="17"/>
  <c r="J32" s="1"/>
  <c r="D24" i="19"/>
  <c r="J24" s="1"/>
  <c r="D24" i="18"/>
  <c r="J24" s="1"/>
  <c r="D24" i="20"/>
  <c r="J24" s="1"/>
  <c r="D24" i="17"/>
  <c r="J24" s="1"/>
  <c r="D16" i="19"/>
  <c r="J16" s="1"/>
  <c r="D16" i="20"/>
  <c r="J16" s="1"/>
  <c r="D16" i="17"/>
  <c r="J16" s="1"/>
  <c r="D16" i="18"/>
  <c r="J16" s="1"/>
  <c r="B29" i="21"/>
  <c r="D37" i="20"/>
  <c r="J37" s="1"/>
  <c r="D37" i="17"/>
  <c r="J37" s="1"/>
  <c r="D37" i="18"/>
  <c r="J37" s="1"/>
  <c r="B33" i="21"/>
  <c r="D29" i="20"/>
  <c r="J29" s="1"/>
  <c r="D29" i="19"/>
  <c r="J29" s="1"/>
  <c r="D29" i="17"/>
  <c r="D29" i="18"/>
  <c r="J29" s="1"/>
  <c r="D21" i="17"/>
  <c r="J21" s="1"/>
  <c r="D21" i="20"/>
  <c r="J21" s="1"/>
  <c r="D21" i="19"/>
  <c r="J21" s="1"/>
  <c r="D21" i="18"/>
  <c r="J21" s="1"/>
  <c r="D17" i="20"/>
  <c r="J17" s="1"/>
  <c r="D17" i="19"/>
  <c r="J17" s="1"/>
  <c r="D17" i="17"/>
  <c r="J17" s="1"/>
  <c r="D17" i="18"/>
  <c r="J17" s="1"/>
  <c r="B32" i="21"/>
  <c r="D40" i="18"/>
  <c r="D40" i="20"/>
  <c r="D40" i="17"/>
  <c r="J38" i="6"/>
  <c r="D38" i="20"/>
  <c r="J38" s="1"/>
  <c r="D38" i="18"/>
  <c r="J38" s="1"/>
  <c r="D38" i="17"/>
  <c r="B30" i="21"/>
  <c r="B34"/>
  <c r="D34" i="20"/>
  <c r="J34" s="1"/>
  <c r="D34" i="18"/>
  <c r="J34" s="1"/>
  <c r="D34" i="17"/>
  <c r="J34" s="1"/>
  <c r="B26" i="21"/>
  <c r="J30" i="6"/>
  <c r="D30" i="19"/>
  <c r="J30" s="1"/>
  <c r="D30" i="20"/>
  <c r="J30" s="1"/>
  <c r="D30" i="18"/>
  <c r="J30" s="1"/>
  <c r="D30" i="17"/>
  <c r="J30" s="1"/>
  <c r="D26" i="19"/>
  <c r="J26" s="1"/>
  <c r="D26" i="20"/>
  <c r="J26" s="1"/>
  <c r="D26" i="18"/>
  <c r="J26" s="1"/>
  <c r="D26" i="17"/>
  <c r="J26" s="1"/>
  <c r="J22" i="6"/>
  <c r="D22" i="19"/>
  <c r="J22" s="1"/>
  <c r="D22" i="18"/>
  <c r="J22" s="1"/>
  <c r="D22" i="17"/>
  <c r="J22" s="1"/>
  <c r="D22" i="20"/>
  <c r="J22" s="1"/>
  <c r="D18" i="19"/>
  <c r="J18" s="1"/>
  <c r="D18" i="18"/>
  <c r="J18" s="1"/>
  <c r="D18" i="17"/>
  <c r="J18" s="1"/>
  <c r="D18" i="20"/>
  <c r="J18" s="1"/>
  <c r="J14" i="6"/>
  <c r="D14" i="19"/>
  <c r="J14" s="1"/>
  <c r="D14" i="18"/>
  <c r="J14" s="1"/>
  <c r="D14" i="17"/>
  <c r="J14" s="1"/>
  <c r="D14" i="20"/>
  <c r="J14" s="1"/>
  <c r="B28" i="21"/>
  <c r="D36" i="17"/>
  <c r="J36" s="1"/>
  <c r="D36" i="18"/>
  <c r="J36" s="1"/>
  <c r="D36" i="20"/>
  <c r="J36" s="1"/>
  <c r="D28" i="19"/>
  <c r="J28" s="1"/>
  <c r="D28" i="17"/>
  <c r="J28" s="1"/>
  <c r="D28" i="18"/>
  <c r="J28" s="1"/>
  <c r="D28" i="20"/>
  <c r="J28" s="1"/>
  <c r="D20" i="19"/>
  <c r="J20" s="1"/>
  <c r="D20" i="20"/>
  <c r="J20" s="1"/>
  <c r="D20" i="18"/>
  <c r="J20" s="1"/>
  <c r="D20" i="17"/>
  <c r="J20" s="1"/>
  <c r="D12" i="19"/>
  <c r="J12" s="1"/>
  <c r="D12" i="20"/>
  <c r="J12" s="1"/>
  <c r="D12" i="18"/>
  <c r="J12" s="1"/>
  <c r="D12" i="17"/>
  <c r="J12" s="1"/>
  <c r="D33"/>
  <c r="J33" s="1"/>
  <c r="D33" i="20"/>
  <c r="J33" s="1"/>
  <c r="D33" i="19"/>
  <c r="J33" s="1"/>
  <c r="B25" i="21"/>
  <c r="D33" i="18"/>
  <c r="J33" s="1"/>
  <c r="D25" i="20"/>
  <c r="J25" s="1"/>
  <c r="D25" i="19"/>
  <c r="J25" s="1"/>
  <c r="D25" i="17"/>
  <c r="J25" s="1"/>
  <c r="D25" i="18"/>
  <c r="J25" s="1"/>
  <c r="D13" i="20"/>
  <c r="J13" s="1"/>
  <c r="D13" i="19"/>
  <c r="J13" s="1"/>
  <c r="D13" i="17"/>
  <c r="J13" s="1"/>
  <c r="D13" i="18"/>
  <c r="J13" s="1"/>
  <c r="D39" i="17"/>
  <c r="D39" i="18"/>
  <c r="B31" i="21"/>
  <c r="D39" i="20"/>
  <c r="B35" i="21"/>
  <c r="D35" i="17"/>
  <c r="J35" s="1"/>
  <c r="D35" i="18"/>
  <c r="J35" s="1"/>
  <c r="B27" i="21"/>
  <c r="D35" i="20"/>
  <c r="J35" s="1"/>
  <c r="B23" i="21"/>
  <c r="D31" i="17"/>
  <c r="J31" s="1"/>
  <c r="D31" i="18"/>
  <c r="J31" s="1"/>
  <c r="D31" i="20"/>
  <c r="J31" s="1"/>
  <c r="D31" i="19"/>
  <c r="J31" s="1"/>
  <c r="D27" i="17"/>
  <c r="J27" s="1"/>
  <c r="D27" i="18"/>
  <c r="J27" s="1"/>
  <c r="D27" i="20"/>
  <c r="J27" s="1"/>
  <c r="D27" i="19"/>
  <c r="J27" s="1"/>
  <c r="D23" i="17"/>
  <c r="J23" s="1"/>
  <c r="D23" i="18"/>
  <c r="J23" s="1"/>
  <c r="D23" i="20"/>
  <c r="J23" s="1"/>
  <c r="D23" i="19"/>
  <c r="J23" s="1"/>
  <c r="D19" i="17"/>
  <c r="J19" s="1"/>
  <c r="D19" i="18"/>
  <c r="J19" s="1"/>
  <c r="D19" i="20"/>
  <c r="J19" s="1"/>
  <c r="D19" i="19"/>
  <c r="J19" s="1"/>
  <c r="D15" i="17"/>
  <c r="J15" s="1"/>
  <c r="D15" i="18"/>
  <c r="J15" s="1"/>
  <c r="D15" i="20"/>
  <c r="J15" s="1"/>
  <c r="D15" i="19"/>
  <c r="J15" s="1"/>
  <c r="D11" i="17"/>
  <c r="J11" s="1"/>
  <c r="D11" i="19"/>
  <c r="J11" s="1"/>
  <c r="D11" i="18"/>
  <c r="J11" s="1"/>
  <c r="D11" i="20"/>
  <c r="J11" s="1"/>
  <c r="E38" i="18"/>
  <c r="C30" i="21"/>
  <c r="E38" i="20"/>
  <c r="E38" i="17"/>
  <c r="K38" s="1"/>
  <c r="M38" s="1"/>
  <c r="C34" i="21"/>
  <c r="B30" i="23"/>
  <c r="E34" i="17"/>
  <c r="K34" s="1"/>
  <c r="M34" s="1"/>
  <c r="C26" i="21"/>
  <c r="E34" i="20"/>
  <c r="E34" i="18"/>
  <c r="B22" i="23"/>
  <c r="E26" i="19"/>
  <c r="E26" i="18"/>
  <c r="E26" i="17"/>
  <c r="M26" s="1"/>
  <c r="Q26" s="1"/>
  <c r="E26" i="20"/>
  <c r="K18" i="6"/>
  <c r="E18" i="19"/>
  <c r="E18" i="18"/>
  <c r="E18" i="20"/>
  <c r="E18" i="17"/>
  <c r="M18" s="1"/>
  <c r="D14" i="23" s="1"/>
  <c r="B35"/>
  <c r="C31" i="21"/>
  <c r="E39" i="20"/>
  <c r="E39" i="17"/>
  <c r="E39" i="18"/>
  <c r="C35" i="21"/>
  <c r="E27" i="20"/>
  <c r="E27" i="17"/>
  <c r="K27" s="1"/>
  <c r="E27" i="18"/>
  <c r="E27" i="19"/>
  <c r="E19" i="20"/>
  <c r="E19" i="17"/>
  <c r="K19" s="1"/>
  <c r="E19" i="19"/>
  <c r="E19" i="18"/>
  <c r="E15" i="20"/>
  <c r="E15" i="17"/>
  <c r="K15" s="1"/>
  <c r="E15" i="18"/>
  <c r="E15" i="19"/>
  <c r="E37" i="18"/>
  <c r="E37" i="17"/>
  <c r="C29" i="21"/>
  <c r="E37" i="20"/>
  <c r="B29" i="23"/>
  <c r="E33" i="18"/>
  <c r="E33" i="17"/>
  <c r="K33" s="1"/>
  <c r="M33" s="1"/>
  <c r="E33" i="20"/>
  <c r="E33" i="19"/>
  <c r="C25" i="21"/>
  <c r="E29" i="18"/>
  <c r="E29" i="17"/>
  <c r="K29" s="1"/>
  <c r="E29" i="19"/>
  <c r="E29" i="20"/>
  <c r="E25" i="18"/>
  <c r="E25" i="17"/>
  <c r="E25" i="19"/>
  <c r="E25" i="20"/>
  <c r="E21" i="18"/>
  <c r="E21" i="17"/>
  <c r="K21" s="1"/>
  <c r="E21" i="19"/>
  <c r="E21" i="20"/>
  <c r="K17" i="6"/>
  <c r="E17" i="18"/>
  <c r="E17" i="17"/>
  <c r="E17" i="19"/>
  <c r="E17" i="20"/>
  <c r="E13" i="18"/>
  <c r="E13" i="17"/>
  <c r="K13" s="1"/>
  <c r="E13" i="19"/>
  <c r="E13" i="20"/>
  <c r="E40" i="17"/>
  <c r="E40" i="18"/>
  <c r="B36" i="23"/>
  <c r="C32" i="21"/>
  <c r="E40" i="20"/>
  <c r="E30" i="19"/>
  <c r="E30" i="17"/>
  <c r="K30" s="1"/>
  <c r="E30" i="20"/>
  <c r="E30" i="18"/>
  <c r="K22" i="6"/>
  <c r="E22" i="19"/>
  <c r="E22" i="20"/>
  <c r="E22" i="18"/>
  <c r="E22" i="17"/>
  <c r="E14" i="19"/>
  <c r="E14" i="20"/>
  <c r="E14" i="18"/>
  <c r="E14" i="17"/>
  <c r="K14" s="1"/>
  <c r="C27" i="21"/>
  <c r="E35" i="20"/>
  <c r="E35" i="17"/>
  <c r="K35" s="1"/>
  <c r="M35" s="1"/>
  <c r="D31" i="23" s="1"/>
  <c r="E35" i="18"/>
  <c r="E31" i="20"/>
  <c r="E31" i="17"/>
  <c r="K31" s="1"/>
  <c r="M31" s="1"/>
  <c r="D27" i="23" s="1"/>
  <c r="E31" i="19"/>
  <c r="E31" i="18"/>
  <c r="E23" i="20"/>
  <c r="E23" i="17"/>
  <c r="K23" s="1"/>
  <c r="E23" i="19"/>
  <c r="E23" i="18"/>
  <c r="E11" i="17"/>
  <c r="K11" s="1"/>
  <c r="E11" i="19"/>
  <c r="E11" i="20"/>
  <c r="E11" i="18"/>
  <c r="E41"/>
  <c r="E41" i="17"/>
  <c r="B37" i="23"/>
  <c r="C33" i="21"/>
  <c r="E36" i="18"/>
  <c r="C28" i="21"/>
  <c r="E36" i="20"/>
  <c r="E36" i="17"/>
  <c r="K36" s="1"/>
  <c r="M36" s="1"/>
  <c r="D32" i="23" s="1"/>
  <c r="B28"/>
  <c r="E32" i="20"/>
  <c r="E32" i="18"/>
  <c r="C24" i="21"/>
  <c r="E32" i="19"/>
  <c r="E32" i="17"/>
  <c r="K32" s="1"/>
  <c r="M32" s="1"/>
  <c r="K28" i="6"/>
  <c r="E28" i="18"/>
  <c r="E28" i="20"/>
  <c r="E28" i="19"/>
  <c r="E28" i="17"/>
  <c r="K28" s="1"/>
  <c r="K24" i="6"/>
  <c r="E24" i="20"/>
  <c r="E24" i="19"/>
  <c r="E24" i="18"/>
  <c r="E24" i="17"/>
  <c r="K24" s="1"/>
  <c r="K20" i="6"/>
  <c r="E20" i="17"/>
  <c r="K20" s="1"/>
  <c r="E20" i="18"/>
  <c r="E20" i="20"/>
  <c r="E20" i="19"/>
  <c r="K16" i="6"/>
  <c r="E16" i="17"/>
  <c r="K16" s="1"/>
  <c r="E16" i="18"/>
  <c r="E16" i="20"/>
  <c r="E16" i="19"/>
  <c r="K12" i="6"/>
  <c r="E12" i="20"/>
  <c r="E12" i="19"/>
  <c r="E12" i="17"/>
  <c r="K12" s="1"/>
  <c r="E12" i="18"/>
  <c r="M26" i="13"/>
  <c r="C67"/>
  <c r="T108"/>
  <c r="I49"/>
  <c r="AO49"/>
  <c r="BD19"/>
  <c r="BD21" s="1"/>
  <c r="BF89"/>
  <c r="AA19"/>
  <c r="AA21" s="1"/>
  <c r="M93"/>
  <c r="I93"/>
  <c r="D46"/>
  <c r="L49"/>
  <c r="U86"/>
  <c r="N86"/>
  <c r="X49"/>
  <c r="X53"/>
  <c r="H46"/>
  <c r="AQ19"/>
  <c r="H49"/>
  <c r="AQ46"/>
  <c r="AH89"/>
  <c r="AG46"/>
  <c r="T49"/>
  <c r="BF49"/>
  <c r="AF46"/>
  <c r="AI89"/>
  <c r="AB49"/>
  <c r="AY46"/>
  <c r="J19"/>
  <c r="J21" s="1"/>
  <c r="J46"/>
  <c r="K33" i="6"/>
  <c r="M33" s="1"/>
  <c r="C29" i="23" s="1"/>
  <c r="B25"/>
  <c r="B13"/>
  <c r="B31"/>
  <c r="B27"/>
  <c r="B32"/>
  <c r="B33"/>
  <c r="B34"/>
  <c r="AP86" i="14"/>
  <c r="AG53"/>
  <c r="AB46"/>
  <c r="L53"/>
  <c r="AT46"/>
  <c r="X46"/>
  <c r="AF53"/>
  <c r="AB89"/>
  <c r="AA46"/>
  <c r="L93"/>
  <c r="V49"/>
  <c r="AW46"/>
  <c r="AA86"/>
  <c r="BC53"/>
  <c r="AE53"/>
  <c r="AH46"/>
  <c r="G49"/>
  <c r="C49"/>
  <c r="Q86"/>
  <c r="F46"/>
  <c r="H46"/>
  <c r="P93"/>
  <c r="T86"/>
  <c r="AV19"/>
  <c r="AB93"/>
  <c r="AP49"/>
  <c r="AH49"/>
  <c r="AC89"/>
  <c r="AD86"/>
  <c r="U46"/>
  <c r="F49"/>
  <c r="P49"/>
  <c r="L46"/>
  <c r="AL21"/>
  <c r="AX46"/>
  <c r="AI53"/>
  <c r="AA49"/>
  <c r="X93"/>
  <c r="W89"/>
  <c r="H49"/>
  <c r="D46"/>
  <c r="AL46"/>
  <c r="AS53"/>
  <c r="AW49"/>
  <c r="AG46"/>
  <c r="AA89"/>
  <c r="BD93"/>
  <c r="AZ93"/>
  <c r="AS19"/>
  <c r="AS21" s="1"/>
  <c r="AK19"/>
  <c r="AK21" s="1"/>
  <c r="AG19"/>
  <c r="AG21" s="1"/>
  <c r="AD89"/>
  <c r="M49"/>
  <c r="X49"/>
  <c r="L19"/>
  <c r="L21" s="1"/>
  <c r="N93"/>
  <c r="G19"/>
  <c r="X89"/>
  <c r="Q49"/>
  <c r="J49"/>
  <c r="Z86"/>
  <c r="S86"/>
  <c r="L86"/>
  <c r="E46"/>
  <c r="AG49"/>
  <c r="AB49"/>
  <c r="AO49"/>
  <c r="AH86"/>
  <c r="Z49"/>
  <c r="Y86"/>
  <c r="R86"/>
  <c r="K86"/>
  <c r="AT49"/>
  <c r="AP46"/>
  <c r="AS46"/>
  <c r="AP19"/>
  <c r="AP21" s="1"/>
  <c r="AR19"/>
  <c r="AR21" s="1"/>
  <c r="AY53"/>
  <c r="AQ53"/>
  <c r="AH19"/>
  <c r="AL99" s="1"/>
  <c r="AF86"/>
  <c r="J46"/>
  <c r="Z19"/>
  <c r="Z21" s="1"/>
  <c r="T53"/>
  <c r="O19"/>
  <c r="D19"/>
  <c r="D21" s="1"/>
  <c r="F86"/>
  <c r="AH21"/>
  <c r="AA19"/>
  <c r="AH53"/>
  <c r="AD49"/>
  <c r="AW53"/>
  <c r="BA49"/>
  <c r="AC49"/>
  <c r="AO19"/>
  <c r="AP59" s="1"/>
  <c r="AN19"/>
  <c r="AN21" s="1"/>
  <c r="K46"/>
  <c r="S46"/>
  <c r="W49"/>
  <c r="Q89"/>
  <c r="I86"/>
  <c r="AL59"/>
  <c r="BB53"/>
  <c r="AP53"/>
  <c r="BB49"/>
  <c r="AL49"/>
  <c r="AS49"/>
  <c r="BE46"/>
  <c r="AO46"/>
  <c r="AD19"/>
  <c r="BD19"/>
  <c r="BD21" s="1"/>
  <c r="AH111"/>
  <c r="BC93"/>
  <c r="G46"/>
  <c r="O46"/>
  <c r="W46"/>
  <c r="O49"/>
  <c r="N46"/>
  <c r="V46"/>
  <c r="R49"/>
  <c r="H19"/>
  <c r="H21" s="1"/>
  <c r="P19"/>
  <c r="V19"/>
  <c r="V21" s="1"/>
  <c r="W61" s="1"/>
  <c r="U89"/>
  <c r="M89"/>
  <c r="J89"/>
  <c r="G89"/>
  <c r="D49"/>
  <c r="U86"/>
  <c r="M86"/>
  <c r="AK49"/>
  <c r="AW19"/>
  <c r="N49"/>
  <c r="J19"/>
  <c r="J21" s="1"/>
  <c r="N19"/>
  <c r="AL53"/>
  <c r="AX49"/>
  <c r="AB21"/>
  <c r="AB101" s="1"/>
  <c r="AO53"/>
  <c r="BA46"/>
  <c r="AK46"/>
  <c r="AH89"/>
  <c r="I46"/>
  <c r="Q46"/>
  <c r="Y46"/>
  <c r="F19"/>
  <c r="F21" s="1"/>
  <c r="K53"/>
  <c r="W86"/>
  <c r="O86"/>
  <c r="G86"/>
  <c r="BE111"/>
  <c r="Z78" i="13"/>
  <c r="AD116"/>
  <c r="W115"/>
  <c r="K48" i="4"/>
  <c r="K53" s="1"/>
  <c r="K25"/>
  <c r="J23"/>
  <c r="J20"/>
  <c r="M25"/>
  <c r="N25"/>
  <c r="J25"/>
  <c r="N21"/>
  <c r="J22"/>
  <c r="H23"/>
  <c r="E8" i="17"/>
  <c r="H8" s="1"/>
  <c r="K26" i="6"/>
  <c r="L112" i="13"/>
  <c r="T26"/>
  <c r="V77" i="14"/>
  <c r="AN72" i="13"/>
  <c r="AA76"/>
  <c r="Q70"/>
  <c r="AH116"/>
  <c r="V115"/>
  <c r="AH116" i="14"/>
  <c r="AD70"/>
  <c r="R76" i="13"/>
  <c r="V75"/>
  <c r="AD76"/>
  <c r="K29" i="6"/>
  <c r="B17" i="23"/>
  <c r="K34" i="6"/>
  <c r="M34" s="1"/>
  <c r="C30" i="23" s="1"/>
  <c r="K21" i="6"/>
  <c r="B21" i="23"/>
  <c r="B18"/>
  <c r="B9"/>
  <c r="K13" i="6"/>
  <c r="K10"/>
  <c r="K9"/>
  <c r="K25"/>
  <c r="B5" i="23"/>
  <c r="K37" i="6"/>
  <c r="M37" s="1"/>
  <c r="BH53" i="14"/>
  <c r="BG53"/>
  <c r="BD53"/>
  <c r="BF49"/>
  <c r="BE49"/>
  <c r="BB46"/>
  <c r="BF46"/>
  <c r="BL86"/>
  <c r="BB19"/>
  <c r="BB21" s="1"/>
  <c r="BD53" i="13"/>
  <c r="BD46"/>
  <c r="BE86"/>
  <c r="BA46"/>
  <c r="AX46"/>
  <c r="AB80"/>
  <c r="T120"/>
  <c r="L40"/>
  <c r="AO40"/>
  <c r="U120"/>
  <c r="BC40"/>
  <c r="F40"/>
  <c r="F40" i="14" s="1"/>
  <c r="F80" s="1"/>
  <c r="AC80" i="13"/>
  <c r="AE117" i="14"/>
  <c r="V74" i="13"/>
  <c r="I35"/>
  <c r="U36"/>
  <c r="Y116" s="1"/>
  <c r="AV34"/>
  <c r="O114"/>
  <c r="M75"/>
  <c r="F92" i="12"/>
  <c r="J34" i="13"/>
  <c r="G35"/>
  <c r="G115" s="1"/>
  <c r="S36"/>
  <c r="T76" s="1"/>
  <c r="F37"/>
  <c r="J117" s="1"/>
  <c r="B38"/>
  <c r="B38" i="14" s="1"/>
  <c r="F118" s="1"/>
  <c r="U38" i="13"/>
  <c r="BE34"/>
  <c r="BD38"/>
  <c r="N34"/>
  <c r="N34" i="14" s="1"/>
  <c r="K35" i="13"/>
  <c r="O115" s="1"/>
  <c r="F36"/>
  <c r="F36" i="14" s="1"/>
  <c r="F116" s="1"/>
  <c r="T116" i="13"/>
  <c r="S37"/>
  <c r="P38"/>
  <c r="P33" s="1"/>
  <c r="AF34"/>
  <c r="AF34" i="14" s="1"/>
  <c r="AB36" i="13"/>
  <c r="AR36"/>
  <c r="AG37"/>
  <c r="AW37"/>
  <c r="AW37" i="14" s="1"/>
  <c r="X37" i="13"/>
  <c r="X37" i="14" s="1"/>
  <c r="AI34" i="13"/>
  <c r="AY34"/>
  <c r="AM35"/>
  <c r="AM35" i="14" s="1"/>
  <c r="AH38" i="13"/>
  <c r="AX38"/>
  <c r="BB118" s="1"/>
  <c r="R76" i="14"/>
  <c r="M34" i="13"/>
  <c r="BC38"/>
  <c r="BC78" s="1"/>
  <c r="T37"/>
  <c r="T33" s="1"/>
  <c r="N38"/>
  <c r="N116"/>
  <c r="C36"/>
  <c r="C36" i="14" s="1"/>
  <c r="G116" s="1"/>
  <c r="C38" i="13"/>
  <c r="BB34"/>
  <c r="I36"/>
  <c r="I76" s="1"/>
  <c r="AZ35"/>
  <c r="AZ35" i="14" s="1"/>
  <c r="BA34" i="13"/>
  <c r="BA38"/>
  <c r="AB71"/>
  <c r="N30"/>
  <c r="N29" s="1"/>
  <c r="F48" i="12"/>
  <c r="BB31" i="13"/>
  <c r="BD31"/>
  <c r="BD31" i="14" s="1"/>
  <c r="J31" i="13"/>
  <c r="J71" s="1"/>
  <c r="I32"/>
  <c r="I32" i="14" s="1"/>
  <c r="AX32" i="13"/>
  <c r="AX32" i="14" s="1"/>
  <c r="AA30" i="13"/>
  <c r="AA30" i="14" s="1"/>
  <c r="AA29" s="1"/>
  <c r="AE31" i="13"/>
  <c r="AW31"/>
  <c r="AW31" i="14" s="1"/>
  <c r="F39" i="12"/>
  <c r="F135" s="1"/>
  <c r="AI71" i="13"/>
  <c r="R30"/>
  <c r="BD32"/>
  <c r="BD32" i="14" s="1"/>
  <c r="O31" i="13"/>
  <c r="S111" s="1"/>
  <c r="K32"/>
  <c r="K72" s="1"/>
  <c r="BC31"/>
  <c r="L31"/>
  <c r="L31" i="14" s="1"/>
  <c r="L29" s="1"/>
  <c r="AF30" i="13"/>
  <c r="AH32"/>
  <c r="AH32" i="14" s="1"/>
  <c r="AL32" i="13"/>
  <c r="AY32"/>
  <c r="AY32" i="14" s="1"/>
  <c r="X30" i="13"/>
  <c r="Y70" s="1"/>
  <c r="Z30"/>
  <c r="Z30" i="14" s="1"/>
  <c r="Z29" s="1"/>
  <c r="AP30" i="13"/>
  <c r="AU30"/>
  <c r="AG31"/>
  <c r="AG111" s="1"/>
  <c r="AK31"/>
  <c r="AT31"/>
  <c r="AX31"/>
  <c r="AX70"/>
  <c r="F151" i="12"/>
  <c r="AK32" i="13"/>
  <c r="AQ30"/>
  <c r="AZ32"/>
  <c r="AZ32" i="14" s="1"/>
  <c r="W72" i="13"/>
  <c r="AZ31"/>
  <c r="AZ31" i="14" s="1"/>
  <c r="E39" i="12"/>
  <c r="F41"/>
  <c r="F146"/>
  <c r="F144"/>
  <c r="F142"/>
  <c r="F138"/>
  <c r="F145"/>
  <c r="AA107" i="13"/>
  <c r="W26"/>
  <c r="B141" i="12"/>
  <c r="Q27" i="13"/>
  <c r="V27"/>
  <c r="W67" s="1"/>
  <c r="AH28"/>
  <c r="AH68" s="1"/>
  <c r="AF27"/>
  <c r="B139" i="12"/>
  <c r="R68" i="13"/>
  <c r="S28"/>
  <c r="W108" s="1"/>
  <c r="BE28"/>
  <c r="AN28"/>
  <c r="X27"/>
  <c r="AJ28"/>
  <c r="AZ28"/>
  <c r="Y28"/>
  <c r="BA27"/>
  <c r="B137" i="12"/>
  <c r="AX28" i="13"/>
  <c r="AX28" i="14" s="1"/>
  <c r="AW27" i="13"/>
  <c r="AW27" i="14" s="1"/>
  <c r="F148" i="12"/>
  <c r="O27" i="13"/>
  <c r="B142" i="12"/>
  <c r="H28" i="13"/>
  <c r="U28"/>
  <c r="BB28"/>
  <c r="AY28"/>
  <c r="AY28" i="14" s="1"/>
  <c r="AT27" i="13"/>
  <c r="AT27" i="14" s="1"/>
  <c r="AT26" s="1"/>
  <c r="AU27" i="13"/>
  <c r="AU27" i="14" s="1"/>
  <c r="AH27" i="13"/>
  <c r="B143" i="12"/>
  <c r="B136"/>
  <c r="D34" i="13"/>
  <c r="D34" i="14" s="1"/>
  <c r="F32" i="13"/>
  <c r="F32" i="14" s="1"/>
  <c r="F112" s="1"/>
  <c r="B40" i="13"/>
  <c r="B40" i="14" s="1"/>
  <c r="B135" i="12"/>
  <c r="B140"/>
  <c r="C85"/>
  <c r="D30" i="13"/>
  <c r="D30" i="14" s="1"/>
  <c r="E70" s="1"/>
  <c r="B34" i="13"/>
  <c r="B34" i="14" s="1"/>
  <c r="C74" s="1"/>
  <c r="H40" i="13"/>
  <c r="H27"/>
  <c r="H27" i="14" s="1"/>
  <c r="H107" s="1"/>
  <c r="B28" i="13"/>
  <c r="B28" i="14" s="1"/>
  <c r="G28" i="13"/>
  <c r="G28" i="14" s="1"/>
  <c r="G68" s="1"/>
  <c r="G32" i="13"/>
  <c r="G32" i="14" s="1"/>
  <c r="H34" i="13"/>
  <c r="L114" s="1"/>
  <c r="E35"/>
  <c r="E35" i="14" s="1"/>
  <c r="I38" i="13"/>
  <c r="D40"/>
  <c r="D40" i="14" s="1"/>
  <c r="C39" i="12"/>
  <c r="C134" s="1"/>
  <c r="B144"/>
  <c r="H38" i="13"/>
  <c r="H38" i="14" s="1"/>
  <c r="H78" s="1"/>
  <c r="B134" i="12"/>
  <c r="B145"/>
  <c r="B146"/>
  <c r="B138"/>
  <c r="F27" i="13"/>
  <c r="J107" s="1"/>
  <c r="C148" i="12"/>
  <c r="K107" i="13"/>
  <c r="G107"/>
  <c r="G27" i="14"/>
  <c r="K107" s="1"/>
  <c r="B148" i="12"/>
  <c r="E77" i="13"/>
  <c r="C27" i="14"/>
  <c r="C26" s="1"/>
  <c r="H35" i="13"/>
  <c r="H35" i="14" s="1"/>
  <c r="E36" i="13"/>
  <c r="H30"/>
  <c r="L110" s="1"/>
  <c r="G26"/>
  <c r="D31"/>
  <c r="E71" s="1"/>
  <c r="M117"/>
  <c r="G78"/>
  <c r="D28"/>
  <c r="D26" s="1"/>
  <c r="I27"/>
  <c r="E28"/>
  <c r="E26" s="1"/>
  <c r="P19" i="12"/>
  <c r="P21" s="1"/>
  <c r="M118" i="7"/>
  <c r="M117"/>
  <c r="M116"/>
  <c r="O86" i="13"/>
  <c r="S86"/>
  <c r="P46"/>
  <c r="AC89"/>
  <c r="Y49"/>
  <c r="Z49"/>
  <c r="BC27"/>
  <c r="BC27" i="14" s="1"/>
  <c r="BC26" s="1"/>
  <c r="BB27" i="13"/>
  <c r="BB27" i="14" s="1"/>
  <c r="BD27" i="13"/>
  <c r="BE27"/>
  <c r="BE27" i="14" s="1"/>
  <c r="BB30" i="13"/>
  <c r="BD30"/>
  <c r="BD30" i="14" s="1"/>
  <c r="BE30" i="13"/>
  <c r="BE30" i="14" s="1"/>
  <c r="BE29" s="1"/>
  <c r="BE35" i="13"/>
  <c r="BE35" i="14" s="1"/>
  <c r="BD35" i="13"/>
  <c r="BC35"/>
  <c r="BC35" i="14" s="1"/>
  <c r="U93"/>
  <c r="U19"/>
  <c r="V53"/>
  <c r="U53"/>
  <c r="M93"/>
  <c r="M19"/>
  <c r="N53"/>
  <c r="M53"/>
  <c r="W115"/>
  <c r="W70"/>
  <c r="AB120" i="13"/>
  <c r="AB120" i="14"/>
  <c r="L70"/>
  <c r="L70" i="13"/>
  <c r="O110"/>
  <c r="H117"/>
  <c r="H37" i="14"/>
  <c r="L117" s="1"/>
  <c r="Z112" i="13"/>
  <c r="Z112" i="14"/>
  <c r="AF115"/>
  <c r="AC75" i="13"/>
  <c r="L24" i="4"/>
  <c r="L25"/>
  <c r="N50"/>
  <c r="M48"/>
  <c r="C38"/>
  <c r="G105" i="7"/>
  <c r="D136"/>
  <c r="G136" s="1"/>
  <c r="G122"/>
  <c r="O7"/>
  <c r="H134"/>
  <c r="K9"/>
  <c r="K10" s="1"/>
  <c r="G134"/>
  <c r="O25"/>
  <c r="O23"/>
  <c r="O21"/>
  <c r="O19"/>
  <c r="O17"/>
  <c r="K12"/>
  <c r="O6"/>
  <c r="H9"/>
  <c r="C12"/>
  <c r="H12" s="1"/>
  <c r="O18"/>
  <c r="O22"/>
  <c r="O34"/>
  <c r="I134"/>
  <c r="O37"/>
  <c r="O35"/>
  <c r="O9"/>
  <c r="O8"/>
  <c r="O16"/>
  <c r="O20"/>
  <c r="O24"/>
  <c r="F134"/>
  <c r="C120"/>
  <c r="H120" s="1"/>
  <c r="E134"/>
  <c r="O5"/>
  <c r="O27"/>
  <c r="BK19" i="13"/>
  <c r="BK46" i="14"/>
  <c r="M75"/>
  <c r="J104" i="7"/>
  <c r="C104" s="1"/>
  <c r="R19" i="14"/>
  <c r="S49"/>
  <c r="R89"/>
  <c r="V89"/>
  <c r="Z9" i="26"/>
  <c r="F58" i="12"/>
  <c r="F78"/>
  <c r="E21"/>
  <c r="M35" i="7"/>
  <c r="J35"/>
  <c r="G35"/>
  <c r="K35"/>
  <c r="H58" i="12"/>
  <c r="H21"/>
  <c r="AB111" i="14"/>
  <c r="AJ93"/>
  <c r="AK53"/>
  <c r="AJ53"/>
  <c r="AJ19"/>
  <c r="AC93"/>
  <c r="AC53"/>
  <c r="AC19"/>
  <c r="AG93"/>
  <c r="AD53"/>
  <c r="BG89"/>
  <c r="BH49"/>
  <c r="BC89"/>
  <c r="BC49"/>
  <c r="BC19"/>
  <c r="BD49"/>
  <c r="AY89"/>
  <c r="AY19"/>
  <c r="AZ49"/>
  <c r="AY49"/>
  <c r="AU89"/>
  <c r="AU49"/>
  <c r="AU19"/>
  <c r="AV49"/>
  <c r="AQ89"/>
  <c r="AR49"/>
  <c r="AQ49"/>
  <c r="AM49"/>
  <c r="AN49"/>
  <c r="AI89"/>
  <c r="AI19"/>
  <c r="AJ49"/>
  <c r="AI49"/>
  <c r="AE49"/>
  <c r="AE19"/>
  <c r="AF49"/>
  <c r="F47" i="4"/>
  <c r="C22"/>
  <c r="D82" s="1"/>
  <c r="M47"/>
  <c r="F44"/>
  <c r="F53" s="1"/>
  <c r="N44"/>
  <c r="C18"/>
  <c r="D78" s="1"/>
  <c r="M44"/>
  <c r="L48"/>
  <c r="N22"/>
  <c r="N23"/>
  <c r="L44"/>
  <c r="N19"/>
  <c r="K27" i="7"/>
  <c r="C31"/>
  <c r="H31" s="1"/>
  <c r="H27"/>
  <c r="I27"/>
  <c r="G55"/>
  <c r="K52"/>
  <c r="D57"/>
  <c r="D60"/>
  <c r="G60" s="1"/>
  <c r="M54"/>
  <c r="AU93" i="14"/>
  <c r="AQ93"/>
  <c r="AQ19"/>
  <c r="AR53"/>
  <c r="AM93"/>
  <c r="AM53"/>
  <c r="AM19"/>
  <c r="AN53"/>
  <c r="B58" i="12"/>
  <c r="X59" i="14"/>
  <c r="X53"/>
  <c r="W53"/>
  <c r="W93"/>
  <c r="P53"/>
  <c r="O53"/>
  <c r="O93"/>
  <c r="H53"/>
  <c r="G53"/>
  <c r="G93"/>
  <c r="C19"/>
  <c r="C53"/>
  <c r="D53"/>
  <c r="Y89"/>
  <c r="Y49"/>
  <c r="T89"/>
  <c r="T19"/>
  <c r="U49"/>
  <c r="T49"/>
  <c r="I89"/>
  <c r="I49"/>
  <c r="K19" i="6"/>
  <c r="B11" i="23"/>
  <c r="E7" i="17"/>
  <c r="K7" i="6"/>
  <c r="C26" i="13"/>
  <c r="C21" i="12"/>
  <c r="K110" i="13"/>
  <c r="C75"/>
  <c r="S75" i="14"/>
  <c r="O116" i="13"/>
  <c r="AF49"/>
  <c r="J18" i="4"/>
  <c r="F137" i="7"/>
  <c r="G144"/>
  <c r="F142"/>
  <c r="H89" i="14"/>
  <c r="E60" i="7"/>
  <c r="F60" s="1"/>
  <c r="E57"/>
  <c r="F57" s="1"/>
  <c r="F55"/>
  <c r="C59"/>
  <c r="C60"/>
  <c r="H60" s="1"/>
  <c r="C57"/>
  <c r="H57" s="1"/>
  <c r="L52"/>
  <c r="C51"/>
  <c r="H40"/>
  <c r="F139"/>
  <c r="H139"/>
  <c r="F143"/>
  <c r="H143"/>
  <c r="C140"/>
  <c r="C137"/>
  <c r="C134"/>
  <c r="C142"/>
  <c r="C143"/>
  <c r="G138"/>
  <c r="F140"/>
  <c r="H140"/>
  <c r="G142"/>
  <c r="F144"/>
  <c r="H144"/>
  <c r="G137"/>
  <c r="C138"/>
  <c r="C139"/>
  <c r="M6"/>
  <c r="M9"/>
  <c r="M19"/>
  <c r="M23"/>
  <c r="M25"/>
  <c r="D120"/>
  <c r="G120" s="1"/>
  <c r="M24"/>
  <c r="M22"/>
  <c r="M20"/>
  <c r="M18"/>
  <c r="M16"/>
  <c r="G9"/>
  <c r="M5"/>
  <c r="M7"/>
  <c r="D12"/>
  <c r="G12" s="1"/>
  <c r="G148" i="12"/>
  <c r="G65"/>
  <c r="H65"/>
  <c r="K148"/>
  <c r="L65"/>
  <c r="K45"/>
  <c r="BG86" i="14"/>
  <c r="BG46"/>
  <c r="BH46"/>
  <c r="BC86"/>
  <c r="BD46"/>
  <c r="BC46"/>
  <c r="AY46"/>
  <c r="AZ46"/>
  <c r="AU86"/>
  <c r="AV46"/>
  <c r="AU46"/>
  <c r="AQ86"/>
  <c r="AQ46"/>
  <c r="AR46"/>
  <c r="AN46"/>
  <c r="AM46"/>
  <c r="AI86"/>
  <c r="AI46"/>
  <c r="AJ46"/>
  <c r="AF46"/>
  <c r="AE86"/>
  <c r="AE46"/>
  <c r="X61"/>
  <c r="D155" i="12"/>
  <c r="D19"/>
  <c r="E78" s="1"/>
  <c r="D52"/>
  <c r="E151"/>
  <c r="F68"/>
  <c r="S19" i="14"/>
  <c r="S93"/>
  <c r="K19"/>
  <c r="K93"/>
  <c r="E53"/>
  <c r="E19"/>
  <c r="F53"/>
  <c r="J77" i="13"/>
  <c r="J68" i="14"/>
  <c r="I120" i="13"/>
  <c r="Q80"/>
  <c r="D75"/>
  <c r="Q117"/>
  <c r="O28" i="7"/>
  <c r="D134"/>
  <c r="AA99" i="14"/>
  <c r="AB59"/>
  <c r="M37" i="7"/>
  <c r="J37"/>
  <c r="G37"/>
  <c r="H151" i="12"/>
  <c r="H48"/>
  <c r="H68"/>
  <c r="I68"/>
  <c r="L151"/>
  <c r="M68"/>
  <c r="L48"/>
  <c r="L19"/>
  <c r="L58" s="1"/>
  <c r="G155"/>
  <c r="G52"/>
  <c r="G19"/>
  <c r="G58" s="1"/>
  <c r="K155"/>
  <c r="K72"/>
  <c r="O155"/>
  <c r="O19"/>
  <c r="O21" s="1"/>
  <c r="V36" i="13"/>
  <c r="W36"/>
  <c r="X36"/>
  <c r="Y31"/>
  <c r="Y31" i="14" s="1"/>
  <c r="Y29" s="1"/>
  <c r="W31" i="13"/>
  <c r="V31"/>
  <c r="AZ40"/>
  <c r="BA40"/>
  <c r="AX40"/>
  <c r="AX40" i="14" s="1"/>
  <c r="AJ40" i="13"/>
  <c r="AK40"/>
  <c r="AK40" i="14" s="1"/>
  <c r="AH40" i="13"/>
  <c r="AW38"/>
  <c r="AT38"/>
  <c r="AU38"/>
  <c r="AG38"/>
  <c r="AG38" i="14" s="1"/>
  <c r="AD38" i="13"/>
  <c r="AE38"/>
  <c r="AP37"/>
  <c r="AR37"/>
  <c r="AS37"/>
  <c r="Z37"/>
  <c r="AB37"/>
  <c r="AC37"/>
  <c r="AC37" i="14" s="1"/>
  <c r="AC33" s="1"/>
  <c r="AN36" i="13"/>
  <c r="AL36"/>
  <c r="AO36"/>
  <c r="AX35"/>
  <c r="AY35"/>
  <c r="AH35"/>
  <c r="AI35"/>
  <c r="AT34"/>
  <c r="AW34"/>
  <c r="AD34"/>
  <c r="AD74" s="1"/>
  <c r="AG34"/>
  <c r="AS32"/>
  <c r="AS32" i="14" s="1"/>
  <c r="AR32" i="13"/>
  <c r="AC32"/>
  <c r="AB32"/>
  <c r="AO31"/>
  <c r="AM31"/>
  <c r="AL31"/>
  <c r="BJ30"/>
  <c r="AY30"/>
  <c r="BA30"/>
  <c r="AV28"/>
  <c r="AV28" i="14" s="1"/>
  <c r="AV26" s="1"/>
  <c r="AU28" i="13"/>
  <c r="AW28"/>
  <c r="AW28" i="14" s="1"/>
  <c r="AQ27" i="13"/>
  <c r="AP27"/>
  <c r="AW93"/>
  <c r="AW53"/>
  <c r="AO93"/>
  <c r="AO53"/>
  <c r="AG93"/>
  <c r="AH53"/>
  <c r="AG53"/>
  <c r="AC93"/>
  <c r="AC53"/>
  <c r="AC46"/>
  <c r="AD46"/>
  <c r="AE93" i="14"/>
  <c r="AA93"/>
  <c r="AB53"/>
  <c r="BF53"/>
  <c r="BE19"/>
  <c r="BE53"/>
  <c r="BA53"/>
  <c r="BA19"/>
  <c r="AX19"/>
  <c r="AX53"/>
  <c r="AT93"/>
  <c r="AU53"/>
  <c r="AT19"/>
  <c r="AD46"/>
  <c r="AC46"/>
  <c r="AC86"/>
  <c r="D45" i="12"/>
  <c r="D39"/>
  <c r="D85"/>
  <c r="Y93" i="14"/>
  <c r="Z53"/>
  <c r="Y53"/>
  <c r="Y19"/>
  <c r="Q93"/>
  <c r="R53"/>
  <c r="Q53"/>
  <c r="Q19"/>
  <c r="I93"/>
  <c r="J53"/>
  <c r="I53"/>
  <c r="I19"/>
  <c r="B19"/>
  <c r="F93"/>
  <c r="K49"/>
  <c r="K89"/>
  <c r="L49"/>
  <c r="E53" i="4"/>
  <c r="L104" i="7"/>
  <c r="E104" s="1"/>
  <c r="AK19" i="13"/>
  <c r="AK21" s="1"/>
  <c r="U67"/>
  <c r="E49" i="14"/>
  <c r="C46"/>
  <c r="L23" i="17"/>
  <c r="F40" i="9"/>
  <c r="C52" s="1"/>
  <c r="C55"/>
  <c r="C9"/>
  <c r="B20"/>
  <c r="BL36" i="13"/>
  <c r="BP116" s="1"/>
  <c r="BL31"/>
  <c r="BP111" s="1"/>
  <c r="Z16" i="26"/>
  <c r="X16"/>
  <c r="X17"/>
  <c r="X14"/>
  <c r="Z14"/>
  <c r="Z12"/>
  <c r="X12"/>
  <c r="Z7"/>
  <c r="M20" i="4"/>
  <c r="M24"/>
  <c r="J19"/>
  <c r="K24"/>
  <c r="Y93" i="13"/>
  <c r="BL38"/>
  <c r="BP118" s="1"/>
  <c r="BL34"/>
  <c r="BP114" s="1"/>
  <c r="BL28"/>
  <c r="BP108" s="1"/>
  <c r="X18" i="26"/>
  <c r="Z18"/>
  <c r="X15"/>
  <c r="Z15"/>
  <c r="C257" s="1"/>
  <c r="E383" s="1"/>
  <c r="Z13"/>
  <c r="C255" s="1"/>
  <c r="E381" s="1"/>
  <c r="X13"/>
  <c r="A9"/>
  <c r="A27"/>
  <c r="L19" i="4"/>
  <c r="O42" i="7"/>
  <c r="O44"/>
  <c r="I137"/>
  <c r="E144"/>
  <c r="I141"/>
  <c r="E140"/>
  <c r="BE49" i="13"/>
  <c r="BF93"/>
  <c r="BA49"/>
  <c r="AG89"/>
  <c r="AD49"/>
  <c r="BB93" i="14"/>
  <c r="AN93"/>
  <c r="E155" i="12"/>
  <c r="D148"/>
  <c r="D88"/>
  <c r="K93" i="13"/>
  <c r="R86"/>
  <c r="L86"/>
  <c r="E19"/>
  <c r="E21" s="1"/>
  <c r="Y19"/>
  <c r="Y21" s="1"/>
  <c r="V89"/>
  <c r="V19"/>
  <c r="V21" s="1"/>
  <c r="F9" i="9"/>
  <c r="C27"/>
  <c r="BL37" i="13"/>
  <c r="BP117" s="1"/>
  <c r="BL32"/>
  <c r="BP112" s="1"/>
  <c r="A44" i="26"/>
  <c r="L44" s="1"/>
  <c r="BM21" i="14"/>
  <c r="BQ101" s="1"/>
  <c r="A181" i="26"/>
  <c r="A203"/>
  <c r="A226" s="1"/>
  <c r="A250" s="1"/>
  <c r="A270" s="1"/>
  <c r="A290" s="1"/>
  <c r="AC114" i="13"/>
  <c r="H24" i="4"/>
  <c r="M41" i="7"/>
  <c r="M42"/>
  <c r="M43"/>
  <c r="M44"/>
  <c r="M45"/>
  <c r="E137"/>
  <c r="I142"/>
  <c r="E141"/>
  <c r="BG19" i="13"/>
  <c r="BG21" s="1"/>
  <c r="AR53"/>
  <c r="AV93" i="14"/>
  <c r="AH93"/>
  <c r="AG89"/>
  <c r="AG86"/>
  <c r="C48" i="12"/>
  <c r="T53" i="13"/>
  <c r="L53"/>
  <c r="P86"/>
  <c r="B23" i="23"/>
  <c r="K23" i="6"/>
  <c r="H35"/>
  <c r="B7" i="23"/>
  <c r="K35" i="6"/>
  <c r="M35" s="1"/>
  <c r="Q35" s="1"/>
  <c r="H19"/>
  <c r="J34"/>
  <c r="J18"/>
  <c r="J10"/>
  <c r="H15"/>
  <c r="H31"/>
  <c r="J26"/>
  <c r="H18"/>
  <c r="H14"/>
  <c r="H22"/>
  <c r="J21"/>
  <c r="K14"/>
  <c r="K30"/>
  <c r="H7"/>
  <c r="K11"/>
  <c r="H23"/>
  <c r="K27"/>
  <c r="B26" i="23"/>
  <c r="B19"/>
  <c r="B10"/>
  <c r="H30" i="6"/>
  <c r="J29"/>
  <c r="J13"/>
  <c r="B14" i="23"/>
  <c r="E10" i="17"/>
  <c r="L26" i="6"/>
  <c r="M10" s="1"/>
  <c r="C6" i="23" s="1"/>
  <c r="C55" s="1"/>
  <c r="H10" i="6"/>
  <c r="H26"/>
  <c r="H34"/>
  <c r="H11"/>
  <c r="K15"/>
  <c r="H27"/>
  <c r="K31"/>
  <c r="M31" s="1"/>
  <c r="J33"/>
  <c r="J25"/>
  <c r="J17"/>
  <c r="J9"/>
  <c r="B15" i="23"/>
  <c r="C23" i="21"/>
  <c r="M19" i="6"/>
  <c r="M23"/>
  <c r="M11"/>
  <c r="M13"/>
  <c r="C9" i="23" s="1"/>
  <c r="M9" i="17"/>
  <c r="D5" i="23" s="1"/>
  <c r="K9" i="17"/>
  <c r="H36" i="6"/>
  <c r="J35"/>
  <c r="J27"/>
  <c r="J19"/>
  <c r="J11"/>
  <c r="H37"/>
  <c r="H8"/>
  <c r="H12"/>
  <c r="H16"/>
  <c r="H20"/>
  <c r="H24"/>
  <c r="H28"/>
  <c r="K32"/>
  <c r="M32" s="1"/>
  <c r="K36"/>
  <c r="M36" s="1"/>
  <c r="C32" i="23" s="1"/>
  <c r="H9" i="6"/>
  <c r="H13"/>
  <c r="H17"/>
  <c r="H21"/>
  <c r="H25"/>
  <c r="H29"/>
  <c r="H33"/>
  <c r="J36"/>
  <c r="J32"/>
  <c r="J28"/>
  <c r="J24"/>
  <c r="J20"/>
  <c r="J16"/>
  <c r="J12"/>
  <c r="J8"/>
  <c r="B24" i="23"/>
  <c r="B20"/>
  <c r="B16"/>
  <c r="B12"/>
  <c r="B8"/>
  <c r="B4"/>
  <c r="H38" i="6"/>
  <c r="H32"/>
  <c r="J31"/>
  <c r="J23"/>
  <c r="J15"/>
  <c r="D7" i="17"/>
  <c r="J7" s="1"/>
  <c r="K118" i="14"/>
  <c r="J77"/>
  <c r="Y59" i="13"/>
  <c r="N89"/>
  <c r="M46"/>
  <c r="U46"/>
  <c r="K49"/>
  <c r="G53"/>
  <c r="Q53"/>
  <c r="AI19"/>
  <c r="AI21" s="1"/>
  <c r="AI101" s="1"/>
  <c r="L46"/>
  <c r="T46"/>
  <c r="N53"/>
  <c r="E46"/>
  <c r="I86"/>
  <c r="E27" i="14"/>
  <c r="E67" s="1"/>
  <c r="L67" i="13"/>
  <c r="Y107"/>
  <c r="P74" i="14"/>
  <c r="AA112"/>
  <c r="AE112" i="13"/>
  <c r="AA74"/>
  <c r="AF118"/>
  <c r="AZ118" i="14"/>
  <c r="Y112" i="13"/>
  <c r="X120"/>
  <c r="AN111"/>
  <c r="AQ118"/>
  <c r="X114"/>
  <c r="Y33"/>
  <c r="AJ49"/>
  <c r="AV53"/>
  <c r="AI46"/>
  <c r="AI49"/>
  <c r="AB53"/>
  <c r="BB89"/>
  <c r="AF19"/>
  <c r="AF59" s="1"/>
  <c r="AR89"/>
  <c r="AM49"/>
  <c r="AL49"/>
  <c r="AE49"/>
  <c r="AM86"/>
  <c r="N19"/>
  <c r="X46"/>
  <c r="S46"/>
  <c r="X86"/>
  <c r="AY19"/>
  <c r="AY21" s="1"/>
  <c r="R46"/>
  <c r="F53"/>
  <c r="I46"/>
  <c r="E67"/>
  <c r="K67"/>
  <c r="N107" i="14"/>
  <c r="T120"/>
  <c r="T67"/>
  <c r="AH49" i="13"/>
  <c r="AF53"/>
  <c r="AG49"/>
  <c r="BE89"/>
  <c r="BC93"/>
  <c r="BG53"/>
  <c r="AM89"/>
  <c r="AK89"/>
  <c r="AA49"/>
  <c r="AH46"/>
  <c r="F19"/>
  <c r="F21" s="1"/>
  <c r="R49"/>
  <c r="M86"/>
  <c r="BJ19"/>
  <c r="O46"/>
  <c r="O49"/>
  <c r="U53"/>
  <c r="N46"/>
  <c r="L117"/>
  <c r="H76"/>
  <c r="AP46"/>
  <c r="AN49"/>
  <c r="AJ53"/>
  <c r="AZ53"/>
  <c r="AK49"/>
  <c r="AA46"/>
  <c r="K19"/>
  <c r="K59" s="1"/>
  <c r="J93"/>
  <c r="C53"/>
  <c r="C49"/>
  <c r="U117" i="14"/>
  <c r="O118"/>
  <c r="Q68" i="13"/>
  <c r="X108"/>
  <c r="Y74"/>
  <c r="AJ71" i="14"/>
  <c r="AC71" i="13"/>
  <c r="V70"/>
  <c r="AB114"/>
  <c r="U80"/>
  <c r="U117"/>
  <c r="M117" i="14"/>
  <c r="Y117" i="13"/>
  <c r="W75"/>
  <c r="AC80" i="14"/>
  <c r="AU114" i="13"/>
  <c r="AE114"/>
  <c r="P116"/>
  <c r="I114" i="14"/>
  <c r="K118" i="13"/>
  <c r="BB75"/>
  <c r="T72"/>
  <c r="P74"/>
  <c r="AC74" i="14"/>
  <c r="AF115" i="13"/>
  <c r="AR120" i="14"/>
  <c r="C72" i="13"/>
  <c r="AJ71"/>
  <c r="AB111"/>
  <c r="AW70" i="14"/>
  <c r="Z76" i="13"/>
  <c r="Z72"/>
  <c r="AR68"/>
  <c r="U115"/>
  <c r="AZ118"/>
  <c r="W70"/>
  <c r="AV118"/>
  <c r="AA114"/>
  <c r="D77"/>
  <c r="AB108"/>
  <c r="AD70"/>
  <c r="R68" i="14"/>
  <c r="X68" i="13"/>
  <c r="AD80"/>
  <c r="AB74"/>
  <c r="M120"/>
  <c r="U75"/>
  <c r="D35" i="14"/>
  <c r="D75" s="1"/>
  <c r="D67" i="13"/>
  <c r="W74" i="14"/>
  <c r="Y117"/>
  <c r="AA114"/>
  <c r="T114"/>
  <c r="I114" i="13"/>
  <c r="R26"/>
  <c r="P80" i="14"/>
  <c r="U74" i="13"/>
  <c r="P115" i="14"/>
  <c r="BC46" i="13"/>
  <c r="BB46"/>
  <c r="BF46"/>
  <c r="BF86"/>
  <c r="BF19"/>
  <c r="BG46"/>
  <c r="D53"/>
  <c r="D19"/>
  <c r="AI99"/>
  <c r="AA76" i="14"/>
  <c r="Z76"/>
  <c r="AX93" i="13"/>
  <c r="AY53"/>
  <c r="AX53"/>
  <c r="AX19"/>
  <c r="AT93"/>
  <c r="AT53"/>
  <c r="AU53"/>
  <c r="AP93"/>
  <c r="AQ53"/>
  <c r="AP53"/>
  <c r="AL93"/>
  <c r="AL53"/>
  <c r="AM53"/>
  <c r="AH93"/>
  <c r="AI53"/>
  <c r="AD93"/>
  <c r="AD53"/>
  <c r="AD19"/>
  <c r="AE53"/>
  <c r="Z93"/>
  <c r="AA53"/>
  <c r="Z53"/>
  <c r="AW89"/>
  <c r="AX49"/>
  <c r="AW49"/>
  <c r="AS89"/>
  <c r="AT49"/>
  <c r="AS19"/>
  <c r="H53"/>
  <c r="G93"/>
  <c r="G19"/>
  <c r="V46"/>
  <c r="Z86"/>
  <c r="W89"/>
  <c r="W49"/>
  <c r="K67" i="14"/>
  <c r="P114"/>
  <c r="M70"/>
  <c r="AW19" i="13"/>
  <c r="G114"/>
  <c r="D77" i="14"/>
  <c r="BB19" i="13"/>
  <c r="AO46"/>
  <c r="W19"/>
  <c r="AQ21"/>
  <c r="W75" i="14"/>
  <c r="V75"/>
  <c r="L116"/>
  <c r="P53" i="13"/>
  <c r="O93"/>
  <c r="I111"/>
  <c r="AW86"/>
  <c r="AW46"/>
  <c r="BA86"/>
  <c r="AL86"/>
  <c r="AL46"/>
  <c r="L93"/>
  <c r="L19"/>
  <c r="L21" s="1"/>
  <c r="U89"/>
  <c r="V49"/>
  <c r="U49"/>
  <c r="Q89"/>
  <c r="Q19"/>
  <c r="Q21" s="1"/>
  <c r="M89"/>
  <c r="N49"/>
  <c r="M49"/>
  <c r="I89"/>
  <c r="I19"/>
  <c r="I21" s="1"/>
  <c r="E49"/>
  <c r="F49"/>
  <c r="X21"/>
  <c r="B30" i="14"/>
  <c r="C70" s="1"/>
  <c r="F71" i="13"/>
  <c r="F111"/>
  <c r="E32" i="14"/>
  <c r="K76" i="13"/>
  <c r="K78" i="14"/>
  <c r="J118" i="13"/>
  <c r="P70" i="14"/>
  <c r="P110" i="13"/>
  <c r="O68"/>
  <c r="C71"/>
  <c r="C31" i="14"/>
  <c r="C29" s="1"/>
  <c r="T71" i="13"/>
  <c r="X111"/>
  <c r="U75" i="14"/>
  <c r="X115" i="13"/>
  <c r="G78" i="14"/>
  <c r="C40"/>
  <c r="T80" i="13"/>
  <c r="AG110"/>
  <c r="AW115"/>
  <c r="AC116"/>
  <c r="BA116"/>
  <c r="AE117"/>
  <c r="AU117"/>
  <c r="AU117" i="14"/>
  <c r="AB78" i="13"/>
  <c r="AA78"/>
  <c r="AW120"/>
  <c r="W107"/>
  <c r="Y110" i="14"/>
  <c r="AC110" i="13"/>
  <c r="Y110"/>
  <c r="AC115" i="14"/>
  <c r="Y75" i="13"/>
  <c r="AA117"/>
  <c r="Y80"/>
  <c r="Y120"/>
  <c r="AC120"/>
  <c r="AC70" i="14"/>
  <c r="AV110" i="13"/>
  <c r="AD111" i="14"/>
  <c r="AA71" i="13"/>
  <c r="AD111"/>
  <c r="Z75"/>
  <c r="W68"/>
  <c r="V114"/>
  <c r="W74"/>
  <c r="X78" i="14"/>
  <c r="X78" i="13"/>
  <c r="AT86"/>
  <c r="AT46"/>
  <c r="AB86"/>
  <c r="AB19"/>
  <c r="T93"/>
  <c r="T19"/>
  <c r="T21" s="1"/>
  <c r="Y46"/>
  <c r="Y86"/>
  <c r="AO19"/>
  <c r="J108" i="14"/>
  <c r="O19" i="13"/>
  <c r="S93"/>
  <c r="E53"/>
  <c r="Q49"/>
  <c r="Y89"/>
  <c r="J49"/>
  <c r="M70"/>
  <c r="W72" i="14"/>
  <c r="Q29" i="13"/>
  <c r="K120"/>
  <c r="AA89"/>
  <c r="U19"/>
  <c r="U21" s="1"/>
  <c r="BE93"/>
  <c r="BE19"/>
  <c r="AZ86"/>
  <c r="AZ46"/>
  <c r="AJ86"/>
  <c r="AJ46"/>
  <c r="J68"/>
  <c r="J108"/>
  <c r="G117"/>
  <c r="G37" i="14"/>
  <c r="G117" s="1"/>
  <c r="S118" i="13"/>
  <c r="Q120"/>
  <c r="R116"/>
  <c r="AM112"/>
  <c r="BA115"/>
  <c r="AB118"/>
  <c r="BH19"/>
  <c r="BH21" s="1"/>
  <c r="BH101" s="1"/>
  <c r="BA93"/>
  <c r="BB53"/>
  <c r="BA19"/>
  <c r="BA21" s="1"/>
  <c r="AR93"/>
  <c r="AR19"/>
  <c r="AR21" s="1"/>
  <c r="P93"/>
  <c r="P19"/>
  <c r="H93"/>
  <c r="H19"/>
  <c r="H21" s="1"/>
  <c r="K53"/>
  <c r="S53"/>
  <c r="AM19"/>
  <c r="AQ99" s="1"/>
  <c r="AU19"/>
  <c r="J53"/>
  <c r="R53"/>
  <c r="X93"/>
  <c r="BG89"/>
  <c r="H76" i="14"/>
  <c r="Q75"/>
  <c r="C77" i="13"/>
  <c r="AA108"/>
  <c r="AI112"/>
  <c r="AV46"/>
  <c r="AM46"/>
  <c r="BD86"/>
  <c r="AB93"/>
  <c r="AX86"/>
  <c r="AU86"/>
  <c r="AS46"/>
  <c r="AP86"/>
  <c r="AK46"/>
  <c r="R19"/>
  <c r="M19"/>
  <c r="M21" s="1"/>
  <c r="U93"/>
  <c r="J86"/>
  <c r="AR86"/>
  <c r="AR46"/>
  <c r="BH89"/>
  <c r="AC86"/>
  <c r="AK101"/>
  <c r="Y53"/>
  <c r="AC19"/>
  <c r="BC49"/>
  <c r="F46"/>
  <c r="V93"/>
  <c r="W86"/>
  <c r="G46"/>
  <c r="I77"/>
  <c r="Q77"/>
  <c r="U71"/>
  <c r="Q76"/>
  <c r="O118"/>
  <c r="AC74"/>
  <c r="AR78"/>
  <c r="BF53"/>
  <c r="BA89"/>
  <c r="AV86"/>
  <c r="AS86"/>
  <c r="AN86"/>
  <c r="AK86"/>
  <c r="AA86"/>
  <c r="S19"/>
  <c r="C19"/>
  <c r="C21" s="1"/>
  <c r="N93"/>
  <c r="D49"/>
  <c r="BM21"/>
  <c r="BN61" s="1"/>
  <c r="P68"/>
  <c r="W110"/>
  <c r="U72"/>
  <c r="O76"/>
  <c r="Y78"/>
  <c r="BC86"/>
  <c r="BC53"/>
  <c r="AA93"/>
  <c r="AD89"/>
  <c r="AB89"/>
  <c r="AE86"/>
  <c r="B19"/>
  <c r="B21" s="1"/>
  <c r="AD116" i="14"/>
  <c r="K77"/>
  <c r="P117"/>
  <c r="Q77"/>
  <c r="K68"/>
  <c r="O108" i="13"/>
  <c r="G31" i="14"/>
  <c r="K111" s="1"/>
  <c r="K111" i="13"/>
  <c r="N72" i="14"/>
  <c r="Q112" i="13"/>
  <c r="O75"/>
  <c r="S115"/>
  <c r="Q116"/>
  <c r="N76"/>
  <c r="M76"/>
  <c r="N117"/>
  <c r="O77"/>
  <c r="R78"/>
  <c r="N120"/>
  <c r="T107"/>
  <c r="P107"/>
  <c r="G110"/>
  <c r="H32" i="14"/>
  <c r="H112" s="1"/>
  <c r="F34"/>
  <c r="F74" i="13"/>
  <c r="B35" i="14"/>
  <c r="C75" s="1"/>
  <c r="L77"/>
  <c r="Z114" i="13"/>
  <c r="Z74"/>
  <c r="AC78"/>
  <c r="Z120"/>
  <c r="AA80"/>
  <c r="Z80"/>
  <c r="AD120"/>
  <c r="AM120"/>
  <c r="AN80"/>
  <c r="X72"/>
  <c r="X112"/>
  <c r="Y72"/>
  <c r="X75"/>
  <c r="AB115"/>
  <c r="W120"/>
  <c r="X80"/>
  <c r="AA120"/>
  <c r="AA115"/>
  <c r="AA75"/>
  <c r="AL75"/>
  <c r="AA77"/>
  <c r="AS80"/>
  <c r="AR120"/>
  <c r="Z108"/>
  <c r="Y114"/>
  <c r="AS80" i="14"/>
  <c r="C72"/>
  <c r="F78"/>
  <c r="U115"/>
  <c r="Q115"/>
  <c r="R75"/>
  <c r="AB75" i="13"/>
  <c r="O33"/>
  <c r="H112"/>
  <c r="W80"/>
  <c r="AL74"/>
  <c r="AO72"/>
  <c r="N72"/>
  <c r="K116"/>
  <c r="AR78" i="14"/>
  <c r="AB80"/>
  <c r="U112" i="13"/>
  <c r="V72"/>
  <c r="W114"/>
  <c r="N67"/>
  <c r="R111"/>
  <c r="P112"/>
  <c r="P72"/>
  <c r="J115"/>
  <c r="R75"/>
  <c r="S75"/>
  <c r="R115"/>
  <c r="I117"/>
  <c r="E37" i="14"/>
  <c r="Q33" i="13"/>
  <c r="Q118"/>
  <c r="J80"/>
  <c r="R120"/>
  <c r="S80"/>
  <c r="R80"/>
  <c r="V120"/>
  <c r="V120" i="14"/>
  <c r="AV118"/>
  <c r="X118"/>
  <c r="M72" i="13"/>
  <c r="K26"/>
  <c r="AA115" i="14"/>
  <c r="Q74"/>
  <c r="G114"/>
  <c r="M77" i="13"/>
  <c r="L77"/>
  <c r="G74"/>
  <c r="Q72"/>
  <c r="G30" i="14"/>
  <c r="AD71" i="13"/>
  <c r="AG108"/>
  <c r="Q108"/>
  <c r="M108"/>
  <c r="Q71" i="14"/>
  <c r="Q111" i="13"/>
  <c r="U111"/>
  <c r="S72"/>
  <c r="U114"/>
  <c r="E78"/>
  <c r="D38" i="14"/>
  <c r="X118" i="13"/>
  <c r="T78"/>
  <c r="G40" i="14"/>
  <c r="G120" i="13"/>
  <c r="O120"/>
  <c r="P80"/>
  <c r="N108"/>
  <c r="N26"/>
  <c r="N68"/>
  <c r="U110"/>
  <c r="T111"/>
  <c r="T111" i="14"/>
  <c r="S112" i="13"/>
  <c r="O72"/>
  <c r="O72" i="14"/>
  <c r="T114" i="13"/>
  <c r="Q74"/>
  <c r="P114"/>
  <c r="Q115"/>
  <c r="N75"/>
  <c r="T115"/>
  <c r="T75"/>
  <c r="H116"/>
  <c r="L116"/>
  <c r="P76"/>
  <c r="K117"/>
  <c r="K77"/>
  <c r="F78"/>
  <c r="K80"/>
  <c r="AD76" i="14"/>
  <c r="AW116" i="13"/>
  <c r="W112"/>
  <c r="AA112"/>
  <c r="AC115"/>
  <c r="Y115"/>
  <c r="AC70"/>
  <c r="V115" i="14"/>
  <c r="P117" i="13"/>
  <c r="S120"/>
  <c r="AR110"/>
  <c r="AH111"/>
  <c r="U67" i="14"/>
  <c r="Q75" i="13"/>
  <c r="R112"/>
  <c r="I71"/>
  <c r="AA33"/>
  <c r="T112"/>
  <c r="N115"/>
  <c r="O117"/>
  <c r="K78"/>
  <c r="L76"/>
  <c r="L33"/>
  <c r="S67"/>
  <c r="X10" i="26"/>
  <c r="X9"/>
  <c r="Q34" i="6"/>
  <c r="H40"/>
  <c r="M28"/>
  <c r="M24"/>
  <c r="M20"/>
  <c r="M16"/>
  <c r="M12"/>
  <c r="M8"/>
  <c r="M29"/>
  <c r="M25"/>
  <c r="M21"/>
  <c r="AE101" i="13"/>
  <c r="BI89"/>
  <c r="BI53"/>
  <c r="BI46"/>
  <c r="E29"/>
  <c r="F115"/>
  <c r="N71"/>
  <c r="BH86"/>
  <c r="AT19"/>
  <c r="AP19"/>
  <c r="AN19"/>
  <c r="AL19"/>
  <c r="AJ19"/>
  <c r="AH19"/>
  <c r="Z19"/>
  <c r="AS93"/>
  <c r="AQ93"/>
  <c r="AC49"/>
  <c r="R21"/>
  <c r="N21"/>
  <c r="D21"/>
  <c r="N71" i="14"/>
  <c r="C77"/>
  <c r="S78" i="13"/>
  <c r="P70"/>
  <c r="R72"/>
  <c r="P115"/>
  <c r="M29"/>
  <c r="H71"/>
  <c r="V118"/>
  <c r="W78"/>
  <c r="Z118"/>
  <c r="BJ40"/>
  <c r="BM40"/>
  <c r="BQ120" s="1"/>
  <c r="BL40"/>
  <c r="BP120" s="1"/>
  <c r="BJ37"/>
  <c r="BM37"/>
  <c r="BQ117" s="1"/>
  <c r="BJ35"/>
  <c r="BJ32"/>
  <c r="BM32"/>
  <c r="BQ112" s="1"/>
  <c r="BJ38"/>
  <c r="BM38"/>
  <c r="BQ118" s="1"/>
  <c r="BJ36"/>
  <c r="BM36"/>
  <c r="BQ116" s="1"/>
  <c r="BJ34"/>
  <c r="BM34"/>
  <c r="BQ114" s="1"/>
  <c r="BJ31"/>
  <c r="BM31"/>
  <c r="BQ111" s="1"/>
  <c r="BJ28"/>
  <c r="BM28"/>
  <c r="BQ108" s="1"/>
  <c r="F167" i="12"/>
  <c r="F171"/>
  <c r="F174"/>
  <c r="F176"/>
  <c r="Q21"/>
  <c r="E48"/>
  <c r="P52"/>
  <c r="M111" i="13"/>
  <c r="Q110"/>
  <c r="J26"/>
  <c r="R107"/>
  <c r="T67"/>
  <c r="O80"/>
  <c r="M78"/>
  <c r="P77"/>
  <c r="H77"/>
  <c r="M67"/>
  <c r="N107"/>
  <c r="P26"/>
  <c r="R108"/>
  <c r="N80"/>
  <c r="L78"/>
  <c r="N77"/>
  <c r="P75"/>
  <c r="T74"/>
  <c r="L74"/>
  <c r="U29"/>
  <c r="D36" i="14"/>
  <c r="F35"/>
  <c r="R74" i="13"/>
  <c r="K70"/>
  <c r="S29"/>
  <c r="L72" i="12"/>
  <c r="N19"/>
  <c r="J19"/>
  <c r="I65"/>
  <c r="K68"/>
  <c r="O72"/>
  <c r="H45"/>
  <c r="L45"/>
  <c r="I48"/>
  <c r="M48"/>
  <c r="K52"/>
  <c r="H72"/>
  <c r="M19"/>
  <c r="M58" s="1"/>
  <c r="I19"/>
  <c r="I58" s="1"/>
  <c r="N65"/>
  <c r="J65"/>
  <c r="M72"/>
  <c r="I72"/>
  <c r="L68"/>
  <c r="O65"/>
  <c r="K65"/>
  <c r="AX27" i="13"/>
  <c r="AX27" i="14" s="1"/>
  <c r="AS27" i="13"/>
  <c r="AS27" i="14" s="1"/>
  <c r="AK27" i="13"/>
  <c r="AY27"/>
  <c r="AY27" i="14" s="1"/>
  <c r="AR27" i="13"/>
  <c r="AJ27"/>
  <c r="AJ27" i="14" s="1"/>
  <c r="AB27" i="13"/>
  <c r="AB27" i="14" s="1"/>
  <c r="AB26" s="1"/>
  <c r="Z27" i="13"/>
  <c r="G72" i="12"/>
  <c r="F179"/>
  <c r="F173"/>
  <c r="BK27" i="13"/>
  <c r="G111"/>
  <c r="K68"/>
  <c r="S74"/>
  <c r="S114"/>
  <c r="K114"/>
  <c r="AA68"/>
  <c r="AM108"/>
  <c r="AQ112"/>
  <c r="AU112"/>
  <c r="AW70"/>
  <c r="BE111"/>
  <c r="F41" i="9"/>
  <c r="C54" s="1"/>
  <c r="C40"/>
  <c r="B54" s="1"/>
  <c r="E78" i="4"/>
  <c r="H53"/>
  <c r="L22"/>
  <c r="L20"/>
  <c r="M46"/>
  <c r="G53"/>
  <c r="M23"/>
  <c r="M21"/>
  <c r="M19"/>
  <c r="M18"/>
  <c r="G18"/>
  <c r="G33" s="1"/>
  <c r="L2"/>
  <c r="K23"/>
  <c r="N2"/>
  <c r="J37" i="6"/>
  <c r="H41"/>
  <c r="BF93" i="14"/>
  <c r="AX93"/>
  <c r="AP93"/>
  <c r="BI93"/>
  <c r="BJ53"/>
  <c r="BL49"/>
  <c r="BI49"/>
  <c r="AF19"/>
  <c r="AO89"/>
  <c r="AM89"/>
  <c r="BJ89"/>
  <c r="AZ19"/>
  <c r="AO86"/>
  <c r="AM86"/>
  <c r="X11" i="26"/>
  <c r="X8"/>
  <c r="A357"/>
  <c r="Z11"/>
  <c r="X7"/>
  <c r="A62"/>
  <c r="A61"/>
  <c r="G3"/>
  <c r="G22" s="1"/>
  <c r="E283" s="1"/>
  <c r="X6"/>
  <c r="M166"/>
  <c r="Z10"/>
  <c r="C252" s="1"/>
  <c r="E378" s="1"/>
  <c r="Z8"/>
  <c r="C250" s="1"/>
  <c r="E376" s="1"/>
  <c r="Z6"/>
  <c r="H41"/>
  <c r="R41" s="1"/>
  <c r="Z5"/>
  <c r="L223"/>
  <c r="L266"/>
  <c r="J200"/>
  <c r="H200"/>
  <c r="F200"/>
  <c r="D200"/>
  <c r="J177"/>
  <c r="H177"/>
  <c r="F177"/>
  <c r="D177"/>
  <c r="K200"/>
  <c r="I200"/>
  <c r="G200"/>
  <c r="E200"/>
  <c r="C200"/>
  <c r="K177"/>
  <c r="I177"/>
  <c r="G177"/>
  <c r="E177"/>
  <c r="C177"/>
  <c r="L159"/>
  <c r="L160"/>
  <c r="L161"/>
  <c r="L162"/>
  <c r="L163"/>
  <c r="L164"/>
  <c r="L165"/>
  <c r="L166"/>
  <c r="L167"/>
  <c r="L169"/>
  <c r="M161"/>
  <c r="M165"/>
  <c r="M169"/>
  <c r="I3"/>
  <c r="D41"/>
  <c r="N41" s="1"/>
  <c r="J93"/>
  <c r="H93"/>
  <c r="F93"/>
  <c r="D93"/>
  <c r="J41"/>
  <c r="T41" s="1"/>
  <c r="K93"/>
  <c r="I93"/>
  <c r="G93"/>
  <c r="E93"/>
  <c r="C93"/>
  <c r="K41"/>
  <c r="U41" s="1"/>
  <c r="I41"/>
  <c r="S41" s="1"/>
  <c r="G41"/>
  <c r="Q41" s="1"/>
  <c r="E41"/>
  <c r="O41" s="1"/>
  <c r="C41"/>
  <c r="L168"/>
  <c r="L170"/>
  <c r="K59"/>
  <c r="K76" s="1"/>
  <c r="K78" s="1"/>
  <c r="I59"/>
  <c r="I76" s="1"/>
  <c r="I78" s="1"/>
  <c r="G59"/>
  <c r="G76" s="1"/>
  <c r="G78" s="1"/>
  <c r="E59"/>
  <c r="E76" s="1"/>
  <c r="E78" s="1"/>
  <c r="C59"/>
  <c r="J59"/>
  <c r="J76" s="1"/>
  <c r="J78" s="1"/>
  <c r="H59"/>
  <c r="H76" s="1"/>
  <c r="H78" s="1"/>
  <c r="F59"/>
  <c r="F76" s="1"/>
  <c r="F78" s="1"/>
  <c r="D59"/>
  <c r="D76" s="1"/>
  <c r="D78" s="1"/>
  <c r="X24"/>
  <c r="M159" s="1"/>
  <c r="M163"/>
  <c r="M167"/>
  <c r="Z4"/>
  <c r="X5"/>
  <c r="F41"/>
  <c r="P41" s="1"/>
  <c r="L135"/>
  <c r="D355" s="1"/>
  <c r="BI53" i="14"/>
  <c r="BJ93"/>
  <c r="BK93"/>
  <c r="BK89"/>
  <c r="BJ49"/>
  <c r="BI89"/>
  <c r="BL89"/>
  <c r="BI86"/>
  <c r="BA86"/>
  <c r="AY86"/>
  <c r="BJ46"/>
  <c r="BH86"/>
  <c r="BK86"/>
  <c r="BI46"/>
  <c r="BJ86"/>
  <c r="BL46"/>
  <c r="BL93"/>
  <c r="BL53"/>
  <c r="BH53" i="13"/>
  <c r="BI93"/>
  <c r="BB93"/>
  <c r="AZ19"/>
  <c r="AV19"/>
  <c r="BI19"/>
  <c r="BM99" s="1"/>
  <c r="BH93"/>
  <c r="BC19"/>
  <c r="BD59" s="1"/>
  <c r="BD49"/>
  <c r="BB49"/>
  <c r="AR49"/>
  <c r="AV49"/>
  <c r="AZ49"/>
  <c r="AQ49"/>
  <c r="AU49"/>
  <c r="AY49"/>
  <c r="BD89"/>
  <c r="BI49"/>
  <c r="BL19"/>
  <c r="BM59" s="1"/>
  <c r="BH49"/>
  <c r="BB86"/>
  <c r="BH46"/>
  <c r="BI86"/>
  <c r="Y78" i="14"/>
  <c r="F72" i="12"/>
  <c r="E52"/>
  <c r="D72"/>
  <c r="C52"/>
  <c r="B52"/>
  <c r="F70" i="14"/>
  <c r="U70" i="13"/>
  <c r="T70"/>
  <c r="T29"/>
  <c r="T110"/>
  <c r="D72" i="14"/>
  <c r="F21" i="12"/>
  <c r="N112" i="13"/>
  <c r="I110"/>
  <c r="P29"/>
  <c r="D72"/>
  <c r="Q71"/>
  <c r="M110"/>
  <c r="C70"/>
  <c r="C29"/>
  <c r="J110"/>
  <c r="G71"/>
  <c r="S110"/>
  <c r="F31" i="14"/>
  <c r="B29" i="13"/>
  <c r="E72"/>
  <c r="BF71"/>
  <c r="AE70"/>
  <c r="AX110"/>
  <c r="AA72"/>
  <c r="C151" i="12"/>
  <c r="B48"/>
  <c r="M68" i="13"/>
  <c r="L68"/>
  <c r="L26"/>
  <c r="P108"/>
  <c r="F45" i="12"/>
  <c r="B45"/>
  <c r="I148"/>
  <c r="P93"/>
  <c r="I137"/>
  <c r="I141"/>
  <c r="G134"/>
  <c r="P86"/>
  <c r="P99"/>
  <c r="AN110" i="13"/>
  <c r="P153" i="12"/>
  <c r="Y107" i="14"/>
  <c r="AQ108" i="13"/>
  <c r="BF72"/>
  <c r="BF29"/>
  <c r="BE112"/>
  <c r="P159" i="12"/>
  <c r="P90"/>
  <c r="W112" i="14"/>
  <c r="AQ118"/>
  <c r="AN29" i="13"/>
  <c r="AA26"/>
  <c r="BF71" i="14"/>
  <c r="BF80" i="13"/>
  <c r="Z78" i="14"/>
  <c r="P150" i="12"/>
  <c r="P160"/>
  <c r="P97"/>
  <c r="P158"/>
  <c r="P95"/>
  <c r="P156"/>
  <c r="O137"/>
  <c r="O135"/>
  <c r="O143"/>
  <c r="O136"/>
  <c r="O140"/>
  <c r="O144"/>
  <c r="O141"/>
  <c r="O98"/>
  <c r="O139"/>
  <c r="O145"/>
  <c r="O138"/>
  <c r="O142"/>
  <c r="O146"/>
  <c r="O134"/>
  <c r="M135"/>
  <c r="M143"/>
  <c r="M136"/>
  <c r="M140"/>
  <c r="M144"/>
  <c r="M98"/>
  <c r="N98"/>
  <c r="M139"/>
  <c r="M145"/>
  <c r="M138"/>
  <c r="M142"/>
  <c r="M146"/>
  <c r="M134"/>
  <c r="M137"/>
  <c r="M141"/>
  <c r="L98"/>
  <c r="K139"/>
  <c r="K145"/>
  <c r="K138"/>
  <c r="K142"/>
  <c r="K146"/>
  <c r="K134"/>
  <c r="K137"/>
  <c r="K141"/>
  <c r="K98"/>
  <c r="K135"/>
  <c r="K143"/>
  <c r="K136"/>
  <c r="K140"/>
  <c r="K144"/>
  <c r="I98"/>
  <c r="I139"/>
  <c r="I145"/>
  <c r="I138"/>
  <c r="I142"/>
  <c r="I146"/>
  <c r="J98"/>
  <c r="I135"/>
  <c r="I143"/>
  <c r="I136"/>
  <c r="I140"/>
  <c r="I144"/>
  <c r="I134"/>
  <c r="G139"/>
  <c r="G145"/>
  <c r="G138"/>
  <c r="G142"/>
  <c r="G146"/>
  <c r="H98"/>
  <c r="G135"/>
  <c r="G143"/>
  <c r="G136"/>
  <c r="G140"/>
  <c r="G144"/>
  <c r="G137"/>
  <c r="G141"/>
  <c r="P149"/>
  <c r="P154"/>
  <c r="P91"/>
  <c r="P152"/>
  <c r="P89"/>
  <c r="P157"/>
  <c r="P94"/>
  <c r="L100"/>
  <c r="H100"/>
  <c r="H60"/>
  <c r="V70" i="14"/>
  <c r="AB71"/>
  <c r="AM67"/>
  <c r="AM67" i="13"/>
  <c r="AM107"/>
  <c r="AM26"/>
  <c r="AE107"/>
  <c r="AE67"/>
  <c r="AE107" i="14"/>
  <c r="BH27" i="13"/>
  <c r="BH27" i="14" s="1"/>
  <c r="BI27" i="13"/>
  <c r="BI27" i="14" s="1"/>
  <c r="BG27" i="13"/>
  <c r="BG27" i="14" s="1"/>
  <c r="BK32" i="13"/>
  <c r="BH32"/>
  <c r="BH32" i="14" s="1"/>
  <c r="BG32" i="13"/>
  <c r="BG32" i="14" s="1"/>
  <c r="BI32" i="13"/>
  <c r="BI32" i="14" s="1"/>
  <c r="BH30" i="13"/>
  <c r="BH30" i="14" s="1"/>
  <c r="BG30" i="13"/>
  <c r="BG30" i="14" s="1"/>
  <c r="BI30" i="13"/>
  <c r="BI30" i="14" s="1"/>
  <c r="BG37" i="13"/>
  <c r="BG37" i="14" s="1"/>
  <c r="BK37" i="13"/>
  <c r="BH37"/>
  <c r="BH37" i="14" s="1"/>
  <c r="BI37" i="13"/>
  <c r="BI37" i="14" s="1"/>
  <c r="BI35" i="13"/>
  <c r="BI35" i="14" s="1"/>
  <c r="BH35" i="13"/>
  <c r="BH35" i="14" s="1"/>
  <c r="BG35" i="13"/>
  <c r="BG35" i="14" s="1"/>
  <c r="BK40" i="13"/>
  <c r="BH40"/>
  <c r="BH40" i="14" s="1"/>
  <c r="BG40" i="13"/>
  <c r="BG40" i="14" s="1"/>
  <c r="BI40" i="13"/>
  <c r="BI40" i="14" s="1"/>
  <c r="AZ107" i="13"/>
  <c r="AI107"/>
  <c r="AI26"/>
  <c r="AG107"/>
  <c r="AD67"/>
  <c r="AC107"/>
  <c r="AC26"/>
  <c r="BK28"/>
  <c r="BG28"/>
  <c r="BG28" i="14" s="1"/>
  <c r="BI28" i="13"/>
  <c r="BI28" i="14" s="1"/>
  <c r="BH28" i="13"/>
  <c r="BH28" i="14" s="1"/>
  <c r="BG31" i="13"/>
  <c r="BG31" i="14" s="1"/>
  <c r="BI31" i="13"/>
  <c r="BI31" i="14" s="1"/>
  <c r="BK31" i="13"/>
  <c r="BH31"/>
  <c r="BH31" i="14" s="1"/>
  <c r="BK38" i="13"/>
  <c r="BH38"/>
  <c r="BH38" i="14" s="1"/>
  <c r="BG38" i="13"/>
  <c r="BG38" i="14" s="1"/>
  <c r="BI38" i="13"/>
  <c r="BI38" i="14" s="1"/>
  <c r="BK36" i="13"/>
  <c r="BG36"/>
  <c r="BG36" i="14" s="1"/>
  <c r="BI36" i="13"/>
  <c r="BI36" i="14" s="1"/>
  <c r="BH36" i="13"/>
  <c r="BH36" i="14" s="1"/>
  <c r="BK34" i="13"/>
  <c r="BH34"/>
  <c r="BH34" i="14" s="1"/>
  <c r="BG34" i="13"/>
  <c r="BG34" i="14" s="1"/>
  <c r="BI34" i="13"/>
  <c r="BI34" i="14" s="1"/>
  <c r="K38" i="6"/>
  <c r="M38" s="1"/>
  <c r="K39"/>
  <c r="H39"/>
  <c r="J39"/>
  <c r="H9" i="17"/>
  <c r="BK53" i="14"/>
  <c r="BK49"/>
  <c r="J70" i="13" l="1"/>
  <c r="I110" i="14"/>
  <c r="F70" i="13"/>
  <c r="R71"/>
  <c r="G70"/>
  <c r="S71"/>
  <c r="R77"/>
  <c r="AI29" i="14"/>
  <c r="AO67"/>
  <c r="T30" i="12"/>
  <c r="T89" s="1"/>
  <c r="AC68" i="13"/>
  <c r="W77"/>
  <c r="C80" i="12"/>
  <c r="V117" i="13"/>
  <c r="AF108" i="14"/>
  <c r="R33" i="13"/>
  <c r="AC118"/>
  <c r="F110"/>
  <c r="V77"/>
  <c r="Z117"/>
  <c r="V111"/>
  <c r="AB68"/>
  <c r="R117"/>
  <c r="I29" i="14"/>
  <c r="C78" i="12"/>
  <c r="AM77" i="13"/>
  <c r="BC68"/>
  <c r="P60" i="12"/>
  <c r="AG26" i="13"/>
  <c r="AG106" s="1"/>
  <c r="BD68"/>
  <c r="BS66" i="14"/>
  <c r="BT69"/>
  <c r="BT109"/>
  <c r="BY80"/>
  <c r="BY120"/>
  <c r="BX69"/>
  <c r="BX109"/>
  <c r="BY70"/>
  <c r="BY110"/>
  <c r="BY75"/>
  <c r="BY115"/>
  <c r="BY77"/>
  <c r="BY117"/>
  <c r="BW69"/>
  <c r="BW109"/>
  <c r="BV73"/>
  <c r="BV113"/>
  <c r="BX73"/>
  <c r="BX113"/>
  <c r="BT106"/>
  <c r="BT66"/>
  <c r="T31" i="12"/>
  <c r="T90" s="1"/>
  <c r="BY31" i="14"/>
  <c r="BY76"/>
  <c r="BY116"/>
  <c r="BV69"/>
  <c r="BV109"/>
  <c r="BW73"/>
  <c r="BW113"/>
  <c r="AO26"/>
  <c r="T40" i="12"/>
  <c r="T99" s="1"/>
  <c r="BU69" i="14"/>
  <c r="BT73"/>
  <c r="BT113"/>
  <c r="BY72"/>
  <c r="BY112"/>
  <c r="BY78"/>
  <c r="BY118"/>
  <c r="BY33"/>
  <c r="BY74"/>
  <c r="BY114"/>
  <c r="BU41"/>
  <c r="BU119"/>
  <c r="I20" i="4"/>
  <c r="I23"/>
  <c r="G34"/>
  <c r="A12"/>
  <c r="A26"/>
  <c r="C86" s="1"/>
  <c r="K18"/>
  <c r="K19"/>
  <c r="K20"/>
  <c r="E33"/>
  <c r="E35"/>
  <c r="BY120" i="13"/>
  <c r="BY80"/>
  <c r="BY115"/>
  <c r="BY75"/>
  <c r="T37" i="12"/>
  <c r="T96" s="1"/>
  <c r="BY117" i="13"/>
  <c r="BY77"/>
  <c r="BV73"/>
  <c r="BV113"/>
  <c r="BY116"/>
  <c r="BY76"/>
  <c r="T36" i="12"/>
  <c r="T95" s="1"/>
  <c r="BX73" i="13"/>
  <c r="BX113"/>
  <c r="BW73"/>
  <c r="BW113"/>
  <c r="BY118"/>
  <c r="BY78"/>
  <c r="T34" i="12"/>
  <c r="BY114" i="13"/>
  <c r="BY33"/>
  <c r="BY74"/>
  <c r="BS73" i="14"/>
  <c r="T35" i="12"/>
  <c r="T94" s="1"/>
  <c r="BV69" i="13"/>
  <c r="BV109"/>
  <c r="BX109"/>
  <c r="BX69"/>
  <c r="BW109"/>
  <c r="BW69"/>
  <c r="BY71"/>
  <c r="BY111"/>
  <c r="T32" i="12"/>
  <c r="T91" s="1"/>
  <c r="BY112" i="13"/>
  <c r="BY72"/>
  <c r="BY110"/>
  <c r="BY70"/>
  <c r="BY29"/>
  <c r="BS69" i="14"/>
  <c r="BU119" i="13"/>
  <c r="BU79"/>
  <c r="BK21" i="14"/>
  <c r="BO101" s="1"/>
  <c r="BN61"/>
  <c r="BH101"/>
  <c r="AM80" i="13"/>
  <c r="AQ117"/>
  <c r="AS78" i="14"/>
  <c r="E34" i="4"/>
  <c r="AT108" i="13"/>
  <c r="AS68"/>
  <c r="AN67"/>
  <c r="AQ68"/>
  <c r="AS26" i="14"/>
  <c r="AO67" i="13"/>
  <c r="AP67"/>
  <c r="AT68"/>
  <c r="AP120" i="14"/>
  <c r="BR113"/>
  <c r="BS113"/>
  <c r="BS109"/>
  <c r="BR109"/>
  <c r="BS39"/>
  <c r="BS106"/>
  <c r="BT39"/>
  <c r="BU41" i="13"/>
  <c r="BT79"/>
  <c r="BT119"/>
  <c r="BT41"/>
  <c r="BS41"/>
  <c r="BS119"/>
  <c r="BS79"/>
  <c r="BR41"/>
  <c r="BR81" s="1"/>
  <c r="BR79"/>
  <c r="Q80" i="12"/>
  <c r="R80"/>
  <c r="BR39" i="14"/>
  <c r="BR79" s="1"/>
  <c r="BR106"/>
  <c r="Q78" i="12"/>
  <c r="BL99" i="13"/>
  <c r="BL59"/>
  <c r="BP99"/>
  <c r="BK99"/>
  <c r="BK59"/>
  <c r="BO99"/>
  <c r="BQ101"/>
  <c r="BJ99"/>
  <c r="BJ59"/>
  <c r="BN99"/>
  <c r="G68"/>
  <c r="AO111"/>
  <c r="AK68"/>
  <c r="AT40" i="14"/>
  <c r="AT80" s="1"/>
  <c r="C34" i="4"/>
  <c r="C33"/>
  <c r="C35"/>
  <c r="L23"/>
  <c r="C32"/>
  <c r="F54" s="1"/>
  <c r="BI29" i="14"/>
  <c r="BG26"/>
  <c r="H37" i="17"/>
  <c r="N38" i="19"/>
  <c r="O38"/>
  <c r="Q38"/>
  <c r="M15" i="6"/>
  <c r="O15" s="1"/>
  <c r="D7" i="21" s="1"/>
  <c r="M7" i="6"/>
  <c r="C3" i="23" s="1"/>
  <c r="C52" s="1"/>
  <c r="M26" i="6"/>
  <c r="S17" s="1"/>
  <c r="M17"/>
  <c r="C13" i="23" s="1"/>
  <c r="C62" s="1"/>
  <c r="N36" i="19"/>
  <c r="Q36"/>
  <c r="M14" i="6"/>
  <c r="S14" s="1"/>
  <c r="M22"/>
  <c r="S16" s="1"/>
  <c r="M27"/>
  <c r="O31" s="1"/>
  <c r="D23" i="21" s="1"/>
  <c r="M9" i="6"/>
  <c r="C5" i="23" s="1"/>
  <c r="C54" s="1"/>
  <c r="Q37" i="19"/>
  <c r="N37"/>
  <c r="Q35"/>
  <c r="N35"/>
  <c r="M18" i="6"/>
  <c r="O18" s="1"/>
  <c r="D10" i="21" s="1"/>
  <c r="M30" i="6"/>
  <c r="O34" s="1"/>
  <c r="D26" i="21" s="1"/>
  <c r="AW110" i="13"/>
  <c r="AT70"/>
  <c r="BD77" i="14"/>
  <c r="AM118" i="13"/>
  <c r="H28" i="17"/>
  <c r="M28"/>
  <c r="Q28" s="1"/>
  <c r="H17"/>
  <c r="C79" i="23"/>
  <c r="Q78" i="13"/>
  <c r="K75"/>
  <c r="P78"/>
  <c r="E75"/>
  <c r="T118"/>
  <c r="BI26" i="14"/>
  <c r="BF112" i="13"/>
  <c r="S68"/>
  <c r="L29"/>
  <c r="M69" s="1"/>
  <c r="Z33"/>
  <c r="Z73" s="1"/>
  <c r="D76"/>
  <c r="C78" i="23"/>
  <c r="C76" i="14"/>
  <c r="AR118" i="13"/>
  <c r="BD76"/>
  <c r="AM78" i="14"/>
  <c r="AZ78" i="13"/>
  <c r="AD75"/>
  <c r="BH33" i="14"/>
  <c r="BD114" i="13"/>
  <c r="BG29" i="14"/>
  <c r="AS70" i="13"/>
  <c r="AF71"/>
  <c r="AK108"/>
  <c r="BH26" i="14"/>
  <c r="BM40"/>
  <c r="BM120" i="13"/>
  <c r="BM80"/>
  <c r="BL40" i="14"/>
  <c r="BL120" i="13"/>
  <c r="BL80"/>
  <c r="BK40" i="14"/>
  <c r="BK120" i="13"/>
  <c r="BK80"/>
  <c r="BJ40" i="14"/>
  <c r="BJ120" i="13"/>
  <c r="BJ80"/>
  <c r="BM36" i="14"/>
  <c r="BM76" i="13"/>
  <c r="BM116"/>
  <c r="BN76"/>
  <c r="BJ37" i="14"/>
  <c r="BN117" s="1"/>
  <c r="BJ77" i="13"/>
  <c r="BJ117"/>
  <c r="BN117"/>
  <c r="BL36" i="14"/>
  <c r="BP116" s="1"/>
  <c r="BL76" i="13"/>
  <c r="BL116"/>
  <c r="BI33" i="14"/>
  <c r="BL38"/>
  <c r="BP118" s="1"/>
  <c r="BL118" i="13"/>
  <c r="BL78"/>
  <c r="BJ34" i="14"/>
  <c r="BJ74" i="13"/>
  <c r="BJ114"/>
  <c r="BN114"/>
  <c r="BJ38" i="14"/>
  <c r="BN118" s="1"/>
  <c r="BJ78" i="13"/>
  <c r="BJ118"/>
  <c r="BN118"/>
  <c r="BM37" i="14"/>
  <c r="BN77" i="13"/>
  <c r="BM77"/>
  <c r="BM117"/>
  <c r="BL34" i="14"/>
  <c r="BP114" s="1"/>
  <c r="BL114" i="13"/>
  <c r="BL74"/>
  <c r="BK37" i="14"/>
  <c r="BO117" s="1"/>
  <c r="BK117" i="13"/>
  <c r="BO117"/>
  <c r="BK77"/>
  <c r="BM34" i="14"/>
  <c r="BN74" i="13"/>
  <c r="BM74"/>
  <c r="BM114"/>
  <c r="BM38" i="14"/>
  <c r="BN78" i="13"/>
  <c r="BM78"/>
  <c r="BM118"/>
  <c r="BJ35" i="14"/>
  <c r="BN115" s="1"/>
  <c r="BJ75" i="13"/>
  <c r="BJ115"/>
  <c r="BN115"/>
  <c r="BL37" i="14"/>
  <c r="BP117" s="1"/>
  <c r="BL77" i="13"/>
  <c r="BL117"/>
  <c r="BK34" i="14"/>
  <c r="BO114" s="1"/>
  <c r="BK74" i="13"/>
  <c r="BK114"/>
  <c r="BO114"/>
  <c r="BK36" i="14"/>
  <c r="BO116" s="1"/>
  <c r="BK76" i="13"/>
  <c r="BK116"/>
  <c r="BO116"/>
  <c r="BK38" i="14"/>
  <c r="BO118" s="1"/>
  <c r="BK78" i="13"/>
  <c r="BK118"/>
  <c r="BO118"/>
  <c r="BJ36" i="14"/>
  <c r="BN116" s="1"/>
  <c r="BJ116" i="13"/>
  <c r="BN116"/>
  <c r="BJ76"/>
  <c r="BG33" i="14"/>
  <c r="AF77" i="13"/>
  <c r="BJ31" i="14"/>
  <c r="BN111" s="1"/>
  <c r="BN111" i="13"/>
  <c r="BJ71"/>
  <c r="BJ111"/>
  <c r="BJ32" i="14"/>
  <c r="BN112" s="1"/>
  <c r="BJ72" i="13"/>
  <c r="BJ112"/>
  <c r="BN112"/>
  <c r="BL32" i="14"/>
  <c r="BP112" s="1"/>
  <c r="BL72" i="13"/>
  <c r="BL112"/>
  <c r="BM32" i="14"/>
  <c r="BM112" i="13"/>
  <c r="BN72"/>
  <c r="BM72"/>
  <c r="BK31" i="14"/>
  <c r="BO111" s="1"/>
  <c r="BK71" i="13"/>
  <c r="BK111"/>
  <c r="BO111"/>
  <c r="BL31" i="14"/>
  <c r="BP111" s="1"/>
  <c r="BL111" i="13"/>
  <c r="BL71"/>
  <c r="BM31" i="14"/>
  <c r="BN71" i="13"/>
  <c r="BM71"/>
  <c r="BM111"/>
  <c r="BK32" i="14"/>
  <c r="BO112" s="1"/>
  <c r="BO112" i="13"/>
  <c r="BK72"/>
  <c r="BK112"/>
  <c r="BJ30" i="14"/>
  <c r="BN110" s="1"/>
  <c r="BJ70" i="13"/>
  <c r="BJ110"/>
  <c r="BN110"/>
  <c r="BH29" i="14"/>
  <c r="BJ28"/>
  <c r="BN108" s="1"/>
  <c r="BN108" i="13"/>
  <c r="BJ68"/>
  <c r="BJ108"/>
  <c r="BL28" i="14"/>
  <c r="BP108" s="1"/>
  <c r="BL108" i="13"/>
  <c r="BL68"/>
  <c r="BK27" i="14"/>
  <c r="BO107" s="1"/>
  <c r="BK107" i="13"/>
  <c r="BO107"/>
  <c r="BM28" i="14"/>
  <c r="BM68" i="13"/>
  <c r="BM108"/>
  <c r="BN68"/>
  <c r="AM68"/>
  <c r="BK28" i="14"/>
  <c r="BO108" s="1"/>
  <c r="BK108" i="13"/>
  <c r="BK68"/>
  <c r="BO108"/>
  <c r="AL68"/>
  <c r="H25" i="17"/>
  <c r="M11"/>
  <c r="D7" i="23" s="1"/>
  <c r="D56" s="1"/>
  <c r="H27" i="17"/>
  <c r="O37" i="6"/>
  <c r="D29" i="21" s="1"/>
  <c r="M12" i="17"/>
  <c r="D8" i="23" s="1"/>
  <c r="D57" s="1"/>
  <c r="K37" i="17"/>
  <c r="M37" s="1"/>
  <c r="D33" i="23" s="1"/>
  <c r="D82" s="1"/>
  <c r="H35" i="17"/>
  <c r="M25"/>
  <c r="M21"/>
  <c r="D17" i="23" s="1"/>
  <c r="D66" s="1"/>
  <c r="AP99" i="14"/>
  <c r="BJ21"/>
  <c r="BN101" s="1"/>
  <c r="AY120" i="13"/>
  <c r="BH99"/>
  <c r="L72"/>
  <c r="BE116"/>
  <c r="BB77"/>
  <c r="AR111"/>
  <c r="AO115"/>
  <c r="AF108"/>
  <c r="AQ33" i="14"/>
  <c r="BF116" i="13"/>
  <c r="K71"/>
  <c r="AR75"/>
  <c r="Z70"/>
  <c r="J29"/>
  <c r="N109" s="1"/>
  <c r="AJ118"/>
  <c r="AU111" i="14"/>
  <c r="AH74" i="13"/>
  <c r="AY111"/>
  <c r="O71"/>
  <c r="AJ108"/>
  <c r="AI120"/>
  <c r="AU77"/>
  <c r="BC118"/>
  <c r="C76"/>
  <c r="C33"/>
  <c r="AG68"/>
  <c r="O111"/>
  <c r="U77"/>
  <c r="T117"/>
  <c r="X29"/>
  <c r="X109" s="1"/>
  <c r="J111"/>
  <c r="AS115"/>
  <c r="AQ116" i="14"/>
  <c r="AF99" i="13"/>
  <c r="AF21"/>
  <c r="F59"/>
  <c r="AI108"/>
  <c r="AF68"/>
  <c r="AH77"/>
  <c r="AE108"/>
  <c r="AN115" i="14"/>
  <c r="F72" i="13"/>
  <c r="N111"/>
  <c r="AC33"/>
  <c r="AC113" s="1"/>
  <c r="G116"/>
  <c r="AJ78"/>
  <c r="V99"/>
  <c r="K99"/>
  <c r="AL108"/>
  <c r="S108"/>
  <c r="AQ76" i="14"/>
  <c r="AT120"/>
  <c r="AJ117" i="13"/>
  <c r="AO116"/>
  <c r="AP77"/>
  <c r="AP108"/>
  <c r="AF33" i="14"/>
  <c r="AF120" i="13"/>
  <c r="AN115"/>
  <c r="D70"/>
  <c r="AY26" i="14"/>
  <c r="H110" i="13"/>
  <c r="F75"/>
  <c r="AW76"/>
  <c r="F108"/>
  <c r="AY117"/>
  <c r="AJ115"/>
  <c r="AV120" i="14"/>
  <c r="AJ115"/>
  <c r="AK75"/>
  <c r="AQ80"/>
  <c r="AX26"/>
  <c r="C68" i="13"/>
  <c r="B26"/>
  <c r="C66" s="1"/>
  <c r="AK75"/>
  <c r="AJ78" i="14"/>
  <c r="H70" i="13"/>
  <c r="AU80"/>
  <c r="AV80"/>
  <c r="AV120"/>
  <c r="AW80"/>
  <c r="AG75"/>
  <c r="AT35" i="14"/>
  <c r="AT75" s="1"/>
  <c r="BE80" i="13"/>
  <c r="AR80"/>
  <c r="AF80"/>
  <c r="AE120" i="14"/>
  <c r="AG120" i="13"/>
  <c r="AQ120"/>
  <c r="AE80"/>
  <c r="AP120"/>
  <c r="AG80"/>
  <c r="AE120"/>
  <c r="BF117"/>
  <c r="AP114"/>
  <c r="BC76"/>
  <c r="BE76"/>
  <c r="BE117"/>
  <c r="AS78"/>
  <c r="BC116"/>
  <c r="AU116"/>
  <c r="AY76" i="14"/>
  <c r="AQ76" i="13"/>
  <c r="AK78"/>
  <c r="BF76"/>
  <c r="AE76" i="14"/>
  <c r="AL114" i="13"/>
  <c r="AQ74"/>
  <c r="AE76"/>
  <c r="AO75"/>
  <c r="AX117"/>
  <c r="AH115"/>
  <c r="AQ116"/>
  <c r="AE77"/>
  <c r="BD74"/>
  <c r="AV76"/>
  <c r="BD116"/>
  <c r="BB76"/>
  <c r="AG116"/>
  <c r="AU115"/>
  <c r="AZ76"/>
  <c r="AW75"/>
  <c r="BB117"/>
  <c r="AU75"/>
  <c r="AZ117"/>
  <c r="BB117" i="14"/>
  <c r="AL78" i="13"/>
  <c r="AR74"/>
  <c r="AP74"/>
  <c r="AG35" i="14"/>
  <c r="AG75" s="1"/>
  <c r="AV77" i="13"/>
  <c r="AG115"/>
  <c r="AH76"/>
  <c r="BA76"/>
  <c r="AQ33"/>
  <c r="AK74"/>
  <c r="AV75"/>
  <c r="AZ77" i="14"/>
  <c r="AT116" i="13"/>
  <c r="AN78"/>
  <c r="AM78"/>
  <c r="AN114"/>
  <c r="AY116"/>
  <c r="AZ33" i="14"/>
  <c r="AN118" i="13"/>
  <c r="BC117" i="14"/>
  <c r="AS74"/>
  <c r="AU111" i="13"/>
  <c r="AF111"/>
  <c r="AV71"/>
  <c r="AJ29" i="14"/>
  <c r="AH29"/>
  <c r="AH109" s="1"/>
  <c r="AL70" i="13"/>
  <c r="AJ111"/>
  <c r="AS110"/>
  <c r="AO70"/>
  <c r="AO110"/>
  <c r="AV72" i="14"/>
  <c r="AN77"/>
  <c r="AN74"/>
  <c r="AE115"/>
  <c r="AO77" i="13"/>
  <c r="AG76"/>
  <c r="AQ75"/>
  <c r="AH117"/>
  <c r="AE33"/>
  <c r="AE113" s="1"/>
  <c r="AT118"/>
  <c r="AK77" i="14"/>
  <c r="AK116" i="13"/>
  <c r="BF77"/>
  <c r="AQ78"/>
  <c r="AL117"/>
  <c r="AO77" i="14"/>
  <c r="AE116" i="13"/>
  <c r="AJ33"/>
  <c r="AX116" i="14"/>
  <c r="AP115" i="13"/>
  <c r="AX76"/>
  <c r="AO118"/>
  <c r="AI77"/>
  <c r="AO78"/>
  <c r="AX116"/>
  <c r="AF76"/>
  <c r="BB116" i="14"/>
  <c r="AM74" i="13"/>
  <c r="AP75" i="14"/>
  <c r="AR115" i="13"/>
  <c r="AF75"/>
  <c r="AS114" i="14"/>
  <c r="AK116"/>
  <c r="AY76" i="13"/>
  <c r="AN77"/>
  <c r="AN117"/>
  <c r="AI116" i="14"/>
  <c r="AT115" i="13"/>
  <c r="AE115"/>
  <c r="AS114"/>
  <c r="AG77"/>
  <c r="AK76"/>
  <c r="AV115"/>
  <c r="AP75"/>
  <c r="AP118"/>
  <c r="AJ116"/>
  <c r="AS75"/>
  <c r="BB116"/>
  <c r="AJ33" i="14"/>
  <c r="BB72" i="13"/>
  <c r="AJ72"/>
  <c r="AL110" i="14"/>
  <c r="AQ71" i="13"/>
  <c r="AI29"/>
  <c r="AJ29"/>
  <c r="AN109" s="1"/>
  <c r="AN112"/>
  <c r="AJ112"/>
  <c r="AJ112" i="14"/>
  <c r="AO108" i="13"/>
  <c r="AS108"/>
  <c r="AO26"/>
  <c r="AP68"/>
  <c r="AU120"/>
  <c r="AT120"/>
  <c r="BF120"/>
  <c r="AQ80"/>
  <c r="AD35" i="14"/>
  <c r="AE75" i="13"/>
  <c r="BC117"/>
  <c r="BD117"/>
  <c r="AO117" i="14"/>
  <c r="AI116" i="13"/>
  <c r="AM117"/>
  <c r="AJ77"/>
  <c r="BD77"/>
  <c r="BE77"/>
  <c r="AK77"/>
  <c r="AS118"/>
  <c r="AO114"/>
  <c r="AO117"/>
  <c r="AJ76"/>
  <c r="AZ77"/>
  <c r="AM116"/>
  <c r="BA77"/>
  <c r="AT76" i="14"/>
  <c r="AF114" i="13"/>
  <c r="AP74" i="14"/>
  <c r="AR114" i="13"/>
  <c r="AT116" i="14"/>
  <c r="AZ117"/>
  <c r="AU76" i="13"/>
  <c r="BC77" i="14"/>
  <c r="AI76" i="13"/>
  <c r="AK33" i="14"/>
  <c r="AK33" i="13"/>
  <c r="AZ115"/>
  <c r="AM33" i="14"/>
  <c r="AN74" i="13"/>
  <c r="BC77"/>
  <c r="AL77"/>
  <c r="AY77"/>
  <c r="AS74"/>
  <c r="AZ116"/>
  <c r="AO74"/>
  <c r="AQ114" i="14"/>
  <c r="AI117" i="13"/>
  <c r="AT76"/>
  <c r="AQ114"/>
  <c r="AP78"/>
  <c r="AV29"/>
  <c r="AW72"/>
  <c r="BC72"/>
  <c r="AJ70"/>
  <c r="AF112"/>
  <c r="AI110"/>
  <c r="AS29" i="14"/>
  <c r="AK111" i="13"/>
  <c r="AW29" i="14"/>
  <c r="BA112" i="13"/>
  <c r="AP71"/>
  <c r="AV72"/>
  <c r="AM70" i="14"/>
  <c r="AL70"/>
  <c r="AM110" i="13"/>
  <c r="AE72"/>
  <c r="AZ110"/>
  <c r="AS71"/>
  <c r="AN70"/>
  <c r="AK110"/>
  <c r="AR71"/>
  <c r="AF72"/>
  <c r="AD112"/>
  <c r="BD29" i="14"/>
  <c r="AD29" i="13"/>
  <c r="AF29"/>
  <c r="AI70" i="14"/>
  <c r="AV111" i="13"/>
  <c r="AM70"/>
  <c r="AG72"/>
  <c r="AK70"/>
  <c r="AE71"/>
  <c r="AQ72"/>
  <c r="AI70"/>
  <c r="K78" i="12"/>
  <c r="AP72" i="13"/>
  <c r="AU72"/>
  <c r="AM110" i="14"/>
  <c r="AH72" i="13"/>
  <c r="AL110"/>
  <c r="AT112"/>
  <c r="K58" i="12"/>
  <c r="O78"/>
  <c r="AH70" i="13"/>
  <c r="AW71"/>
  <c r="AW112"/>
  <c r="AZ29" i="14"/>
  <c r="AH110" i="13"/>
  <c r="AE26"/>
  <c r="AI106" s="1"/>
  <c r="AE68"/>
  <c r="AD108"/>
  <c r="AD26"/>
  <c r="AD108" i="14"/>
  <c r="AZ67" i="13"/>
  <c r="O58" i="12"/>
  <c r="AL26" i="13"/>
  <c r="AM66" s="1"/>
  <c r="AD68"/>
  <c r="BI112"/>
  <c r="AD107"/>
  <c r="Z27" i="14"/>
  <c r="Z26" s="1"/>
  <c r="BM101"/>
  <c r="AP26" i="13"/>
  <c r="AP27" i="14"/>
  <c r="AP26" s="1"/>
  <c r="AL31"/>
  <c r="AP111" s="1"/>
  <c r="AD72" i="13"/>
  <c r="AC32" i="14"/>
  <c r="AC29" s="1"/>
  <c r="AC39" s="1"/>
  <c r="AC41" s="1"/>
  <c r="AE74" i="13"/>
  <c r="AD34" i="14"/>
  <c r="AD114" s="1"/>
  <c r="AH75" i="13"/>
  <c r="AH35" i="14"/>
  <c r="AL115" s="1"/>
  <c r="AL33" i="13"/>
  <c r="AL36" i="14"/>
  <c r="AL33" s="1"/>
  <c r="Z37"/>
  <c r="Z33" s="1"/>
  <c r="AI118" i="13"/>
  <c r="AE38" i="14"/>
  <c r="AE33" s="1"/>
  <c r="AT38"/>
  <c r="AT78" s="1"/>
  <c r="AJ80" i="13"/>
  <c r="AJ40" i="14"/>
  <c r="AJ80" s="1"/>
  <c r="V71" i="13"/>
  <c r="V31" i="14"/>
  <c r="V29" s="1"/>
  <c r="W33" i="13"/>
  <c r="AA113" s="1"/>
  <c r="W36" i="14"/>
  <c r="W33" s="1"/>
  <c r="BD26" i="13"/>
  <c r="BD27" i="14"/>
  <c r="BD26" s="1"/>
  <c r="Z68" i="13"/>
  <c r="Y28" i="14"/>
  <c r="Y26" s="1"/>
  <c r="Y39" s="1"/>
  <c r="Y41" s="1"/>
  <c r="AN68" i="13"/>
  <c r="AN28" i="14"/>
  <c r="AN26" s="1"/>
  <c r="Q27"/>
  <c r="Q26" s="1"/>
  <c r="R66" s="1"/>
  <c r="AQ30"/>
  <c r="AQ29" s="1"/>
  <c r="AT111" i="13"/>
  <c r="AT31" i="14"/>
  <c r="AT29" s="1"/>
  <c r="AP110" i="13"/>
  <c r="AP30" i="14"/>
  <c r="AP29" s="1"/>
  <c r="AP112" i="13"/>
  <c r="AL32" i="14"/>
  <c r="AP112" s="1"/>
  <c r="BC71" i="13"/>
  <c r="BC31" i="14"/>
  <c r="BC29" s="1"/>
  <c r="V110" i="13"/>
  <c r="R30" i="14"/>
  <c r="R29" s="1"/>
  <c r="R39" s="1"/>
  <c r="R41" s="1"/>
  <c r="BF111" i="13"/>
  <c r="BB31" i="14"/>
  <c r="BF111" s="1"/>
  <c r="T37"/>
  <c r="T33" s="1"/>
  <c r="T39" s="1"/>
  <c r="T41" s="1"/>
  <c r="AY34"/>
  <c r="AY74" s="1"/>
  <c r="AG37"/>
  <c r="AK117" s="1"/>
  <c r="P118" i="13"/>
  <c r="P38" i="14"/>
  <c r="Q78" s="1"/>
  <c r="L75" i="13"/>
  <c r="K35" i="14"/>
  <c r="K75" s="1"/>
  <c r="BE74" i="13"/>
  <c r="BE34" i="14"/>
  <c r="BF74" s="1"/>
  <c r="S76" i="13"/>
  <c r="S36" i="14"/>
  <c r="S76" s="1"/>
  <c r="AV34"/>
  <c r="AV33" s="1"/>
  <c r="AV39" s="1"/>
  <c r="AV41" s="1"/>
  <c r="L40"/>
  <c r="M80" s="1"/>
  <c r="C249" i="26"/>
  <c r="E375" s="1"/>
  <c r="AX99" i="14"/>
  <c r="C251" i="26"/>
  <c r="E377" s="1"/>
  <c r="L182"/>
  <c r="L181"/>
  <c r="L203"/>
  <c r="C376" s="1"/>
  <c r="L179"/>
  <c r="L187"/>
  <c r="AR27" i="14"/>
  <c r="AR26" s="1"/>
  <c r="C258" i="26"/>
  <c r="E384" s="1"/>
  <c r="C259"/>
  <c r="E385" s="1"/>
  <c r="AU108" i="13"/>
  <c r="AU28" i="14"/>
  <c r="AU68" s="1"/>
  <c r="AB32"/>
  <c r="AB29" s="1"/>
  <c r="AK114" i="13"/>
  <c r="AG34" i="14"/>
  <c r="AG114" s="1"/>
  <c r="AJ75" i="13"/>
  <c r="AI35" i="14"/>
  <c r="AP76" i="13"/>
  <c r="AO36" i="14"/>
  <c r="AO33" s="1"/>
  <c r="AB37"/>
  <c r="AB77" s="1"/>
  <c r="AP37"/>
  <c r="AP33" s="1"/>
  <c r="AU33" i="13"/>
  <c r="AU38" i="14"/>
  <c r="AU33" s="1"/>
  <c r="AZ80" i="13"/>
  <c r="AZ40" i="14"/>
  <c r="AZ120" s="1"/>
  <c r="X36"/>
  <c r="X116" s="1"/>
  <c r="I118" i="13"/>
  <c r="I38" i="14"/>
  <c r="I78" s="1"/>
  <c r="BA67" i="13"/>
  <c r="BA27" i="14"/>
  <c r="BA26" s="1"/>
  <c r="X26" i="13"/>
  <c r="X27" i="14"/>
  <c r="X67" s="1"/>
  <c r="V26" i="13"/>
  <c r="V106" s="1"/>
  <c r="V27" i="14"/>
  <c r="V26" s="1"/>
  <c r="AY71" i="13"/>
  <c r="AX31" i="14"/>
  <c r="AX29" s="1"/>
  <c r="AU70" i="13"/>
  <c r="AU30" i="14"/>
  <c r="AU29" s="1"/>
  <c r="N78" i="13"/>
  <c r="N38" i="14"/>
  <c r="N33" s="1"/>
  <c r="I35"/>
  <c r="M115" s="1"/>
  <c r="AO80" i="13"/>
  <c r="AO40" i="14"/>
  <c r="C247" i="26"/>
  <c r="AR61" i="13"/>
  <c r="C256" i="26"/>
  <c r="E382" s="1"/>
  <c r="M7" i="17"/>
  <c r="D3" i="23" s="1"/>
  <c r="D52" s="1"/>
  <c r="AW26" i="14"/>
  <c r="J99" i="13"/>
  <c r="M23" i="17"/>
  <c r="D19" i="23" s="1"/>
  <c r="D68" s="1"/>
  <c r="L205" i="26"/>
  <c r="C378" s="1"/>
  <c r="L39" i="14"/>
  <c r="L204" i="26"/>
  <c r="C377" s="1"/>
  <c r="BM99" i="14"/>
  <c r="L180" i="26"/>
  <c r="L189"/>
  <c r="L202"/>
  <c r="C375" s="1"/>
  <c r="L210"/>
  <c r="C383" s="1"/>
  <c r="BH108" i="13"/>
  <c r="AZ70"/>
  <c r="AY30" i="14"/>
  <c r="AY29" s="1"/>
  <c r="AO31"/>
  <c r="AO29" s="1"/>
  <c r="AU74" i="13"/>
  <c r="AT34" i="14"/>
  <c r="AX115" i="13"/>
  <c r="AX35" i="14"/>
  <c r="AR77" i="13"/>
  <c r="AR37" i="14"/>
  <c r="AH80" i="13"/>
  <c r="AH40" i="14"/>
  <c r="AH80" s="1"/>
  <c r="BB80" i="13"/>
  <c r="BA40" i="14"/>
  <c r="BA120" s="1"/>
  <c r="BD115" i="13"/>
  <c r="BD35" i="14"/>
  <c r="BD75" s="1"/>
  <c r="BC70" i="13"/>
  <c r="BB30" i="14"/>
  <c r="I26" i="13"/>
  <c r="I106" s="1"/>
  <c r="I27" i="14"/>
  <c r="I26" s="1"/>
  <c r="V68" i="13"/>
  <c r="U28" i="14"/>
  <c r="U26" s="1"/>
  <c r="AJ28"/>
  <c r="AK68" s="1"/>
  <c r="S26" i="13"/>
  <c r="W106" s="1"/>
  <c r="S28" i="14"/>
  <c r="T68" s="1"/>
  <c r="AI68" i="13"/>
  <c r="AH28" i="14"/>
  <c r="AH68" s="1"/>
  <c r="AG31"/>
  <c r="AG29" s="1"/>
  <c r="X70" i="13"/>
  <c r="X30" i="14"/>
  <c r="X29" s="1"/>
  <c r="AF70" i="13"/>
  <c r="AF30" i="14"/>
  <c r="AF29" s="1"/>
  <c r="O29" i="13"/>
  <c r="O69" s="1"/>
  <c r="O31" i="14"/>
  <c r="O29" s="1"/>
  <c r="AE29" i="13"/>
  <c r="AE31" i="14"/>
  <c r="AE29" s="1"/>
  <c r="J31"/>
  <c r="J29" s="1"/>
  <c r="N110" i="13"/>
  <c r="N30" i="14"/>
  <c r="N29" s="1"/>
  <c r="BA74" i="13"/>
  <c r="BA34" i="14"/>
  <c r="BB33" i="13"/>
  <c r="BB34" i="14"/>
  <c r="BB33" s="1"/>
  <c r="M34"/>
  <c r="M33" s="1"/>
  <c r="M39" s="1"/>
  <c r="M41" s="1"/>
  <c r="AH38"/>
  <c r="AL118" s="1"/>
  <c r="AF116" i="13"/>
  <c r="AB36" i="14"/>
  <c r="AC76" s="1"/>
  <c r="BD78" i="13"/>
  <c r="BD38" i="14"/>
  <c r="J114" i="13"/>
  <c r="J34" i="14"/>
  <c r="J33" s="1"/>
  <c r="U76" i="13"/>
  <c r="U36" i="14"/>
  <c r="U76" s="1"/>
  <c r="B248" i="26"/>
  <c r="B374"/>
  <c r="B256"/>
  <c r="B382"/>
  <c r="C253"/>
  <c r="E379" s="1"/>
  <c r="AU59" i="13"/>
  <c r="C254" i="26"/>
  <c r="E380" s="1"/>
  <c r="L185"/>
  <c r="AA39" i="14"/>
  <c r="AA41" s="1"/>
  <c r="BM59"/>
  <c r="L183" i="26"/>
  <c r="AL67" i="13"/>
  <c r="AK27" i="14"/>
  <c r="AK26" s="1"/>
  <c r="AQ26" i="13"/>
  <c r="AQ106" s="1"/>
  <c r="AQ27" i="14"/>
  <c r="AQ26" s="1"/>
  <c r="BA70" i="13"/>
  <c r="BA30" i="14"/>
  <c r="BA29" s="1"/>
  <c r="AM29" i="13"/>
  <c r="AN69" s="1"/>
  <c r="AM31" i="14"/>
  <c r="AM29" s="1"/>
  <c r="AR29" i="13"/>
  <c r="AR32" i="14"/>
  <c r="AR29" s="1"/>
  <c r="AW114" i="13"/>
  <c r="AW34" i="14"/>
  <c r="AY35"/>
  <c r="AN116" i="13"/>
  <c r="AN36" i="14"/>
  <c r="AN33" s="1"/>
  <c r="AT77" i="13"/>
  <c r="AS37" i="14"/>
  <c r="AS33" s="1"/>
  <c r="AD78" i="13"/>
  <c r="AD38" i="14"/>
  <c r="AW78" i="13"/>
  <c r="AW38" i="14"/>
  <c r="AW78" s="1"/>
  <c r="X71" i="13"/>
  <c r="W31" i="14"/>
  <c r="W29" s="1"/>
  <c r="V36"/>
  <c r="V33" s="1"/>
  <c r="AH27"/>
  <c r="AH107" s="1"/>
  <c r="BB68" i="13"/>
  <c r="BB28" i="14"/>
  <c r="BB26" s="1"/>
  <c r="S107" i="13"/>
  <c r="O27" i="14"/>
  <c r="O26" s="1"/>
  <c r="BA68" i="13"/>
  <c r="AZ28" i="14"/>
  <c r="AZ26" s="1"/>
  <c r="BE108" i="13"/>
  <c r="BE28" i="14"/>
  <c r="BE26" s="1"/>
  <c r="AF27"/>
  <c r="AF26" s="1"/>
  <c r="AK72" i="13"/>
  <c r="AK32" i="14"/>
  <c r="AK72" s="1"/>
  <c r="AK71" i="13"/>
  <c r="AK31" i="14"/>
  <c r="K32"/>
  <c r="K29" s="1"/>
  <c r="BB78" i="13"/>
  <c r="BA38" i="14"/>
  <c r="I36"/>
  <c r="I76" s="1"/>
  <c r="BC38"/>
  <c r="BC78" s="1"/>
  <c r="AX38"/>
  <c r="BB118" s="1"/>
  <c r="AI34"/>
  <c r="AM114" s="1"/>
  <c r="AV116" i="13"/>
  <c r="AR36" i="14"/>
  <c r="AR116" s="1"/>
  <c r="W117" i="13"/>
  <c r="S37" i="14"/>
  <c r="W117" s="1"/>
  <c r="U38"/>
  <c r="Y118" s="1"/>
  <c r="BC40"/>
  <c r="BC80" s="1"/>
  <c r="C248" i="26"/>
  <c r="E374" s="1"/>
  <c r="AV59" i="14"/>
  <c r="M29" i="17"/>
  <c r="Q29" s="1"/>
  <c r="L208" i="26"/>
  <c r="C381" s="1"/>
  <c r="L184"/>
  <c r="L212"/>
  <c r="C385" s="1"/>
  <c r="L188"/>
  <c r="L206"/>
  <c r="C379" s="1"/>
  <c r="C261"/>
  <c r="E387" s="1"/>
  <c r="C260"/>
  <c r="E386" s="1"/>
  <c r="C217"/>
  <c r="L214"/>
  <c r="L213"/>
  <c r="C386" s="1"/>
  <c r="C194"/>
  <c r="L191"/>
  <c r="L190"/>
  <c r="D373"/>
  <c r="L239"/>
  <c r="L241"/>
  <c r="C218"/>
  <c r="C216"/>
  <c r="G216"/>
  <c r="G218"/>
  <c r="K216"/>
  <c r="K218"/>
  <c r="F216"/>
  <c r="F218"/>
  <c r="J216"/>
  <c r="J218"/>
  <c r="E216"/>
  <c r="E218"/>
  <c r="I216"/>
  <c r="I218"/>
  <c r="D216"/>
  <c r="D218"/>
  <c r="H216"/>
  <c r="H218"/>
  <c r="E193"/>
  <c r="E195"/>
  <c r="I193"/>
  <c r="I195"/>
  <c r="F193"/>
  <c r="F195"/>
  <c r="J193"/>
  <c r="J195"/>
  <c r="C195"/>
  <c r="C193"/>
  <c r="G193"/>
  <c r="G195"/>
  <c r="K193"/>
  <c r="K195"/>
  <c r="D193"/>
  <c r="D195"/>
  <c r="H193"/>
  <c r="H195"/>
  <c r="E110"/>
  <c r="E111"/>
  <c r="E112"/>
  <c r="C112"/>
  <c r="C110"/>
  <c r="C111"/>
  <c r="G110"/>
  <c r="G111"/>
  <c r="G112"/>
  <c r="K110"/>
  <c r="K111"/>
  <c r="K112"/>
  <c r="D110"/>
  <c r="D111"/>
  <c r="D112"/>
  <c r="H110"/>
  <c r="H111"/>
  <c r="H112"/>
  <c r="I110"/>
  <c r="I111"/>
  <c r="I112"/>
  <c r="F110"/>
  <c r="F111"/>
  <c r="F112"/>
  <c r="J110"/>
  <c r="J111"/>
  <c r="J112"/>
  <c r="C76"/>
  <c r="C78" s="1"/>
  <c r="C81" a="1"/>
  <c r="H24" i="17"/>
  <c r="H13"/>
  <c r="M24"/>
  <c r="M30"/>
  <c r="Q30" s="1"/>
  <c r="M27"/>
  <c r="D23" i="23" s="1"/>
  <c r="D72" s="1"/>
  <c r="M13" i="17"/>
  <c r="H12"/>
  <c r="H29"/>
  <c r="H11"/>
  <c r="J29"/>
  <c r="H24" i="19"/>
  <c r="K24"/>
  <c r="H11"/>
  <c r="K11"/>
  <c r="K22" i="18"/>
  <c r="H22"/>
  <c r="K13" i="20"/>
  <c r="H13"/>
  <c r="K17"/>
  <c r="H17"/>
  <c r="K21" i="18"/>
  <c r="H21"/>
  <c r="H29"/>
  <c r="K29"/>
  <c r="H15" i="19"/>
  <c r="K15"/>
  <c r="H27"/>
  <c r="K27"/>
  <c r="K18" i="20"/>
  <c r="H18"/>
  <c r="K26"/>
  <c r="H26"/>
  <c r="H20" i="18"/>
  <c r="K20"/>
  <c r="K32"/>
  <c r="M32" s="1"/>
  <c r="H32"/>
  <c r="K11" i="20"/>
  <c r="H11"/>
  <c r="H23" i="19"/>
  <c r="K23"/>
  <c r="H31"/>
  <c r="K31"/>
  <c r="M31" s="1"/>
  <c r="O35" s="1"/>
  <c r="H30"/>
  <c r="K30"/>
  <c r="K13" i="18"/>
  <c r="H13"/>
  <c r="K17"/>
  <c r="H17"/>
  <c r="K33" i="20"/>
  <c r="M33" s="1"/>
  <c r="H33"/>
  <c r="K37"/>
  <c r="M37" s="1"/>
  <c r="H37"/>
  <c r="K37" i="18"/>
  <c r="M37" s="1"/>
  <c r="H37"/>
  <c r="K15" i="20"/>
  <c r="H15"/>
  <c r="K19"/>
  <c r="H19"/>
  <c r="K27"/>
  <c r="H27"/>
  <c r="H26" i="19"/>
  <c r="K26"/>
  <c r="K38" i="18"/>
  <c r="M38" s="1"/>
  <c r="H38"/>
  <c r="K12" i="20"/>
  <c r="H12"/>
  <c r="H16" i="18"/>
  <c r="K16"/>
  <c r="K20" i="20"/>
  <c r="H20"/>
  <c r="K28" i="18"/>
  <c r="H28"/>
  <c r="K11"/>
  <c r="H11"/>
  <c r="H23"/>
  <c r="K23"/>
  <c r="H31"/>
  <c r="K31"/>
  <c r="M31" s="1"/>
  <c r="H35"/>
  <c r="K35"/>
  <c r="M35" s="1"/>
  <c r="H14" i="19"/>
  <c r="K14"/>
  <c r="H22"/>
  <c r="K22"/>
  <c r="H21"/>
  <c r="K21"/>
  <c r="H25"/>
  <c r="K25"/>
  <c r="H29"/>
  <c r="K29"/>
  <c r="H33"/>
  <c r="K33"/>
  <c r="M33" s="1"/>
  <c r="H18"/>
  <c r="K18"/>
  <c r="K26" i="18"/>
  <c r="H26"/>
  <c r="K34" i="20"/>
  <c r="M34" s="1"/>
  <c r="H34"/>
  <c r="H23" i="17"/>
  <c r="H21"/>
  <c r="O33" i="6"/>
  <c r="D25" i="21" s="1"/>
  <c r="K25" i="17"/>
  <c r="H16" i="19"/>
  <c r="K16"/>
  <c r="H28"/>
  <c r="K28"/>
  <c r="K32" i="20"/>
  <c r="M32" s="1"/>
  <c r="H32"/>
  <c r="K14" i="18"/>
  <c r="H14"/>
  <c r="K30"/>
  <c r="H30"/>
  <c r="H25"/>
  <c r="K25"/>
  <c r="K19"/>
  <c r="H19"/>
  <c r="K12"/>
  <c r="H12"/>
  <c r="K24"/>
  <c r="H24"/>
  <c r="K36" i="20"/>
  <c r="M36" s="1"/>
  <c r="H36"/>
  <c r="H12" i="19"/>
  <c r="K12"/>
  <c r="K16" i="20"/>
  <c r="H16"/>
  <c r="H20" i="19"/>
  <c r="K20"/>
  <c r="K24" i="20"/>
  <c r="H24"/>
  <c r="K28"/>
  <c r="H28"/>
  <c r="H32" i="19"/>
  <c r="K32"/>
  <c r="M32" s="1"/>
  <c r="O36" s="1"/>
  <c r="K36" i="18"/>
  <c r="M36" s="1"/>
  <c r="H36"/>
  <c r="K23" i="20"/>
  <c r="H23"/>
  <c r="K31"/>
  <c r="M31" s="1"/>
  <c r="H31"/>
  <c r="K35"/>
  <c r="M35" s="1"/>
  <c r="H35"/>
  <c r="K14"/>
  <c r="H14"/>
  <c r="K22"/>
  <c r="H22"/>
  <c r="K30"/>
  <c r="H30"/>
  <c r="H13" i="19"/>
  <c r="K13"/>
  <c r="H17"/>
  <c r="K17"/>
  <c r="K21" i="20"/>
  <c r="H21"/>
  <c r="K25"/>
  <c r="H25"/>
  <c r="K29"/>
  <c r="H29"/>
  <c r="H33" i="18"/>
  <c r="K33"/>
  <c r="M33" s="1"/>
  <c r="K15"/>
  <c r="H15"/>
  <c r="H19" i="19"/>
  <c r="K19"/>
  <c r="H27" i="18"/>
  <c r="K27"/>
  <c r="H18"/>
  <c r="K18"/>
  <c r="K34"/>
  <c r="M34" s="1"/>
  <c r="H34"/>
  <c r="H38" i="20"/>
  <c r="K38"/>
  <c r="M38" s="1"/>
  <c r="Q33" i="6"/>
  <c r="C81" i="23"/>
  <c r="AE77" i="14"/>
  <c r="V116" i="13"/>
  <c r="AL115"/>
  <c r="G77"/>
  <c r="AE78"/>
  <c r="AJ118" i="14"/>
  <c r="AF107" i="13"/>
  <c r="AI67"/>
  <c r="BC120"/>
  <c r="BF70"/>
  <c r="AC108"/>
  <c r="AM75"/>
  <c r="AC29"/>
  <c r="Z111"/>
  <c r="AR70"/>
  <c r="AJ120"/>
  <c r="AH26"/>
  <c r="AZ111"/>
  <c r="D81" i="23"/>
  <c r="Q35" i="17"/>
  <c r="K8"/>
  <c r="M8"/>
  <c r="D4" i="23" s="1"/>
  <c r="D53" s="1"/>
  <c r="AU107" i="13"/>
  <c r="W71"/>
  <c r="AW118"/>
  <c r="AN71"/>
  <c r="O107"/>
  <c r="BD111"/>
  <c r="AQ107"/>
  <c r="BE29"/>
  <c r="BD110"/>
  <c r="P67"/>
  <c r="AL72"/>
  <c r="AN76"/>
  <c r="AQ115"/>
  <c r="Z77"/>
  <c r="AW33"/>
  <c r="AO68"/>
  <c r="I74"/>
  <c r="Q26"/>
  <c r="Q66" s="1"/>
  <c r="AF78"/>
  <c r="J59"/>
  <c r="V29"/>
  <c r="V69" s="1"/>
  <c r="AX80"/>
  <c r="AE118"/>
  <c r="AG59"/>
  <c r="E59"/>
  <c r="AK99"/>
  <c r="P111"/>
  <c r="H107"/>
  <c r="AN26"/>
  <c r="AN66" s="1"/>
  <c r="AA116"/>
  <c r="N99"/>
  <c r="AK80"/>
  <c r="F114"/>
  <c r="BF107"/>
  <c r="BD70"/>
  <c r="D74"/>
  <c r="AN33"/>
  <c r="BF115"/>
  <c r="AV67"/>
  <c r="BA59"/>
  <c r="AG67"/>
  <c r="AY112"/>
  <c r="F77"/>
  <c r="K21"/>
  <c r="K101" s="1"/>
  <c r="AT78"/>
  <c r="O78"/>
  <c r="BA71"/>
  <c r="U116"/>
  <c r="AN120"/>
  <c r="AD117"/>
  <c r="E80"/>
  <c r="V59"/>
  <c r="BA33"/>
  <c r="AE99"/>
  <c r="AA99"/>
  <c r="O26"/>
  <c r="P66" s="1"/>
  <c r="D66"/>
  <c r="G106"/>
  <c r="N36" i="6"/>
  <c r="N34"/>
  <c r="H36" i="17"/>
  <c r="N36"/>
  <c r="Q36" i="6"/>
  <c r="Q37"/>
  <c r="C33" i="23"/>
  <c r="C82" s="1"/>
  <c r="M19" i="17"/>
  <c r="D15" i="23" s="1"/>
  <c r="D64" s="1"/>
  <c r="D80"/>
  <c r="Q38" i="6"/>
  <c r="C34" i="23"/>
  <c r="C83" s="1"/>
  <c r="N35" i="6"/>
  <c r="C31" i="23"/>
  <c r="C80" s="1"/>
  <c r="Q32" i="6"/>
  <c r="C28" i="23"/>
  <c r="C77" s="1"/>
  <c r="Q31" i="6"/>
  <c r="C27" i="23"/>
  <c r="C76" s="1"/>
  <c r="O35" i="17"/>
  <c r="E27" i="21" s="1"/>
  <c r="Q36" i="17"/>
  <c r="Q31"/>
  <c r="K7"/>
  <c r="D34" i="23"/>
  <c r="D83" s="1"/>
  <c r="Q33" i="17"/>
  <c r="D29" i="23"/>
  <c r="D78" s="1"/>
  <c r="Q34" i="17"/>
  <c r="D30" i="23"/>
  <c r="D79" s="1"/>
  <c r="Q32" i="17"/>
  <c r="D28" i="23"/>
  <c r="D77" s="1"/>
  <c r="H19" i="17"/>
  <c r="W107" i="14"/>
  <c r="AR115"/>
  <c r="AG59"/>
  <c r="AV21"/>
  <c r="AV101" s="1"/>
  <c r="AH61"/>
  <c r="L101"/>
  <c r="AH59"/>
  <c r="AG120"/>
  <c r="W59"/>
  <c r="BF101"/>
  <c r="O59"/>
  <c r="G59"/>
  <c r="D70"/>
  <c r="BE77"/>
  <c r="AS59"/>
  <c r="AN75"/>
  <c r="Z101"/>
  <c r="AR101"/>
  <c r="AK99"/>
  <c r="G99"/>
  <c r="AP101"/>
  <c r="AA59"/>
  <c r="AS99"/>
  <c r="AL61"/>
  <c r="AK101"/>
  <c r="AS71"/>
  <c r="R112"/>
  <c r="H59"/>
  <c r="J116"/>
  <c r="P59"/>
  <c r="BF70"/>
  <c r="BJ99"/>
  <c r="AK78"/>
  <c r="Y80"/>
  <c r="D59"/>
  <c r="AA21"/>
  <c r="J99"/>
  <c r="G21"/>
  <c r="H61" s="1"/>
  <c r="O21"/>
  <c r="BI61"/>
  <c r="BC76"/>
  <c r="BA108"/>
  <c r="AK59"/>
  <c r="BC59"/>
  <c r="BH59"/>
  <c r="AV111"/>
  <c r="AV99"/>
  <c r="P99"/>
  <c r="P21"/>
  <c r="P101" s="1"/>
  <c r="BI59"/>
  <c r="G26"/>
  <c r="G106" s="1"/>
  <c r="AY116"/>
  <c r="S118"/>
  <c r="BD72"/>
  <c r="AA110"/>
  <c r="N21"/>
  <c r="N101" s="1"/>
  <c r="N99"/>
  <c r="AR99"/>
  <c r="H99"/>
  <c r="BK59"/>
  <c r="AB75"/>
  <c r="AO59"/>
  <c r="AS61"/>
  <c r="AV71"/>
  <c r="O110"/>
  <c r="AM116"/>
  <c r="AC75"/>
  <c r="L99"/>
  <c r="AL101"/>
  <c r="AW21"/>
  <c r="AW99"/>
  <c r="AW59"/>
  <c r="AD99"/>
  <c r="AD21"/>
  <c r="AD101" s="1"/>
  <c r="AO21"/>
  <c r="AS101" s="1"/>
  <c r="AO99"/>
  <c r="BE76"/>
  <c r="K110"/>
  <c r="AN99"/>
  <c r="G76"/>
  <c r="AQ68"/>
  <c r="AT72"/>
  <c r="BC67"/>
  <c r="BJ59"/>
  <c r="BH99"/>
  <c r="Z99"/>
  <c r="AH99"/>
  <c r="AB116" i="13"/>
  <c r="BF118"/>
  <c r="BA114"/>
  <c r="AC76"/>
  <c r="AQ110"/>
  <c r="BD68" i="14"/>
  <c r="AL75"/>
  <c r="BE72"/>
  <c r="BD72" i="13"/>
  <c r="BD76" i="14"/>
  <c r="BE118" i="13"/>
  <c r="AH76" i="14"/>
  <c r="BE75" i="13"/>
  <c r="X110"/>
  <c r="BD70" i="14"/>
  <c r="K70"/>
  <c r="P71" i="13"/>
  <c r="BD108"/>
  <c r="H68"/>
  <c r="F118"/>
  <c r="BF72" i="14"/>
  <c r="AG118" i="13"/>
  <c r="G108" i="14"/>
  <c r="T77" i="13"/>
  <c r="S33"/>
  <c r="BF118" i="14"/>
  <c r="AI78" i="13"/>
  <c r="AG71"/>
  <c r="AU29"/>
  <c r="X33"/>
  <c r="AX114"/>
  <c r="I78"/>
  <c r="BC67"/>
  <c r="AW108"/>
  <c r="BE33"/>
  <c r="O70"/>
  <c r="X116"/>
  <c r="AU118"/>
  <c r="S77"/>
  <c r="J78"/>
  <c r="Z72" i="14"/>
  <c r="H78" i="13"/>
  <c r="AU68"/>
  <c r="AV70"/>
  <c r="W76"/>
  <c r="BF75" i="14"/>
  <c r="BF77"/>
  <c r="BC75"/>
  <c r="BF120"/>
  <c r="BF80"/>
  <c r="K108" i="13"/>
  <c r="C74"/>
  <c r="V117" i="14"/>
  <c r="BD33" i="13"/>
  <c r="AU110"/>
  <c r="AH118"/>
  <c r="M118"/>
  <c r="AB29"/>
  <c r="L71"/>
  <c r="BH118"/>
  <c r="BD75"/>
  <c r="BC72" i="14"/>
  <c r="BD29" i="13"/>
  <c r="BF76" i="14"/>
  <c r="AJ110" i="13"/>
  <c r="AF110"/>
  <c r="BE72"/>
  <c r="N70"/>
  <c r="AQ29"/>
  <c r="D33"/>
  <c r="Q67"/>
  <c r="J33"/>
  <c r="BD120"/>
  <c r="AP33"/>
  <c r="AV33"/>
  <c r="AB110"/>
  <c r="AG70"/>
  <c r="M115"/>
  <c r="I115"/>
  <c r="G108"/>
  <c r="Q107"/>
  <c r="AH71"/>
  <c r="X117"/>
  <c r="M116"/>
  <c r="G35" i="14"/>
  <c r="H75" s="1"/>
  <c r="BE71" i="13"/>
  <c r="AV78"/>
  <c r="X76"/>
  <c r="AB70"/>
  <c r="AD112" i="14"/>
  <c r="AG29" i="13"/>
  <c r="R67"/>
  <c r="M114"/>
  <c r="Y76"/>
  <c r="AZ108"/>
  <c r="BC33"/>
  <c r="BE70" i="14"/>
  <c r="BE26" i="13"/>
  <c r="AZ72"/>
  <c r="BD71"/>
  <c r="C78"/>
  <c r="N33"/>
  <c r="O73" s="1"/>
  <c r="AW117"/>
  <c r="M53" i="4"/>
  <c r="K21"/>
  <c r="D22" i="23"/>
  <c r="D71" s="1"/>
  <c r="M71" i="14"/>
  <c r="L111"/>
  <c r="P111"/>
  <c r="L71"/>
  <c r="AH67" i="13"/>
  <c r="AY29"/>
  <c r="BC110"/>
  <c r="AK29"/>
  <c r="AY70"/>
  <c r="V67"/>
  <c r="G29"/>
  <c r="G109" s="1"/>
  <c r="AT29"/>
  <c r="AD77" i="14"/>
  <c r="AJ114" i="13"/>
  <c r="AM75" i="14"/>
  <c r="AY80" i="13"/>
  <c r="H108"/>
  <c r="BI76"/>
  <c r="BE115"/>
  <c r="AI117" i="14"/>
  <c r="BC112" i="13"/>
  <c r="AT72"/>
  <c r="K74"/>
  <c r="J74"/>
  <c r="L111"/>
  <c r="G112"/>
  <c r="AW77"/>
  <c r="BA118"/>
  <c r="D80"/>
  <c r="AY110"/>
  <c r="C38" i="14"/>
  <c r="D78" s="1"/>
  <c r="E74" i="13"/>
  <c r="X77"/>
  <c r="AS33"/>
  <c r="Z116"/>
  <c r="AL118"/>
  <c r="AN108"/>
  <c r="AS117"/>
  <c r="AB76"/>
  <c r="AT74"/>
  <c r="B33"/>
  <c r="F107"/>
  <c r="BB26"/>
  <c r="F37" i="14"/>
  <c r="F117" s="1"/>
  <c r="AM115" i="13"/>
  <c r="AJ72" i="14"/>
  <c r="X67" i="13"/>
  <c r="AM33"/>
  <c r="AH110" i="14"/>
  <c r="AX120" i="13"/>
  <c r="AC117"/>
  <c r="AG74"/>
  <c r="BE78"/>
  <c r="T68"/>
  <c r="AG78"/>
  <c r="AA29"/>
  <c r="F116"/>
  <c r="BF33"/>
  <c r="AA110"/>
  <c r="BB120"/>
  <c r="BA29"/>
  <c r="Y77"/>
  <c r="AS111"/>
  <c r="AQ67"/>
  <c r="AL29"/>
  <c r="AH33"/>
  <c r="BF74"/>
  <c r="M71"/>
  <c r="N74"/>
  <c r="AN75"/>
  <c r="R118"/>
  <c r="D28" i="14"/>
  <c r="D68" s="1"/>
  <c r="AO115"/>
  <c r="F76" i="13"/>
  <c r="Y29"/>
  <c r="AS29"/>
  <c r="AT33"/>
  <c r="H72"/>
  <c r="F117"/>
  <c r="AV117"/>
  <c r="BA108"/>
  <c r="AO29"/>
  <c r="AO69" s="1"/>
  <c r="AO75" i="14"/>
  <c r="AH107" i="13"/>
  <c r="AX77"/>
  <c r="AF74"/>
  <c r="N118"/>
  <c r="H114"/>
  <c r="AW26"/>
  <c r="AV107"/>
  <c r="BB115"/>
  <c r="BD118"/>
  <c r="AS112"/>
  <c r="BA72"/>
  <c r="AS72"/>
  <c r="D78"/>
  <c r="AL107"/>
  <c r="AF33"/>
  <c r="D68"/>
  <c r="G118"/>
  <c r="AT114"/>
  <c r="V107"/>
  <c r="V76"/>
  <c r="AH78"/>
  <c r="AO71"/>
  <c r="AP29"/>
  <c r="AJ68"/>
  <c r="AY120" i="14"/>
  <c r="AK118" i="13"/>
  <c r="AG117"/>
  <c r="F33"/>
  <c r="D67" i="14"/>
  <c r="AP80" i="13"/>
  <c r="AS77"/>
  <c r="AB70" i="14"/>
  <c r="AH108" i="13"/>
  <c r="BF78"/>
  <c r="R110"/>
  <c r="AE110"/>
  <c r="J116"/>
  <c r="X107"/>
  <c r="Y67"/>
  <c r="BB67"/>
  <c r="AR116"/>
  <c r="AG33"/>
  <c r="G76"/>
  <c r="AA70"/>
  <c r="AZ75"/>
  <c r="J76"/>
  <c r="C58" i="23"/>
  <c r="D54"/>
  <c r="O36" i="6"/>
  <c r="D28" i="21" s="1"/>
  <c r="N37" i="6"/>
  <c r="N13"/>
  <c r="H15" i="17"/>
  <c r="O35" i="6"/>
  <c r="D27" i="21" s="1"/>
  <c r="M15" i="17"/>
  <c r="D11" i="23" s="1"/>
  <c r="D60" s="1"/>
  <c r="H34" i="17"/>
  <c r="H26"/>
  <c r="H32"/>
  <c r="O36"/>
  <c r="E28" i="21" s="1"/>
  <c r="N32" i="17"/>
  <c r="BF99" i="14"/>
  <c r="BL59"/>
  <c r="BL99"/>
  <c r="BL21"/>
  <c r="AY114" i="13"/>
  <c r="AZ74"/>
  <c r="AX75"/>
  <c r="AZ33"/>
  <c r="AY33"/>
  <c r="BB74"/>
  <c r="BC114"/>
  <c r="AZ115" i="14"/>
  <c r="BF75" i="13"/>
  <c r="BA75"/>
  <c r="BF59"/>
  <c r="AY115"/>
  <c r="AY74"/>
  <c r="BA71" i="14"/>
  <c r="AZ71"/>
  <c r="AZ111"/>
  <c r="BB110" i="13"/>
  <c r="BC29"/>
  <c r="BE70"/>
  <c r="BB111"/>
  <c r="BB29"/>
  <c r="BF109" s="1"/>
  <c r="AX112"/>
  <c r="AX71"/>
  <c r="AY99"/>
  <c r="AZ71"/>
  <c r="AX108" i="14"/>
  <c r="AX68"/>
  <c r="BL21" i="13"/>
  <c r="BF26"/>
  <c r="BB108"/>
  <c r="AY68" i="14"/>
  <c r="BK21" i="13"/>
  <c r="BC26"/>
  <c r="BH59"/>
  <c r="BA26"/>
  <c r="AX108"/>
  <c r="BA107"/>
  <c r="BF108"/>
  <c r="AY68"/>
  <c r="BE67"/>
  <c r="BD80"/>
  <c r="BC80"/>
  <c r="G80"/>
  <c r="F120" i="14"/>
  <c r="BA80" i="13"/>
  <c r="AH120"/>
  <c r="M80"/>
  <c r="X120" i="14"/>
  <c r="AI80" i="13"/>
  <c r="P120"/>
  <c r="AS120"/>
  <c r="BI80"/>
  <c r="F80"/>
  <c r="L80"/>
  <c r="J120"/>
  <c r="BA117"/>
  <c r="AO33"/>
  <c r="S117"/>
  <c r="I116"/>
  <c r="E98" i="12"/>
  <c r="AV74" i="13"/>
  <c r="BG115"/>
  <c r="BC74"/>
  <c r="M33"/>
  <c r="M39" s="1"/>
  <c r="M41" s="1"/>
  <c r="G75"/>
  <c r="AB33"/>
  <c r="AB73" s="1"/>
  <c r="U78"/>
  <c r="AS75" i="14"/>
  <c r="O74" i="13"/>
  <c r="Y118"/>
  <c r="AX78"/>
  <c r="AQ77"/>
  <c r="AS76"/>
  <c r="AH114"/>
  <c r="BF114"/>
  <c r="G33"/>
  <c r="AW74"/>
  <c r="AU78"/>
  <c r="Q114"/>
  <c r="BC115"/>
  <c r="I75"/>
  <c r="AN114" i="14"/>
  <c r="V33" i="13"/>
  <c r="V113" s="1"/>
  <c r="BE114"/>
  <c r="H34" i="14"/>
  <c r="H74" s="1"/>
  <c r="S116" i="13"/>
  <c r="U33"/>
  <c r="U73" s="1"/>
  <c r="U118"/>
  <c r="J75"/>
  <c r="R114"/>
  <c r="AD114"/>
  <c r="K115"/>
  <c r="AY78"/>
  <c r="AT117"/>
  <c r="AB117"/>
  <c r="AK117"/>
  <c r="AO76"/>
  <c r="AD33"/>
  <c r="I33"/>
  <c r="K33"/>
  <c r="O113" s="1"/>
  <c r="AI33"/>
  <c r="AM114"/>
  <c r="AD77"/>
  <c r="AI74"/>
  <c r="M74"/>
  <c r="BC75"/>
  <c r="V78"/>
  <c r="AI114"/>
  <c r="AY118"/>
  <c r="AJ74"/>
  <c r="BA78"/>
  <c r="AI77" i="14"/>
  <c r="AX33" i="13"/>
  <c r="N114"/>
  <c r="AR33"/>
  <c r="AX118"/>
  <c r="AP117"/>
  <c r="AR76"/>
  <c r="BB114"/>
  <c r="AI76" i="14"/>
  <c r="AC77" i="13"/>
  <c r="AV114"/>
  <c r="AZ114"/>
  <c r="AF117"/>
  <c r="F98" i="12"/>
  <c r="AW29" i="13"/>
  <c r="AW111"/>
  <c r="AL71"/>
  <c r="Z70" i="14"/>
  <c r="AM71" i="13"/>
  <c r="AL111"/>
  <c r="Z29"/>
  <c r="AI72" i="14"/>
  <c r="G98" i="12"/>
  <c r="G100" s="1"/>
  <c r="AK112" i="13"/>
  <c r="BF110"/>
  <c r="AM72"/>
  <c r="AI72"/>
  <c r="K29"/>
  <c r="AX72"/>
  <c r="I29"/>
  <c r="I109" s="1"/>
  <c r="R29"/>
  <c r="R109" s="1"/>
  <c r="F169" i="12"/>
  <c r="F181"/>
  <c r="BM30" i="13"/>
  <c r="BQ110" s="1"/>
  <c r="AP111"/>
  <c r="AH112"/>
  <c r="BB71"/>
  <c r="AC111"/>
  <c r="D31" i="14"/>
  <c r="E71" s="1"/>
  <c r="BA111" i="13"/>
  <c r="Z71"/>
  <c r="AT71"/>
  <c r="Z110"/>
  <c r="AC112"/>
  <c r="AU71"/>
  <c r="AX112" i="14"/>
  <c r="AL112" i="13"/>
  <c r="I112"/>
  <c r="Y71"/>
  <c r="BB112"/>
  <c r="F141" i="12"/>
  <c r="F139"/>
  <c r="F134"/>
  <c r="F140"/>
  <c r="BD112" i="13"/>
  <c r="E134" i="12"/>
  <c r="E145"/>
  <c r="E142"/>
  <c r="E138"/>
  <c r="E146"/>
  <c r="E41"/>
  <c r="E60" s="1"/>
  <c r="E136"/>
  <c r="E143"/>
  <c r="E140"/>
  <c r="E141"/>
  <c r="E139"/>
  <c r="E135"/>
  <c r="E144"/>
  <c r="E137"/>
  <c r="AZ112" i="13"/>
  <c r="BC111"/>
  <c r="AI111"/>
  <c r="AE111"/>
  <c r="AG112"/>
  <c r="M112"/>
  <c r="J72"/>
  <c r="AD110"/>
  <c r="AH29"/>
  <c r="I112" i="14"/>
  <c r="I72" i="13"/>
  <c r="AO112"/>
  <c r="BB70"/>
  <c r="E58" i="12"/>
  <c r="AZ29" i="13"/>
  <c r="AX29"/>
  <c r="S70"/>
  <c r="E70"/>
  <c r="F166" i="12"/>
  <c r="F168"/>
  <c r="R70" i="13"/>
  <c r="AX111"/>
  <c r="Y111"/>
  <c r="AC72"/>
  <c r="BA111" i="14"/>
  <c r="AT110" i="13"/>
  <c r="AB112"/>
  <c r="AB72"/>
  <c r="AY72"/>
  <c r="AA72" i="14"/>
  <c r="AP70" i="13"/>
  <c r="O112"/>
  <c r="AI112" i="14"/>
  <c r="AQ70" i="13"/>
  <c r="F143" i="12"/>
  <c r="F137"/>
  <c r="F136"/>
  <c r="U108" i="13"/>
  <c r="U68"/>
  <c r="Y26"/>
  <c r="AC106" s="1"/>
  <c r="AR108"/>
  <c r="BC108"/>
  <c r="BD107"/>
  <c r="AV68"/>
  <c r="AW68"/>
  <c r="BI108"/>
  <c r="AW67"/>
  <c r="BE68"/>
  <c r="L108"/>
  <c r="AJ107"/>
  <c r="AW107"/>
  <c r="I68"/>
  <c r="F180" i="12"/>
  <c r="F172"/>
  <c r="F177"/>
  <c r="H28" i="14"/>
  <c r="H26" s="1"/>
  <c r="Y108" i="13"/>
  <c r="G67"/>
  <c r="AA107" i="14"/>
  <c r="F27"/>
  <c r="G67" s="1"/>
  <c r="AF26" i="13"/>
  <c r="AP107"/>
  <c r="H26"/>
  <c r="H66" s="1"/>
  <c r="U26"/>
  <c r="U66" s="1"/>
  <c r="C67" i="14"/>
  <c r="U107" i="13"/>
  <c r="AT26"/>
  <c r="Y68"/>
  <c r="AU67" i="14"/>
  <c r="AU67" i="13"/>
  <c r="O67"/>
  <c r="AZ68"/>
  <c r="AZ26"/>
  <c r="AF67"/>
  <c r="O108" i="14"/>
  <c r="F26" i="13"/>
  <c r="G66" s="1"/>
  <c r="AT107"/>
  <c r="AV26"/>
  <c r="BF68"/>
  <c r="AX107"/>
  <c r="F178" i="12"/>
  <c r="F170"/>
  <c r="F175"/>
  <c r="F67" i="13"/>
  <c r="AV108"/>
  <c r="C98" i="12"/>
  <c r="H67" i="13"/>
  <c r="L120"/>
  <c r="H40" i="14"/>
  <c r="F29"/>
  <c r="F29" i="13"/>
  <c r="F69" s="1"/>
  <c r="H75"/>
  <c r="G72"/>
  <c r="G112" i="14"/>
  <c r="D71" i="13"/>
  <c r="L115"/>
  <c r="H118"/>
  <c r="K112"/>
  <c r="F112"/>
  <c r="E72" i="14"/>
  <c r="H67"/>
  <c r="D29" i="13"/>
  <c r="E69" s="1"/>
  <c r="H111"/>
  <c r="H33"/>
  <c r="J67"/>
  <c r="H120"/>
  <c r="F120"/>
  <c r="H80"/>
  <c r="C80" i="14"/>
  <c r="L107" i="13"/>
  <c r="L115" i="14"/>
  <c r="G72"/>
  <c r="I107" i="13"/>
  <c r="J112"/>
  <c r="H74"/>
  <c r="G107" i="14"/>
  <c r="C41" i="12"/>
  <c r="C60" s="1"/>
  <c r="C143"/>
  <c r="C140"/>
  <c r="C139"/>
  <c r="C146"/>
  <c r="C58"/>
  <c r="C136"/>
  <c r="C137"/>
  <c r="C145"/>
  <c r="C142"/>
  <c r="C138"/>
  <c r="C135"/>
  <c r="C144"/>
  <c r="C141"/>
  <c r="I67" i="13"/>
  <c r="I80"/>
  <c r="M107"/>
  <c r="L118"/>
  <c r="H115"/>
  <c r="C80"/>
  <c r="L107" i="14"/>
  <c r="E36"/>
  <c r="F76" s="1"/>
  <c r="H29" i="13"/>
  <c r="E68"/>
  <c r="E76"/>
  <c r="I70"/>
  <c r="I77" i="14"/>
  <c r="E28"/>
  <c r="I108" s="1"/>
  <c r="E29"/>
  <c r="E33" i="13"/>
  <c r="F68"/>
  <c r="B29" i="14"/>
  <c r="C69" s="1"/>
  <c r="H30"/>
  <c r="L110" s="1"/>
  <c r="H117"/>
  <c r="I108" i="13"/>
  <c r="BM35"/>
  <c r="BQ115" s="1"/>
  <c r="BK35"/>
  <c r="P58" i="12"/>
  <c r="BK30" i="13"/>
  <c r="P80" i="12"/>
  <c r="P78"/>
  <c r="F10" i="9"/>
  <c r="C28"/>
  <c r="A10" i="26"/>
  <c r="A28"/>
  <c r="B21" i="14"/>
  <c r="F101" s="1"/>
  <c r="F99"/>
  <c r="BA21"/>
  <c r="BB59"/>
  <c r="BA99"/>
  <c r="BA110" i="13"/>
  <c r="AM111"/>
  <c r="AQ111"/>
  <c r="AR112"/>
  <c r="AV112"/>
  <c r="AX74"/>
  <c r="AL116"/>
  <c r="AP116"/>
  <c r="AL76"/>
  <c r="C62" i="7"/>
  <c r="H51"/>
  <c r="H59"/>
  <c r="A59"/>
  <c r="AN59" i="14"/>
  <c r="AM59"/>
  <c r="AM99"/>
  <c r="AM21"/>
  <c r="AQ99"/>
  <c r="AR59"/>
  <c r="AQ59"/>
  <c r="AQ21"/>
  <c r="AY99"/>
  <c r="AY21"/>
  <c r="AY59"/>
  <c r="M99"/>
  <c r="M21"/>
  <c r="M59"/>
  <c r="N59"/>
  <c r="U59"/>
  <c r="U21"/>
  <c r="U99"/>
  <c r="V59"/>
  <c r="AS110"/>
  <c r="X59" i="13"/>
  <c r="AE114" i="14"/>
  <c r="AZ120" i="13"/>
  <c r="AR72"/>
  <c r="A45" i="26"/>
  <c r="L45" s="1"/>
  <c r="AT21" i="14"/>
  <c r="AT99"/>
  <c r="AT59"/>
  <c r="BB99"/>
  <c r="AX21"/>
  <c r="AX59"/>
  <c r="BE21"/>
  <c r="BE99"/>
  <c r="BE59"/>
  <c r="AS116" i="13"/>
  <c r="AL80"/>
  <c r="AK120"/>
  <c r="AO120"/>
  <c r="G21" i="12"/>
  <c r="H80" s="1"/>
  <c r="G78"/>
  <c r="S99" i="14"/>
  <c r="S21"/>
  <c r="S59"/>
  <c r="T59"/>
  <c r="T99"/>
  <c r="X99"/>
  <c r="T21"/>
  <c r="H19" i="4"/>
  <c r="H18"/>
  <c r="L21"/>
  <c r="N47"/>
  <c r="AE21" i="14"/>
  <c r="AE59"/>
  <c r="AE99"/>
  <c r="AI99"/>
  <c r="AI21"/>
  <c r="AI59"/>
  <c r="AU21"/>
  <c r="AU59"/>
  <c r="AU99"/>
  <c r="BD59"/>
  <c r="BC21"/>
  <c r="BC99"/>
  <c r="BG21"/>
  <c r="BG99"/>
  <c r="BG59"/>
  <c r="AG99"/>
  <c r="AC59"/>
  <c r="AC21"/>
  <c r="AC99"/>
  <c r="AD59"/>
  <c r="C105" i="7"/>
  <c r="H104"/>
  <c r="D38" i="4"/>
  <c r="D40"/>
  <c r="E40" s="1"/>
  <c r="BD67" i="13"/>
  <c r="W99" i="14"/>
  <c r="H78" i="12"/>
  <c r="BL27" i="13"/>
  <c r="BP107" s="1"/>
  <c r="C10" i="9"/>
  <c r="B21"/>
  <c r="D21" s="1"/>
  <c r="E21" s="1"/>
  <c r="D41" i="12"/>
  <c r="D98"/>
  <c r="D142"/>
  <c r="D140"/>
  <c r="D135"/>
  <c r="D137"/>
  <c r="D136"/>
  <c r="D144"/>
  <c r="D143"/>
  <c r="D139"/>
  <c r="D146"/>
  <c r="D134"/>
  <c r="D138"/>
  <c r="D145"/>
  <c r="D141"/>
  <c r="AU26" i="13"/>
  <c r="AY108"/>
  <c r="BL30"/>
  <c r="BP110" s="1"/>
  <c r="AG114"/>
  <c r="AI115"/>
  <c r="AI75"/>
  <c r="BL35"/>
  <c r="BP115" s="1"/>
  <c r="AR117"/>
  <c r="AL120"/>
  <c r="BA120"/>
  <c r="AA111"/>
  <c r="W111"/>
  <c r="L78" i="12"/>
  <c r="L21"/>
  <c r="E59" i="14"/>
  <c r="E21"/>
  <c r="E61" s="1"/>
  <c r="D58" i="12"/>
  <c r="D21"/>
  <c r="D80" s="1"/>
  <c r="D78"/>
  <c r="AJ21" i="14"/>
  <c r="AJ59"/>
  <c r="R59"/>
  <c r="V99"/>
  <c r="R21"/>
  <c r="R99"/>
  <c r="BE107" i="13"/>
  <c r="K66" i="14"/>
  <c r="K108"/>
  <c r="R107"/>
  <c r="M77"/>
  <c r="AB74"/>
  <c r="AB77" i="13"/>
  <c r="AX68"/>
  <c r="F59" i="14"/>
  <c r="BE120" i="13"/>
  <c r="BI99" i="14"/>
  <c r="AM76" i="13"/>
  <c r="W29"/>
  <c r="H101" i="14"/>
  <c r="BE110" i="13"/>
  <c r="A182" i="26"/>
  <c r="A204"/>
  <c r="A227" s="1"/>
  <c r="A251" s="1"/>
  <c r="A271" s="1"/>
  <c r="A291" s="1"/>
  <c r="F104" i="7"/>
  <c r="E105"/>
  <c r="F105" s="1"/>
  <c r="I21" i="14"/>
  <c r="J59"/>
  <c r="I99"/>
  <c r="I59"/>
  <c r="Q59"/>
  <c r="Q99"/>
  <c r="Q21"/>
  <c r="Y21"/>
  <c r="Z59"/>
  <c r="Y99"/>
  <c r="Y59"/>
  <c r="C100" i="12"/>
  <c r="AD118" i="13"/>
  <c r="W116"/>
  <c r="AA101" i="14"/>
  <c r="AB61"/>
  <c r="AA61"/>
  <c r="K59"/>
  <c r="K99"/>
  <c r="K21"/>
  <c r="L59"/>
  <c r="O99"/>
  <c r="J101"/>
  <c r="C21"/>
  <c r="G101" s="1"/>
  <c r="C59"/>
  <c r="G57" i="7"/>
  <c r="M55"/>
  <c r="I18" i="4"/>
  <c r="I19"/>
  <c r="BF67" i="13"/>
  <c r="Q117" i="14"/>
  <c r="AY75" i="13"/>
  <c r="BF59" i="14"/>
  <c r="BK99"/>
  <c r="K22" i="4"/>
  <c r="D76" i="23"/>
  <c r="H20" i="17"/>
  <c r="K26"/>
  <c r="D63" i="23"/>
  <c r="H18" i="17"/>
  <c r="M20"/>
  <c r="H16"/>
  <c r="N32" i="6"/>
  <c r="N33" i="17"/>
  <c r="M16"/>
  <c r="D12" i="23" s="1"/>
  <c r="D61" s="1"/>
  <c r="H22" i="17"/>
  <c r="H30"/>
  <c r="M10"/>
  <c r="D6" i="23" s="1"/>
  <c r="D55" s="1"/>
  <c r="K10" i="17"/>
  <c r="Q38"/>
  <c r="H33"/>
  <c r="S19"/>
  <c r="O38"/>
  <c r="E30" i="21" s="1"/>
  <c r="K18" i="17"/>
  <c r="M22"/>
  <c r="K22"/>
  <c r="H10"/>
  <c r="H14"/>
  <c r="N35"/>
  <c r="O13" i="6"/>
  <c r="D5" i="21" s="1"/>
  <c r="N34" i="17"/>
  <c r="H38"/>
  <c r="M14"/>
  <c r="J38"/>
  <c r="H40"/>
  <c r="C14" i="23"/>
  <c r="C63" s="1"/>
  <c r="Q30" i="6"/>
  <c r="C11" i="23"/>
  <c r="C60" s="1"/>
  <c r="O14" i="6"/>
  <c r="D6" i="21" s="1"/>
  <c r="C18" i="23"/>
  <c r="C67" s="1"/>
  <c r="Q27" i="6"/>
  <c r="H39" i="17"/>
  <c r="S13" i="6"/>
  <c r="N10"/>
  <c r="K17" i="17"/>
  <c r="M17"/>
  <c r="O11" i="6"/>
  <c r="D3" i="21" s="1"/>
  <c r="N11" i="6"/>
  <c r="C7" i="23"/>
  <c r="C56" s="1"/>
  <c r="C19"/>
  <c r="C68" s="1"/>
  <c r="N23" i="6"/>
  <c r="O23"/>
  <c r="D15" i="21" s="1"/>
  <c r="C15" i="23"/>
  <c r="C64" s="1"/>
  <c r="O19" i="6"/>
  <c r="D11" i="21" s="1"/>
  <c r="H31" i="17"/>
  <c r="S19" i="6"/>
  <c r="N33"/>
  <c r="H7" i="17"/>
  <c r="C50" i="21"/>
  <c r="AA78" i="14"/>
  <c r="AF74"/>
  <c r="O116"/>
  <c r="W78"/>
  <c r="AJ114"/>
  <c r="AU77"/>
  <c r="AN111"/>
  <c r="BB77"/>
  <c r="AR68"/>
  <c r="H115"/>
  <c r="Y75"/>
  <c r="AF114"/>
  <c r="S71"/>
  <c r="R71"/>
  <c r="L67"/>
  <c r="AF80"/>
  <c r="R108"/>
  <c r="BJ21" i="13"/>
  <c r="AB114" i="14"/>
  <c r="BI99" i="13"/>
  <c r="AV110" i="14"/>
  <c r="AV108"/>
  <c r="E61" i="13"/>
  <c r="AM120" i="14"/>
  <c r="O68"/>
  <c r="AN80"/>
  <c r="BE99" i="13"/>
  <c r="Y99"/>
  <c r="AS70" i="14"/>
  <c r="X114"/>
  <c r="N108"/>
  <c r="AY117"/>
  <c r="AV77"/>
  <c r="R106"/>
  <c r="AE112"/>
  <c r="P110"/>
  <c r="AC110"/>
  <c r="AR59" i="13"/>
  <c r="AI120" i="14"/>
  <c r="AF72"/>
  <c r="Y61" i="13"/>
  <c r="J72" i="14"/>
  <c r="AW116"/>
  <c r="AH112"/>
  <c r="AJ111"/>
  <c r="BH71" i="13"/>
  <c r="AJ67"/>
  <c r="Y115" i="14"/>
  <c r="G29"/>
  <c r="AK110"/>
  <c r="U109" i="13"/>
  <c r="Q109"/>
  <c r="Y77" i="14"/>
  <c r="AA71"/>
  <c r="X108"/>
  <c r="AF77"/>
  <c r="BD114"/>
  <c r="AZ110"/>
  <c r="AR80"/>
  <c r="AC120"/>
  <c r="AC67" i="13"/>
  <c r="AQ120" i="14"/>
  <c r="Z71"/>
  <c r="AT108"/>
  <c r="J112"/>
  <c r="Y120"/>
  <c r="K106" i="13"/>
  <c r="V80" i="14"/>
  <c r="AN72"/>
  <c r="AF118"/>
  <c r="AA118"/>
  <c r="AC117"/>
  <c r="AD80"/>
  <c r="AR111"/>
  <c r="AC99" i="13"/>
  <c r="AC21"/>
  <c r="AC59"/>
  <c r="AO99"/>
  <c r="AO21"/>
  <c r="AO101" s="1"/>
  <c r="G99"/>
  <c r="G59"/>
  <c r="BF99"/>
  <c r="BF21"/>
  <c r="P99"/>
  <c r="P59"/>
  <c r="AX80" i="14"/>
  <c r="AX120"/>
  <c r="Z115"/>
  <c r="Z75"/>
  <c r="AT70"/>
  <c r="Q99" i="13"/>
  <c r="Q59"/>
  <c r="M111" i="14"/>
  <c r="I111"/>
  <c r="I71"/>
  <c r="W21" i="13"/>
  <c r="X61" s="1"/>
  <c r="W59"/>
  <c r="W99"/>
  <c r="BA99"/>
  <c r="AW21"/>
  <c r="AW99"/>
  <c r="AS59"/>
  <c r="AS99"/>
  <c r="AS21"/>
  <c r="AX59"/>
  <c r="AX21"/>
  <c r="O76" i="14"/>
  <c r="N116"/>
  <c r="R116"/>
  <c r="U99" i="13"/>
  <c r="U59"/>
  <c r="BA115" i="14"/>
  <c r="AW115"/>
  <c r="AP108"/>
  <c r="AL68"/>
  <c r="I99" i="13"/>
  <c r="I59"/>
  <c r="L112" i="14"/>
  <c r="AG99" i="13"/>
  <c r="AO110" i="14"/>
  <c r="U111"/>
  <c r="BE21" i="13"/>
  <c r="BE61" s="1"/>
  <c r="BE59"/>
  <c r="F110" i="14"/>
  <c r="F72"/>
  <c r="AE72"/>
  <c r="BG59" i="13"/>
  <c r="AO74" i="14"/>
  <c r="BB120"/>
  <c r="BH68" i="13"/>
  <c r="AM117" i="14"/>
  <c r="C71"/>
  <c r="Q111"/>
  <c r="H71"/>
  <c r="T69" i="13"/>
  <c r="BH61"/>
  <c r="AT112" i="14"/>
  <c r="AG80"/>
  <c r="AY80"/>
  <c r="P21" i="13"/>
  <c r="P101" s="1"/>
  <c r="C59"/>
  <c r="X111" i="14"/>
  <c r="T75"/>
  <c r="J118"/>
  <c r="AW120"/>
  <c r="T115"/>
  <c r="S67"/>
  <c r="AC78"/>
  <c r="H77"/>
  <c r="M99" i="13"/>
  <c r="M59"/>
  <c r="N59"/>
  <c r="AU21"/>
  <c r="AU99"/>
  <c r="U120" i="14"/>
  <c r="Q120"/>
  <c r="Q80"/>
  <c r="O99" i="13"/>
  <c r="O59"/>
  <c r="T80" i="14"/>
  <c r="S120"/>
  <c r="L99" i="13"/>
  <c r="L59"/>
  <c r="S99"/>
  <c r="S59"/>
  <c r="R99"/>
  <c r="R59"/>
  <c r="AM21"/>
  <c r="AM99"/>
  <c r="H99"/>
  <c r="H59"/>
  <c r="AR118" i="14"/>
  <c r="AN78"/>
  <c r="AN118"/>
  <c r="AU114"/>
  <c r="AM112"/>
  <c r="T99" i="13"/>
  <c r="T59"/>
  <c r="X99"/>
  <c r="AB21"/>
  <c r="AB59"/>
  <c r="K76" i="14"/>
  <c r="L76"/>
  <c r="K116"/>
  <c r="BB99" i="13"/>
  <c r="BB59"/>
  <c r="BB21"/>
  <c r="AD21"/>
  <c r="AE61" s="1"/>
  <c r="AD59"/>
  <c r="AE59"/>
  <c r="AQ117" i="14"/>
  <c r="G111"/>
  <c r="AG110"/>
  <c r="AC71"/>
  <c r="AY59" i="13"/>
  <c r="N69"/>
  <c r="AR114" i="14"/>
  <c r="X68"/>
  <c r="AM77"/>
  <c r="C61" i="13"/>
  <c r="G21"/>
  <c r="H61" s="1"/>
  <c r="O21"/>
  <c r="S21"/>
  <c r="T61" s="1"/>
  <c r="AX99"/>
  <c r="AA117" i="14"/>
  <c r="S112"/>
  <c r="X77"/>
  <c r="W77"/>
  <c r="AB78"/>
  <c r="K117"/>
  <c r="F99" i="13"/>
  <c r="AB118" i="14"/>
  <c r="W118"/>
  <c r="AB99" i="13"/>
  <c r="D59"/>
  <c r="O117" i="14"/>
  <c r="P77"/>
  <c r="O77"/>
  <c r="T116"/>
  <c r="Q76"/>
  <c r="P76"/>
  <c r="P116"/>
  <c r="T71"/>
  <c r="U71"/>
  <c r="U114"/>
  <c r="U74"/>
  <c r="AK74"/>
  <c r="AW68"/>
  <c r="R120"/>
  <c r="R80"/>
  <c r="S80"/>
  <c r="AF76"/>
  <c r="AG76"/>
  <c r="AL117"/>
  <c r="AH117"/>
  <c r="AU80"/>
  <c r="AU120"/>
  <c r="AV80"/>
  <c r="AV76"/>
  <c r="AL114"/>
  <c r="AM74"/>
  <c r="AP114"/>
  <c r="AL74"/>
  <c r="AA74"/>
  <c r="Z114"/>
  <c r="BC116"/>
  <c r="B33"/>
  <c r="T113" i="13"/>
  <c r="V74" i="14"/>
  <c r="E75"/>
  <c r="Q70"/>
  <c r="Q110"/>
  <c r="U110"/>
  <c r="Q73" i="13"/>
  <c r="E77" i="14"/>
  <c r="I117"/>
  <c r="B26"/>
  <c r="C66" s="1"/>
  <c r="C68"/>
  <c r="F108"/>
  <c r="E74"/>
  <c r="D74"/>
  <c r="AO70"/>
  <c r="AN70"/>
  <c r="Y114"/>
  <c r="AC114"/>
  <c r="Y74"/>
  <c r="AP118"/>
  <c r="AQ75"/>
  <c r="AU115"/>
  <c r="AQ115"/>
  <c r="X72"/>
  <c r="Y72"/>
  <c r="Z80"/>
  <c r="Z120"/>
  <c r="AD120"/>
  <c r="AO118"/>
  <c r="AS118"/>
  <c r="AO78"/>
  <c r="AW75"/>
  <c r="AV75"/>
  <c r="AV115"/>
  <c r="P107"/>
  <c r="T107"/>
  <c r="N120"/>
  <c r="N80"/>
  <c r="O80"/>
  <c r="L78"/>
  <c r="M78"/>
  <c r="L118"/>
  <c r="M112"/>
  <c r="Q112"/>
  <c r="M72"/>
  <c r="I120"/>
  <c r="M120"/>
  <c r="R106" i="13"/>
  <c r="N66"/>
  <c r="G110" i="14"/>
  <c r="G70"/>
  <c r="Q118"/>
  <c r="J80"/>
  <c r="J120"/>
  <c r="P112"/>
  <c r="P72"/>
  <c r="AJ116"/>
  <c r="AJ76"/>
  <c r="AK76"/>
  <c r="W68"/>
  <c r="Z108"/>
  <c r="AD71"/>
  <c r="AC111"/>
  <c r="W120"/>
  <c r="X80"/>
  <c r="W80"/>
  <c r="X75"/>
  <c r="AB115"/>
  <c r="X115"/>
  <c r="AG118"/>
  <c r="AG78"/>
  <c r="AZ116"/>
  <c r="AZ76"/>
  <c r="F74"/>
  <c r="F114"/>
  <c r="G74"/>
  <c r="S78"/>
  <c r="R78"/>
  <c r="N77"/>
  <c r="N117"/>
  <c r="R117"/>
  <c r="P75"/>
  <c r="S115"/>
  <c r="R73" i="13"/>
  <c r="BA76" i="14"/>
  <c r="BA116"/>
  <c r="BB76"/>
  <c r="AG116"/>
  <c r="AC116"/>
  <c r="K120"/>
  <c r="K80"/>
  <c r="O120"/>
  <c r="P113" i="13"/>
  <c r="P73"/>
  <c r="G80" i="14"/>
  <c r="G120"/>
  <c r="H118"/>
  <c r="E78"/>
  <c r="O74"/>
  <c r="M67"/>
  <c r="N67"/>
  <c r="Y111"/>
  <c r="Y71"/>
  <c r="AX72"/>
  <c r="AW112"/>
  <c r="AW72"/>
  <c r="BA112"/>
  <c r="D80"/>
  <c r="E80"/>
  <c r="H72"/>
  <c r="I72"/>
  <c r="AR67" i="13"/>
  <c r="AA80" i="14"/>
  <c r="V118"/>
  <c r="R72"/>
  <c r="N106"/>
  <c r="AR75"/>
  <c r="T39" i="13"/>
  <c r="BH110"/>
  <c r="BH77"/>
  <c r="Z74" i="14"/>
  <c r="AT67" i="13"/>
  <c r="AP78" i="14"/>
  <c r="Z118"/>
  <c r="N112"/>
  <c r="V112"/>
  <c r="V108"/>
  <c r="AR110"/>
  <c r="E66" i="13"/>
  <c r="AA120" i="14"/>
  <c r="Q72"/>
  <c r="R111"/>
  <c r="AK118"/>
  <c r="C21" i="23"/>
  <c r="C70" s="1"/>
  <c r="N25" i="6"/>
  <c r="O25"/>
  <c r="D17" i="21" s="1"/>
  <c r="N8" i="6"/>
  <c r="C4" i="23"/>
  <c r="C53" s="1"/>
  <c r="C12"/>
  <c r="C61" s="1"/>
  <c r="N17" i="6"/>
  <c r="O16"/>
  <c r="D8" i="21" s="1"/>
  <c r="N24" i="6"/>
  <c r="C20" i="23"/>
  <c r="C69" s="1"/>
  <c r="O24" i="6"/>
  <c r="D16" i="21" s="1"/>
  <c r="N9" i="6"/>
  <c r="C17" i="23"/>
  <c r="C66" s="1"/>
  <c r="N22" i="6"/>
  <c r="N21"/>
  <c r="Q29"/>
  <c r="N30"/>
  <c r="N29"/>
  <c r="C25" i="23"/>
  <c r="C74" s="1"/>
  <c r="O29" i="6"/>
  <c r="D21" i="21" s="1"/>
  <c r="O12" i="6"/>
  <c r="D4" i="21" s="1"/>
  <c r="N12" i="6"/>
  <c r="C8" i="23"/>
  <c r="C57" s="1"/>
  <c r="O20" i="6"/>
  <c r="D12" i="21" s="1"/>
  <c r="N20" i="6"/>
  <c r="C16" i="23"/>
  <c r="C65" s="1"/>
  <c r="Q28" i="6"/>
  <c r="C24" i="23"/>
  <c r="C73" s="1"/>
  <c r="O32" i="6"/>
  <c r="D24" i="21" s="1"/>
  <c r="O28" i="6"/>
  <c r="D20" i="21" s="1"/>
  <c r="B50"/>
  <c r="C49"/>
  <c r="B49"/>
  <c r="F101" i="13"/>
  <c r="F61"/>
  <c r="H101"/>
  <c r="J101"/>
  <c r="J61"/>
  <c r="L61"/>
  <c r="L101"/>
  <c r="N101"/>
  <c r="N61"/>
  <c r="R101"/>
  <c r="V101"/>
  <c r="R61"/>
  <c r="AH99"/>
  <c r="AH21"/>
  <c r="AH59"/>
  <c r="AI59"/>
  <c r="AL99"/>
  <c r="AL21"/>
  <c r="AM59"/>
  <c r="AL59"/>
  <c r="AP99"/>
  <c r="AP21"/>
  <c r="AP59"/>
  <c r="AQ59"/>
  <c r="K114" i="14"/>
  <c r="O114"/>
  <c r="L74"/>
  <c r="T72"/>
  <c r="X112"/>
  <c r="T112"/>
  <c r="AE67"/>
  <c r="D61" i="13"/>
  <c r="X101"/>
  <c r="G101"/>
  <c r="G61"/>
  <c r="I101"/>
  <c r="I61"/>
  <c r="M101"/>
  <c r="M61"/>
  <c r="Q101"/>
  <c r="U101"/>
  <c r="U61"/>
  <c r="V61"/>
  <c r="Y101"/>
  <c r="AA59"/>
  <c r="Z21"/>
  <c r="Z59"/>
  <c r="Z99"/>
  <c r="AJ99"/>
  <c r="AK59"/>
  <c r="AJ59"/>
  <c r="AJ21"/>
  <c r="AN99"/>
  <c r="AO59"/>
  <c r="AN21"/>
  <c r="AN59"/>
  <c r="AT99"/>
  <c r="AT21"/>
  <c r="AT59"/>
  <c r="AR99"/>
  <c r="AD99"/>
  <c r="BJ27"/>
  <c r="BM27"/>
  <c r="BQ107" s="1"/>
  <c r="AB107"/>
  <c r="AB26"/>
  <c r="AC66" s="1"/>
  <c r="AB67"/>
  <c r="AJ67" i="14"/>
  <c r="AJ26" i="13"/>
  <c r="AJ66" s="1"/>
  <c r="AN107"/>
  <c r="BC107"/>
  <c r="AY107"/>
  <c r="AY26"/>
  <c r="AY67"/>
  <c r="AS107"/>
  <c r="AS67"/>
  <c r="AS26"/>
  <c r="M21" i="12"/>
  <c r="M80" s="1"/>
  <c r="M78"/>
  <c r="J21"/>
  <c r="J78"/>
  <c r="J58"/>
  <c r="J115" i="14"/>
  <c r="F75"/>
  <c r="F115"/>
  <c r="D33"/>
  <c r="H116"/>
  <c r="D76"/>
  <c r="P68"/>
  <c r="Q68"/>
  <c r="T108"/>
  <c r="N106" i="13"/>
  <c r="BH78"/>
  <c r="BH75"/>
  <c r="BH117"/>
  <c r="BI78"/>
  <c r="BH74"/>
  <c r="BH111"/>
  <c r="BH115"/>
  <c r="BI110"/>
  <c r="Z107"/>
  <c r="Z67"/>
  <c r="Z26"/>
  <c r="AA66" s="1"/>
  <c r="AR107"/>
  <c r="AR26"/>
  <c r="AK67"/>
  <c r="AK26"/>
  <c r="AO107"/>
  <c r="AK107"/>
  <c r="BB107"/>
  <c r="AX26"/>
  <c r="AX67"/>
  <c r="I21" i="12"/>
  <c r="I80" s="1"/>
  <c r="I78"/>
  <c r="N78"/>
  <c r="N21"/>
  <c r="N58"/>
  <c r="W114" i="14"/>
  <c r="T74"/>
  <c r="S114"/>
  <c r="R115"/>
  <c r="O75"/>
  <c r="N115"/>
  <c r="N75"/>
  <c r="Q116"/>
  <c r="N76"/>
  <c r="M76"/>
  <c r="T106" i="13"/>
  <c r="AA67"/>
  <c r="K66"/>
  <c r="V114" i="14"/>
  <c r="S74"/>
  <c r="R114"/>
  <c r="R74"/>
  <c r="J70"/>
  <c r="J110"/>
  <c r="BC107"/>
  <c r="W110"/>
  <c r="S110"/>
  <c r="BI116" i="13"/>
  <c r="BH114"/>
  <c r="BI70"/>
  <c r="C41" i="9"/>
  <c r="B55" s="1"/>
  <c r="F42"/>
  <c r="C60" s="1"/>
  <c r="H22" i="4"/>
  <c r="H21"/>
  <c r="I21"/>
  <c r="N18"/>
  <c r="L43"/>
  <c r="L53" s="1"/>
  <c r="H54"/>
  <c r="L18"/>
  <c r="L35" s="1"/>
  <c r="N43"/>
  <c r="C51" i="21"/>
  <c r="B51"/>
  <c r="C48"/>
  <c r="B48"/>
  <c r="AF21" i="14"/>
  <c r="AF59"/>
  <c r="AF99"/>
  <c r="AJ99"/>
  <c r="BA59"/>
  <c r="AZ21"/>
  <c r="AZ59"/>
  <c r="AZ99"/>
  <c r="BD99"/>
  <c r="BI118" i="13"/>
  <c r="BI29"/>
  <c r="BI120"/>
  <c r="BI117"/>
  <c r="BI107"/>
  <c r="M41" i="26"/>
  <c r="V41" s="1"/>
  <c r="B355"/>
  <c r="A358"/>
  <c r="A374"/>
  <c r="A63"/>
  <c r="L59"/>
  <c r="L93"/>
  <c r="C355" s="1"/>
  <c r="K3"/>
  <c r="I22"/>
  <c r="F283" s="1"/>
  <c r="L200"/>
  <c r="L177"/>
  <c r="E373"/>
  <c r="AV99" i="13"/>
  <c r="AW59"/>
  <c r="AV59"/>
  <c r="AV21"/>
  <c r="BI59"/>
  <c r="BI21"/>
  <c r="BM101" s="1"/>
  <c r="AZ99"/>
  <c r="AZ59"/>
  <c r="AZ21"/>
  <c r="BD99"/>
  <c r="BI71" i="14"/>
  <c r="BC21" i="13"/>
  <c r="BC59"/>
  <c r="BG99"/>
  <c r="BC99"/>
  <c r="BD110" i="14"/>
  <c r="AQ112"/>
  <c r="AQ72"/>
  <c r="AY112"/>
  <c r="AY72"/>
  <c r="AU112"/>
  <c r="AU72"/>
  <c r="F71"/>
  <c r="F111"/>
  <c r="C39" i="13"/>
  <c r="C69"/>
  <c r="G80" i="12"/>
  <c r="F60"/>
  <c r="F80"/>
  <c r="T70" i="14"/>
  <c r="U70"/>
  <c r="T110"/>
  <c r="G71"/>
  <c r="U72"/>
  <c r="V72"/>
  <c r="Y112"/>
  <c r="U112"/>
  <c r="BB72"/>
  <c r="BB112"/>
  <c r="BF112"/>
  <c r="Q69" i="13"/>
  <c r="P39"/>
  <c r="T109"/>
  <c r="U69"/>
  <c r="M66"/>
  <c r="L66"/>
  <c r="P106"/>
  <c r="L68" i="14"/>
  <c r="P108"/>
  <c r="BI33" i="13"/>
  <c r="BH76"/>
  <c r="BH80"/>
  <c r="BH70"/>
  <c r="BH72"/>
  <c r="BH67"/>
  <c r="BE117" i="14"/>
  <c r="BF116"/>
  <c r="AA68"/>
  <c r="AB68"/>
  <c r="AA108"/>
  <c r="AF68"/>
  <c r="AI108"/>
  <c r="AE68"/>
  <c r="AE108"/>
  <c r="BD117"/>
  <c r="BC108"/>
  <c r="BI67" i="13"/>
  <c r="BI115"/>
  <c r="BI71"/>
  <c r="BI114"/>
  <c r="BH107"/>
  <c r="BI77"/>
  <c r="BE115" i="14"/>
  <c r="BF115"/>
  <c r="BB75"/>
  <c r="BE116"/>
  <c r="AA106" i="13"/>
  <c r="AP68" i="14"/>
  <c r="AO108"/>
  <c r="AT68"/>
  <c r="AS108"/>
  <c r="AW108"/>
  <c r="AS68"/>
  <c r="AE110"/>
  <c r="AI110"/>
  <c r="AE70"/>
  <c r="AX70"/>
  <c r="AX110"/>
  <c r="AG72"/>
  <c r="AH72"/>
  <c r="AP72"/>
  <c r="AO72"/>
  <c r="AS112"/>
  <c r="BE112"/>
  <c r="BC112"/>
  <c r="BD116"/>
  <c r="AD68"/>
  <c r="AC68"/>
  <c r="AG108"/>
  <c r="AK108"/>
  <c r="AG68"/>
  <c r="AM68"/>
  <c r="AM108"/>
  <c r="AQ108"/>
  <c r="AK70"/>
  <c r="AJ70"/>
  <c r="AN110"/>
  <c r="P88" i="12"/>
  <c r="P151"/>
  <c r="P85"/>
  <c r="P148"/>
  <c r="I100"/>
  <c r="M100"/>
  <c r="O100"/>
  <c r="O60"/>
  <c r="G60"/>
  <c r="K60"/>
  <c r="K100"/>
  <c r="P155"/>
  <c r="P92"/>
  <c r="N100"/>
  <c r="BI68" i="13"/>
  <c r="BI75"/>
  <c r="BI111"/>
  <c r="BI74"/>
  <c r="BI72"/>
  <c r="J100" i="12"/>
  <c r="BG114" i="13"/>
  <c r="BG74" i="14"/>
  <c r="BG33" i="13"/>
  <c r="BG74"/>
  <c r="BH33"/>
  <c r="BH116"/>
  <c r="BG118"/>
  <c r="BG78" i="14"/>
  <c r="BG78" i="13"/>
  <c r="BG71"/>
  <c r="BG111"/>
  <c r="BG71" i="14"/>
  <c r="BG68"/>
  <c r="BG68" i="13"/>
  <c r="BG108"/>
  <c r="AC67" i="14"/>
  <c r="AC107"/>
  <c r="AD67"/>
  <c r="AG107"/>
  <c r="BG120" i="13"/>
  <c r="BG80" i="14"/>
  <c r="BG80" i="13"/>
  <c r="BG75" i="14"/>
  <c r="BG75" i="13"/>
  <c r="BG77"/>
  <c r="BG117"/>
  <c r="BG77" i="14"/>
  <c r="BH29" i="13"/>
  <c r="BJ29"/>
  <c r="BG72"/>
  <c r="BG112"/>
  <c r="BG72" i="14"/>
  <c r="BG107" i="13"/>
  <c r="BG26"/>
  <c r="BG67"/>
  <c r="BK26"/>
  <c r="AM106"/>
  <c r="BJ33"/>
  <c r="BG116"/>
  <c r="BG76" i="14"/>
  <c r="BG76" i="13"/>
  <c r="AI107" i="14"/>
  <c r="AZ107"/>
  <c r="AZ67"/>
  <c r="BH120" i="13"/>
  <c r="BG70"/>
  <c r="BG29"/>
  <c r="BG110"/>
  <c r="BG70" i="14"/>
  <c r="BH112" i="13"/>
  <c r="BH26"/>
  <c r="AM107" i="14"/>
  <c r="AN67"/>
  <c r="BI26" i="13"/>
  <c r="O38" i="6"/>
  <c r="D30" i="21" s="1"/>
  <c r="N38" i="6"/>
  <c r="S20"/>
  <c r="M108" i="14"/>
  <c r="M68"/>
  <c r="N68"/>
  <c r="Q108"/>
  <c r="BI111"/>
  <c r="BI117"/>
  <c r="AK106" i="13" l="1"/>
  <c r="BY71" i="14"/>
  <c r="BY111"/>
  <c r="BT119"/>
  <c r="BT79"/>
  <c r="BY73"/>
  <c r="BY113"/>
  <c r="BU79"/>
  <c r="BY29"/>
  <c r="A13" i="4"/>
  <c r="A27"/>
  <c r="C87" s="1"/>
  <c r="I34"/>
  <c r="L34"/>
  <c r="O21" i="6"/>
  <c r="D13" i="21" s="1"/>
  <c r="C26" i="23"/>
  <c r="C75" s="1"/>
  <c r="N31" i="6"/>
  <c r="O17"/>
  <c r="D9" i="21" s="1"/>
  <c r="T93" i="12"/>
  <c r="T33"/>
  <c r="T92" s="1"/>
  <c r="BY73" i="13"/>
  <c r="BY113"/>
  <c r="T29" i="12"/>
  <c r="T88" s="1"/>
  <c r="BY69" i="13"/>
  <c r="BY109"/>
  <c r="BU121"/>
  <c r="BU81"/>
  <c r="BS79" i="14"/>
  <c r="Q41" i="6"/>
  <c r="N16"/>
  <c r="C23" i="23"/>
  <c r="C72" s="1"/>
  <c r="N15" i="6"/>
  <c r="O27"/>
  <c r="D19" i="21" s="1"/>
  <c r="S18" i="6"/>
  <c r="Q42"/>
  <c r="N28"/>
  <c r="S15"/>
  <c r="T16" s="1"/>
  <c r="BM61" i="14"/>
  <c r="BP101"/>
  <c r="BS41"/>
  <c r="BS119"/>
  <c r="BR41"/>
  <c r="BR119"/>
  <c r="BT121" i="13"/>
  <c r="BT81"/>
  <c r="BT41" i="14"/>
  <c r="BU81" s="1"/>
  <c r="BS81" i="13"/>
  <c r="BS121"/>
  <c r="BL101"/>
  <c r="BL61"/>
  <c r="BP101"/>
  <c r="BM61"/>
  <c r="BJ101"/>
  <c r="BJ61"/>
  <c r="BN101"/>
  <c r="BK101"/>
  <c r="BK61"/>
  <c r="BO101"/>
  <c r="K34" i="4"/>
  <c r="I32"/>
  <c r="I35"/>
  <c r="K35"/>
  <c r="L32"/>
  <c r="K32"/>
  <c r="K33"/>
  <c r="I33"/>
  <c r="L33"/>
  <c r="N53"/>
  <c r="O26" i="6"/>
  <c r="D18" i="21" s="1"/>
  <c r="N13" i="17"/>
  <c r="N27" i="6"/>
  <c r="O22"/>
  <c r="D14" i="21" s="1"/>
  <c r="C22" i="23"/>
  <c r="C71" s="1"/>
  <c r="N14" i="6"/>
  <c r="Q26"/>
  <c r="O30"/>
  <c r="D22" i="21" s="1"/>
  <c r="N18" i="6"/>
  <c r="N26"/>
  <c r="N19"/>
  <c r="C10" i="23"/>
  <c r="C59" s="1"/>
  <c r="N12" i="17"/>
  <c r="D24" i="23"/>
  <c r="D73" s="1"/>
  <c r="O37" i="19"/>
  <c r="G29" i="21" s="1"/>
  <c r="N34" i="19"/>
  <c r="BN68" i="14"/>
  <c r="BQ108"/>
  <c r="BN74"/>
  <c r="BQ114"/>
  <c r="BN72"/>
  <c r="BQ112"/>
  <c r="BN78"/>
  <c r="BQ118"/>
  <c r="BN76"/>
  <c r="BQ116"/>
  <c r="AC39" i="13"/>
  <c r="AC41" s="1"/>
  <c r="BN71" i="14"/>
  <c r="BQ111"/>
  <c r="BN77"/>
  <c r="BQ117"/>
  <c r="BJ74"/>
  <c r="BN114"/>
  <c r="O11" i="17"/>
  <c r="E3" i="21" s="1"/>
  <c r="O32" i="17"/>
  <c r="E24" i="21" s="1"/>
  <c r="O28" i="17"/>
  <c r="E20" i="21" s="1"/>
  <c r="D20" i="23"/>
  <c r="D69" s="1"/>
  <c r="O13" i="17"/>
  <c r="E5" i="21" s="1"/>
  <c r="N37" i="17"/>
  <c r="Q37"/>
  <c r="S20"/>
  <c r="T20" s="1"/>
  <c r="O37"/>
  <c r="E29" i="21" s="1"/>
  <c r="N38" i="17"/>
  <c r="D9" i="23"/>
  <c r="D58" s="1"/>
  <c r="S14" i="17"/>
  <c r="O17"/>
  <c r="E9" i="21" s="1"/>
  <c r="J74" i="14"/>
  <c r="L39" i="13"/>
  <c r="M79" s="1"/>
  <c r="P109"/>
  <c r="BI39" i="14"/>
  <c r="BI41" s="1"/>
  <c r="E73" i="13"/>
  <c r="S109"/>
  <c r="L109"/>
  <c r="AB112" i="14"/>
  <c r="G39" i="13"/>
  <c r="G41" s="1"/>
  <c r="O112" i="14"/>
  <c r="BC68"/>
  <c r="Q39" i="13"/>
  <c r="Q41" s="1"/>
  <c r="Q121" s="1"/>
  <c r="B39"/>
  <c r="B41" s="1"/>
  <c r="K112" i="14"/>
  <c r="K69" i="13"/>
  <c r="Q114" i="14"/>
  <c r="P120"/>
  <c r="I115"/>
  <c r="W66" i="13"/>
  <c r="Y113"/>
  <c r="S66"/>
  <c r="V71" i="14"/>
  <c r="M74"/>
  <c r="AB109" i="13"/>
  <c r="BC33" i="14"/>
  <c r="BC39" s="1"/>
  <c r="BC41" s="1"/>
  <c r="AO66" i="13"/>
  <c r="M118" i="14"/>
  <c r="AA73" i="13"/>
  <c r="Y69"/>
  <c r="BK26" i="14"/>
  <c r="BO106" s="1"/>
  <c r="J39" i="13"/>
  <c r="J41" s="1"/>
  <c r="O21" i="17"/>
  <c r="E13" i="21" s="1"/>
  <c r="BH39" i="14"/>
  <c r="BH41" s="1"/>
  <c r="BG39"/>
  <c r="BG41" s="1"/>
  <c r="AI69"/>
  <c r="AK69" i="13"/>
  <c r="BM35" i="14"/>
  <c r="BM115" i="13"/>
  <c r="BN75"/>
  <c r="BM75"/>
  <c r="BK35" i="14"/>
  <c r="BK33" s="1"/>
  <c r="BO113" s="1"/>
  <c r="BK75" i="13"/>
  <c r="BK115"/>
  <c r="BO115"/>
  <c r="BJ73"/>
  <c r="BJ113"/>
  <c r="BL35" i="14"/>
  <c r="BL75" i="13"/>
  <c r="BL115"/>
  <c r="BJ33" i="14"/>
  <c r="BN113" s="1"/>
  <c r="BL30"/>
  <c r="BL70" i="13"/>
  <c r="BL110"/>
  <c r="BK30" i="14"/>
  <c r="BK110" i="13"/>
  <c r="BO110"/>
  <c r="BK70"/>
  <c r="BM30" i="14"/>
  <c r="BN70" i="13"/>
  <c r="BM70"/>
  <c r="BM110"/>
  <c r="BJ29" i="14"/>
  <c r="BN109" s="1"/>
  <c r="BJ109" i="13"/>
  <c r="BJ69"/>
  <c r="AS111" i="14"/>
  <c r="BJ27"/>
  <c r="BN107" i="13"/>
  <c r="BJ107"/>
  <c r="BJ67"/>
  <c r="BK106"/>
  <c r="BM27" i="14"/>
  <c r="BN67" i="13"/>
  <c r="BM67"/>
  <c r="BM107"/>
  <c r="BL27" i="14"/>
  <c r="BL67" i="13"/>
  <c r="BL107"/>
  <c r="AS106"/>
  <c r="BK67"/>
  <c r="O25" i="17"/>
  <c r="E17" i="21" s="1"/>
  <c r="N24" i="17"/>
  <c r="D25" i="23"/>
  <c r="D74" s="1"/>
  <c r="N29" i="17"/>
  <c r="Q40" i="6"/>
  <c r="O33" i="17"/>
  <c r="E25" i="21" s="1"/>
  <c r="N26" i="17"/>
  <c r="O23"/>
  <c r="E15" i="21" s="1"/>
  <c r="O29" i="17"/>
  <c r="E21" i="21" s="1"/>
  <c r="N30" i="17"/>
  <c r="D21" i="23"/>
  <c r="D70" s="1"/>
  <c r="O30" i="17"/>
  <c r="E22" i="21" s="1"/>
  <c r="N31" i="17"/>
  <c r="N25"/>
  <c r="S17"/>
  <c r="S18"/>
  <c r="T19" s="1"/>
  <c r="O34"/>
  <c r="E26" i="21" s="1"/>
  <c r="D26" i="23"/>
  <c r="D75" s="1"/>
  <c r="BJ61" i="14"/>
  <c r="AZ68"/>
  <c r="BA68"/>
  <c r="BK61"/>
  <c r="BJ101"/>
  <c r="BB68"/>
  <c r="X117"/>
  <c r="BD67"/>
  <c r="AM76"/>
  <c r="S108"/>
  <c r="N111"/>
  <c r="BD80"/>
  <c r="BI101" i="13"/>
  <c r="BE66"/>
  <c r="AU26" i="14"/>
  <c r="AU39" s="1"/>
  <c r="AU41" s="1"/>
  <c r="AQ66" i="13"/>
  <c r="P69"/>
  <c r="W108" i="14"/>
  <c r="AF112"/>
  <c r="O39" i="13"/>
  <c r="O41" s="1"/>
  <c r="J111" i="14"/>
  <c r="T118"/>
  <c r="I75"/>
  <c r="J71"/>
  <c r="AG115"/>
  <c r="AE69" i="13"/>
  <c r="J66"/>
  <c r="R113"/>
  <c r="J75" i="14"/>
  <c r="P118"/>
  <c r="N39" i="13"/>
  <c r="N41" s="1"/>
  <c r="N81" s="1"/>
  <c r="AT106"/>
  <c r="AP67" i="14"/>
  <c r="N70"/>
  <c r="AT115"/>
  <c r="AU75"/>
  <c r="U77"/>
  <c r="AG61" i="13"/>
  <c r="AF61"/>
  <c r="Q107" i="14"/>
  <c r="Q39"/>
  <c r="Q41" s="1"/>
  <c r="K61" i="13"/>
  <c r="Q106"/>
  <c r="S116" i="14"/>
  <c r="S77"/>
  <c r="M116"/>
  <c r="T76"/>
  <c r="O115"/>
  <c r="AP70"/>
  <c r="R67"/>
  <c r="R66" i="13"/>
  <c r="Z77" i="14"/>
  <c r="AI67"/>
  <c r="O111"/>
  <c r="W113" i="13"/>
  <c r="AA77" i="14"/>
  <c r="K74"/>
  <c r="N39"/>
  <c r="N41" s="1"/>
  <c r="AV107"/>
  <c r="AS67"/>
  <c r="T101" i="13"/>
  <c r="K72" i="14"/>
  <c r="M106" i="13"/>
  <c r="L80" i="14"/>
  <c r="I118"/>
  <c r="Q67"/>
  <c r="AF117"/>
  <c r="L120"/>
  <c r="BD106" i="13"/>
  <c r="O106"/>
  <c r="BD66"/>
  <c r="BA67" i="14"/>
  <c r="O78"/>
  <c r="X39" i="13"/>
  <c r="X41" s="1"/>
  <c r="Y76" i="14"/>
  <c r="J76"/>
  <c r="Z117"/>
  <c r="AH71"/>
  <c r="AJ74"/>
  <c r="V39"/>
  <c r="V41" s="1"/>
  <c r="L41"/>
  <c r="O66" i="13"/>
  <c r="AF67" i="14"/>
  <c r="AF70"/>
  <c r="D69" i="13"/>
  <c r="Q113"/>
  <c r="J69"/>
  <c r="S39"/>
  <c r="S41" s="1"/>
  <c r="S121" s="1"/>
  <c r="X73"/>
  <c r="N74" i="14"/>
  <c r="J78"/>
  <c r="AJ120"/>
  <c r="U118"/>
  <c r="T66" i="13"/>
  <c r="I66"/>
  <c r="V111" i="14"/>
  <c r="M109" i="13"/>
  <c r="X107" i="14"/>
  <c r="W69" i="13"/>
  <c r="V116" i="14"/>
  <c r="AR70"/>
  <c r="W67"/>
  <c r="V78"/>
  <c r="X110"/>
  <c r="J67"/>
  <c r="X33"/>
  <c r="J39"/>
  <c r="J41" s="1"/>
  <c r="V76"/>
  <c r="S106" i="13"/>
  <c r="U113"/>
  <c r="Z111" i="14"/>
  <c r="U108"/>
  <c r="V110"/>
  <c r="AC77"/>
  <c r="AG39" i="13"/>
  <c r="AG41" s="1"/>
  <c r="AQ70" i="14"/>
  <c r="AU110"/>
  <c r="AB117"/>
  <c r="U78"/>
  <c r="AN39"/>
  <c r="AN41" s="1"/>
  <c r="Z39"/>
  <c r="Z41" s="1"/>
  <c r="AE66" i="13"/>
  <c r="AJ69"/>
  <c r="BC120" i="14"/>
  <c r="AL73" i="13"/>
  <c r="BJ77" i="14"/>
  <c r="AV73" i="13"/>
  <c r="AT118" i="14"/>
  <c r="AK115"/>
  <c r="AI113" i="13"/>
  <c r="AF73"/>
  <c r="BA113"/>
  <c r="AU78" i="14"/>
  <c r="AP113" i="13"/>
  <c r="AQ39"/>
  <c r="AQ41" s="1"/>
  <c r="AZ74" i="14"/>
  <c r="AN113" i="13"/>
  <c r="AI114" i="14"/>
  <c r="AE118"/>
  <c r="AE78"/>
  <c r="AM39"/>
  <c r="AM41" s="1"/>
  <c r="AT33"/>
  <c r="AT39" s="1"/>
  <c r="AT41" s="1"/>
  <c r="AH69"/>
  <c r="AJ109" i="13"/>
  <c r="AG69"/>
  <c r="AL113"/>
  <c r="BC114" i="14"/>
  <c r="AN76"/>
  <c r="AY78"/>
  <c r="AT74"/>
  <c r="BF113" i="13"/>
  <c r="AI78" i="14"/>
  <c r="AY33"/>
  <c r="AY39" s="1"/>
  <c r="AY41" s="1"/>
  <c r="AR113" i="13"/>
  <c r="AN116" i="14"/>
  <c r="AY114"/>
  <c r="AI118"/>
  <c r="AX118"/>
  <c r="BC118"/>
  <c r="AU73" i="13"/>
  <c r="AK73"/>
  <c r="BC113"/>
  <c r="AU113"/>
  <c r="AZ114" i="14"/>
  <c r="BF114"/>
  <c r="AT77"/>
  <c r="AS39"/>
  <c r="AS41" s="1"/>
  <c r="AR69" i="13"/>
  <c r="AF69"/>
  <c r="AP39" i="14"/>
  <c r="AP41" s="1"/>
  <c r="AV109" i="13"/>
  <c r="AL69"/>
  <c r="AD66"/>
  <c r="AP106"/>
  <c r="BE68" i="14"/>
  <c r="AL107"/>
  <c r="AL39" i="13"/>
  <c r="AL41" s="1"/>
  <c r="BA106"/>
  <c r="AL106"/>
  <c r="AN120" i="14"/>
  <c r="AK80"/>
  <c r="AE75"/>
  <c r="AD75"/>
  <c r="BJ116"/>
  <c r="BC115"/>
  <c r="BJ76"/>
  <c r="AO113" i="13"/>
  <c r="AH77" i="14"/>
  <c r="AI74"/>
  <c r="AG77"/>
  <c r="AQ77"/>
  <c r="AW117"/>
  <c r="AG33"/>
  <c r="AG39" s="1"/>
  <c r="AG41" s="1"/>
  <c r="BK76"/>
  <c r="AJ113" i="13"/>
  <c r="AH78" i="14"/>
  <c r="AV74"/>
  <c r="AF78"/>
  <c r="AP76"/>
  <c r="AD115"/>
  <c r="AP117"/>
  <c r="AY113" i="13"/>
  <c r="AK113"/>
  <c r="AG117" i="14"/>
  <c r="AT117"/>
  <c r="AR109" i="13"/>
  <c r="AS69"/>
  <c r="AF110" i="14"/>
  <c r="AI109" i="13"/>
  <c r="BA70" i="14"/>
  <c r="AH109" i="13"/>
  <c r="AP69"/>
  <c r="AV69"/>
  <c r="AG111" i="14"/>
  <c r="AZ39"/>
  <c r="AZ41" s="1"/>
  <c r="AJ110"/>
  <c r="AG70"/>
  <c r="AD109" i="13"/>
  <c r="AO71" i="14"/>
  <c r="AE109" i="13"/>
  <c r="AQ39" i="14"/>
  <c r="AQ41" s="1"/>
  <c r="BB29"/>
  <c r="BB39" s="1"/>
  <c r="BB41" s="1"/>
  <c r="AM109" i="13"/>
  <c r="BE109"/>
  <c r="BJ71" i="14"/>
  <c r="I60" i="12"/>
  <c r="AQ109" i="13"/>
  <c r="AL111" i="14"/>
  <c r="BB110"/>
  <c r="AM71"/>
  <c r="AU71"/>
  <c r="AL71"/>
  <c r="AG71"/>
  <c r="AY71"/>
  <c r="AX109" i="13"/>
  <c r="AE39"/>
  <c r="AE41" s="1"/>
  <c r="AI66"/>
  <c r="AP66"/>
  <c r="AR67" i="14"/>
  <c r="AH26"/>
  <c r="AH106" s="1"/>
  <c r="AE106" i="13"/>
  <c r="BC39"/>
  <c r="BC41" s="1"/>
  <c r="AJ108" i="14"/>
  <c r="AW33"/>
  <c r="AW39" s="1"/>
  <c r="AW41" s="1"/>
  <c r="BD33"/>
  <c r="BD39" s="1"/>
  <c r="BD41" s="1"/>
  <c r="AF39"/>
  <c r="AF41" s="1"/>
  <c r="O39"/>
  <c r="O41" s="1"/>
  <c r="BM76"/>
  <c r="BM117"/>
  <c r="S26"/>
  <c r="S66" s="1"/>
  <c r="S68"/>
  <c r="BM80"/>
  <c r="B249" i="26"/>
  <c r="B375"/>
  <c r="BM120" i="14"/>
  <c r="BE69" i="13"/>
  <c r="AC69"/>
  <c r="AG67" i="14"/>
  <c r="Z116"/>
  <c r="AY115"/>
  <c r="U33"/>
  <c r="U39" s="1"/>
  <c r="U41" s="1"/>
  <c r="AR33"/>
  <c r="AR39" s="1"/>
  <c r="AR41" s="1"/>
  <c r="AB72"/>
  <c r="AR107"/>
  <c r="T117"/>
  <c r="U107"/>
  <c r="BL101"/>
  <c r="BL61"/>
  <c r="B254" i="26"/>
  <c r="B380"/>
  <c r="B253"/>
  <c r="B379"/>
  <c r="BM72" i="14"/>
  <c r="B250" i="26"/>
  <c r="B376"/>
  <c r="B257"/>
  <c r="B383"/>
  <c r="K33" i="14"/>
  <c r="K39" s="1"/>
  <c r="K41" s="1"/>
  <c r="L75"/>
  <c r="AK29"/>
  <c r="AK39" s="1"/>
  <c r="AK41" s="1"/>
  <c r="M114"/>
  <c r="K71"/>
  <c r="AP71"/>
  <c r="I33"/>
  <c r="I39" s="1"/>
  <c r="I41" s="1"/>
  <c r="AB33"/>
  <c r="AB39" s="1"/>
  <c r="AB41" s="1"/>
  <c r="AI33"/>
  <c r="AI39" s="1"/>
  <c r="AI41" s="1"/>
  <c r="S33"/>
  <c r="W113" s="1"/>
  <c r="W39"/>
  <c r="W41" s="1"/>
  <c r="AE39"/>
  <c r="AE41" s="1"/>
  <c r="AD33"/>
  <c r="AD39" s="1"/>
  <c r="AD41" s="1"/>
  <c r="AL29"/>
  <c r="AL39" s="1"/>
  <c r="AL41" s="1"/>
  <c r="B255" i="26"/>
  <c r="B381"/>
  <c r="AJ26" i="14"/>
  <c r="AJ39" s="1"/>
  <c r="AJ41" s="1"/>
  <c r="AJ68"/>
  <c r="B385" i="26"/>
  <c r="B259"/>
  <c r="X106" i="13"/>
  <c r="X66"/>
  <c r="BM77" i="14"/>
  <c r="B252" i="26"/>
  <c r="B378"/>
  <c r="BM78" i="14"/>
  <c r="BM118"/>
  <c r="BM114"/>
  <c r="BM74"/>
  <c r="BM108"/>
  <c r="BM68"/>
  <c r="L72"/>
  <c r="AH67"/>
  <c r="BA33"/>
  <c r="BA39" s="1"/>
  <c r="BA41" s="1"/>
  <c r="AX33"/>
  <c r="AX39" s="1"/>
  <c r="AX41" s="1"/>
  <c r="AP77"/>
  <c r="AV114"/>
  <c r="AQ110"/>
  <c r="AD117"/>
  <c r="B258" i="26"/>
  <c r="B384"/>
  <c r="BM112" i="14"/>
  <c r="BM116"/>
  <c r="BM71"/>
  <c r="BM111"/>
  <c r="X26"/>
  <c r="X106" s="1"/>
  <c r="Y67"/>
  <c r="B251" i="26"/>
  <c r="B377"/>
  <c r="BE33" i="14"/>
  <c r="BE39" s="1"/>
  <c r="BE41" s="1"/>
  <c r="BE74"/>
  <c r="P33"/>
  <c r="P39" s="1"/>
  <c r="P41" s="1"/>
  <c r="P78"/>
  <c r="AP109" i="13"/>
  <c r="AO39" i="14"/>
  <c r="AO41" s="1"/>
  <c r="AH33"/>
  <c r="B387" i="26"/>
  <c r="B261"/>
  <c r="L194"/>
  <c r="B386"/>
  <c r="B260"/>
  <c r="C387"/>
  <c r="L217"/>
  <c r="B247"/>
  <c r="C373"/>
  <c r="L216"/>
  <c r="L218"/>
  <c r="B373"/>
  <c r="L193"/>
  <c r="L195"/>
  <c r="C81"/>
  <c r="C83"/>
  <c r="C85"/>
  <c r="C87"/>
  <c r="C89"/>
  <c r="C82"/>
  <c r="C84"/>
  <c r="C86"/>
  <c r="C88"/>
  <c r="O31" i="17"/>
  <c r="E23" i="21" s="1"/>
  <c r="N28" i="17"/>
  <c r="O27"/>
  <c r="E19" i="21" s="1"/>
  <c r="Q27" i="17"/>
  <c r="N27"/>
  <c r="Q34" i="20"/>
  <c r="F30" i="23"/>
  <c r="F79" s="1"/>
  <c r="L22" i="20"/>
  <c r="N34"/>
  <c r="S20"/>
  <c r="N35"/>
  <c r="F31" i="23"/>
  <c r="F80" s="1"/>
  <c r="L23" i="20"/>
  <c r="O35"/>
  <c r="H27" i="21" s="1"/>
  <c r="Q35" i="20"/>
  <c r="E27" i="23"/>
  <c r="E76" s="1"/>
  <c r="L19" i="18"/>
  <c r="Q31"/>
  <c r="S19"/>
  <c r="G27" i="23"/>
  <c r="G76" s="1"/>
  <c r="S19" i="19"/>
  <c r="L19"/>
  <c r="Q31"/>
  <c r="L22"/>
  <c r="G30" i="23"/>
  <c r="G79" s="1"/>
  <c r="G33"/>
  <c r="G82" s="1"/>
  <c r="L20" i="19"/>
  <c r="G28" i="23"/>
  <c r="G77" s="1"/>
  <c r="N32" i="19"/>
  <c r="Q32"/>
  <c r="E33" i="23"/>
  <c r="E82" s="1"/>
  <c r="N37" i="18"/>
  <c r="Q37"/>
  <c r="O37"/>
  <c r="F29" i="21" s="1"/>
  <c r="L21" i="20"/>
  <c r="F29" i="23"/>
  <c r="F78" s="1"/>
  <c r="Q33" i="20"/>
  <c r="N33"/>
  <c r="E28" i="23"/>
  <c r="E77" s="1"/>
  <c r="N32" i="18"/>
  <c r="L20"/>
  <c r="Q32"/>
  <c r="F34" i="23"/>
  <c r="F83" s="1"/>
  <c r="O38" i="20"/>
  <c r="H30" i="21" s="1"/>
  <c r="N38" i="20"/>
  <c r="Q38"/>
  <c r="L21" i="18"/>
  <c r="E29" i="23"/>
  <c r="E78" s="1"/>
  <c r="N33" i="18"/>
  <c r="Q33"/>
  <c r="E34" i="23"/>
  <c r="E83" s="1"/>
  <c r="N38" i="18"/>
  <c r="O38"/>
  <c r="F30" i="21" s="1"/>
  <c r="Q38" i="18"/>
  <c r="F33" i="23"/>
  <c r="F82" s="1"/>
  <c r="Q37" i="20"/>
  <c r="O37"/>
  <c r="H29" i="21" s="1"/>
  <c r="N37" i="20"/>
  <c r="L24"/>
  <c r="F32" i="23"/>
  <c r="F81" s="1"/>
  <c r="Q36" i="20"/>
  <c r="N36"/>
  <c r="O36"/>
  <c r="H28" i="21" s="1"/>
  <c r="E30" i="23"/>
  <c r="E79" s="1"/>
  <c r="L22" i="18"/>
  <c r="Q34"/>
  <c r="N34"/>
  <c r="F27" i="23"/>
  <c r="F76" s="1"/>
  <c r="S19" i="20"/>
  <c r="Q31"/>
  <c r="L19"/>
  <c r="E32" i="23"/>
  <c r="E81" s="1"/>
  <c r="N36" i="18"/>
  <c r="O36"/>
  <c r="F28" i="21" s="1"/>
  <c r="L24" i="18"/>
  <c r="Q36"/>
  <c r="F28" i="23"/>
  <c r="F77" s="1"/>
  <c r="Q32" i="20"/>
  <c r="N32"/>
  <c r="L20"/>
  <c r="N33" i="19"/>
  <c r="Q33"/>
  <c r="L21"/>
  <c r="G29" i="23"/>
  <c r="G78" s="1"/>
  <c r="E31"/>
  <c r="E80" s="1"/>
  <c r="O35" i="18"/>
  <c r="F27" i="21" s="1"/>
  <c r="Q35" i="18"/>
  <c r="L23"/>
  <c r="N35"/>
  <c r="S20"/>
  <c r="G32" i="23"/>
  <c r="G81" s="1"/>
  <c r="L24" i="19"/>
  <c r="G28" i="21"/>
  <c r="G27"/>
  <c r="S20" i="19"/>
  <c r="L23"/>
  <c r="G31" i="23"/>
  <c r="G80" s="1"/>
  <c r="G34"/>
  <c r="G83" s="1"/>
  <c r="G30" i="21"/>
  <c r="O12" i="17"/>
  <c r="E4" i="21" s="1"/>
  <c r="O15" i="17"/>
  <c r="E7" i="21" s="1"/>
  <c r="BD108" i="14"/>
  <c r="J114"/>
  <c r="AD109"/>
  <c r="AZ108"/>
  <c r="N114"/>
  <c r="U116"/>
  <c r="V73" i="13"/>
  <c r="AN39"/>
  <c r="AN41" s="1"/>
  <c r="AM69"/>
  <c r="AH66"/>
  <c r="Y116" i="14"/>
  <c r="Z113" i="13"/>
  <c r="AD69"/>
  <c r="AQ73"/>
  <c r="AF109"/>
  <c r="AJ73"/>
  <c r="AT73"/>
  <c r="AN73"/>
  <c r="AZ69"/>
  <c r="BD109"/>
  <c r="BE113"/>
  <c r="BH67" i="14"/>
  <c r="BE106" i="13"/>
  <c r="AW39"/>
  <c r="AW41" s="1"/>
  <c r="AI69"/>
  <c r="BF69" i="14"/>
  <c r="BF69" i="13"/>
  <c r="W73"/>
  <c r="N73"/>
  <c r="W109"/>
  <c r="X69"/>
  <c r="AT113"/>
  <c r="BB73"/>
  <c r="AL109"/>
  <c r="AH69"/>
  <c r="AH106"/>
  <c r="S69"/>
  <c r="AP73"/>
  <c r="BF66"/>
  <c r="AU109"/>
  <c r="AG109"/>
  <c r="AV113"/>
  <c r="N8" i="17"/>
  <c r="N9"/>
  <c r="S70" i="14"/>
  <c r="Q61" i="13"/>
  <c r="Y73"/>
  <c r="AG73"/>
  <c r="AK109"/>
  <c r="F113"/>
  <c r="S61"/>
  <c r="AW73"/>
  <c r="E39"/>
  <c r="E41" s="1"/>
  <c r="X113"/>
  <c r="AU66"/>
  <c r="AI39"/>
  <c r="BB108" i="14"/>
  <c r="AK71"/>
  <c r="BC109" i="13"/>
  <c r="BE39"/>
  <c r="BE41" s="1"/>
  <c r="BF108" i="14"/>
  <c r="J106" i="13"/>
  <c r="X70" i="14"/>
  <c r="AD74"/>
  <c r="AQ113" i="13"/>
  <c r="AS117" i="14"/>
  <c r="AW113" i="13"/>
  <c r="AH73"/>
  <c r="V39"/>
  <c r="BA107" i="14"/>
  <c r="AS113" i="13"/>
  <c r="AA70" i="14"/>
  <c r="F66" i="13"/>
  <c r="G113"/>
  <c r="BB67" i="14"/>
  <c r="BE73" i="13"/>
  <c r="AG113"/>
  <c r="P61"/>
  <c r="H109"/>
  <c r="AO73"/>
  <c r="BF106"/>
  <c r="AV39"/>
  <c r="AV41" s="1"/>
  <c r="AF39"/>
  <c r="AF41" s="1"/>
  <c r="BB69"/>
  <c r="AX113"/>
  <c r="BB66"/>
  <c r="AS73"/>
  <c r="BD73"/>
  <c r="D39"/>
  <c r="D41" s="1"/>
  <c r="Q39" i="6"/>
  <c r="N19" i="17"/>
  <c r="O19"/>
  <c r="E11" i="21" s="1"/>
  <c r="N20" i="17"/>
  <c r="AQ107" i="14"/>
  <c r="D29"/>
  <c r="E69" s="1"/>
  <c r="X69"/>
  <c r="AX114"/>
  <c r="D26"/>
  <c r="H106" s="1"/>
  <c r="D71"/>
  <c r="AM109"/>
  <c r="H68"/>
  <c r="C61"/>
  <c r="O61"/>
  <c r="BD107"/>
  <c r="BC66"/>
  <c r="BK80"/>
  <c r="AH114"/>
  <c r="H111"/>
  <c r="I74"/>
  <c r="AS116"/>
  <c r="AU118"/>
  <c r="Y70"/>
  <c r="S111"/>
  <c r="P61"/>
  <c r="R70"/>
  <c r="N110"/>
  <c r="P71"/>
  <c r="AE74"/>
  <c r="AU70"/>
  <c r="F107"/>
  <c r="AU74"/>
  <c r="AW66"/>
  <c r="AY118"/>
  <c r="K69"/>
  <c r="R110"/>
  <c r="AB116"/>
  <c r="I67"/>
  <c r="BA106"/>
  <c r="P69"/>
  <c r="AB69"/>
  <c r="P109"/>
  <c r="AW67"/>
  <c r="BH78"/>
  <c r="BK78"/>
  <c r="BI75"/>
  <c r="F77"/>
  <c r="V67"/>
  <c r="J66"/>
  <c r="AT114"/>
  <c r="E26"/>
  <c r="K115"/>
  <c r="AB110"/>
  <c r="O70"/>
  <c r="N69"/>
  <c r="G61"/>
  <c r="I107"/>
  <c r="R69"/>
  <c r="AA69"/>
  <c r="AF116"/>
  <c r="AO112"/>
  <c r="BK71"/>
  <c r="O71"/>
  <c r="M107"/>
  <c r="BB74"/>
  <c r="G115"/>
  <c r="BA75"/>
  <c r="AA109"/>
  <c r="BH68"/>
  <c r="BK74"/>
  <c r="BH70"/>
  <c r="BH76"/>
  <c r="AG69"/>
  <c r="BB71"/>
  <c r="AU109"/>
  <c r="AV70"/>
  <c r="J107"/>
  <c r="AT69"/>
  <c r="BA117"/>
  <c r="BF67"/>
  <c r="F67"/>
  <c r="AW101"/>
  <c r="AW61"/>
  <c r="BJ70"/>
  <c r="BH74"/>
  <c r="BJ75"/>
  <c r="F26"/>
  <c r="J106" s="1"/>
  <c r="D61"/>
  <c r="AX71"/>
  <c r="BL68"/>
  <c r="L69"/>
  <c r="AO101"/>
  <c r="AO61"/>
  <c r="AP61"/>
  <c r="BH77"/>
  <c r="BI72"/>
  <c r="AV68"/>
  <c r="F69"/>
  <c r="AG109"/>
  <c r="BA114"/>
  <c r="BE75"/>
  <c r="AH101"/>
  <c r="BI80"/>
  <c r="BJ112"/>
  <c r="BJ72"/>
  <c r="BD71"/>
  <c r="BE71"/>
  <c r="BI68"/>
  <c r="BC111"/>
  <c r="BC71"/>
  <c r="BD118"/>
  <c r="BD78"/>
  <c r="BE78"/>
  <c r="BF110"/>
  <c r="BI70"/>
  <c r="F73" i="13"/>
  <c r="AT110" i="14"/>
  <c r="AN113"/>
  <c r="BF73" i="13"/>
  <c r="H39"/>
  <c r="H41" s="1"/>
  <c r="AH113"/>
  <c r="T73"/>
  <c r="BL78" i="14"/>
  <c r="BG67"/>
  <c r="BI74"/>
  <c r="BJ68"/>
  <c r="AK112"/>
  <c r="BD69" i="13"/>
  <c r="BC66"/>
  <c r="BD39"/>
  <c r="BD41" s="1"/>
  <c r="L108" i="14"/>
  <c r="L106" i="13"/>
  <c r="AY110" i="14"/>
  <c r="BD111"/>
  <c r="BH71"/>
  <c r="BK72"/>
  <c r="D73" i="13"/>
  <c r="BI76" i="14"/>
  <c r="Y108"/>
  <c r="I68"/>
  <c r="N113" i="13"/>
  <c r="AZ70" i="14"/>
  <c r="AW71"/>
  <c r="AW111"/>
  <c r="AH39" i="13"/>
  <c r="AH41" s="1"/>
  <c r="BA74" i="14"/>
  <c r="AH115"/>
  <c r="G33"/>
  <c r="G39" s="1"/>
  <c r="G41" s="1"/>
  <c r="BJ78"/>
  <c r="AZ75"/>
  <c r="AH74"/>
  <c r="BD115"/>
  <c r="BE67"/>
  <c r="BB39" i="13"/>
  <c r="BB41" s="1"/>
  <c r="BL71" i="14"/>
  <c r="BL72"/>
  <c r="BL76"/>
  <c r="AS109" i="13"/>
  <c r="H108" i="14"/>
  <c r="BI77"/>
  <c r="BI67"/>
  <c r="BJ120"/>
  <c r="BJ80"/>
  <c r="BL74"/>
  <c r="BC70"/>
  <c r="BH80"/>
  <c r="K39" i="13"/>
  <c r="BC73"/>
  <c r="AB113"/>
  <c r="AB76" i="14"/>
  <c r="J113" i="13"/>
  <c r="AP110" i="14"/>
  <c r="AR73" i="13"/>
  <c r="S73"/>
  <c r="K73"/>
  <c r="BI112" i="14"/>
  <c r="BH72"/>
  <c r="AY109" i="13"/>
  <c r="AC108" i="14"/>
  <c r="BE114"/>
  <c r="AG112"/>
  <c r="AY70"/>
  <c r="AB66" i="13"/>
  <c r="BI78" i="14"/>
  <c r="BB111"/>
  <c r="BC110"/>
  <c r="BF39" i="13"/>
  <c r="BK68" i="14"/>
  <c r="BH75"/>
  <c r="BK77"/>
  <c r="G75"/>
  <c r="U68"/>
  <c r="F68"/>
  <c r="AQ69" i="13"/>
  <c r="AT109"/>
  <c r="H69"/>
  <c r="L73"/>
  <c r="F106"/>
  <c r="R118" i="14"/>
  <c r="AD73" i="13"/>
  <c r="AT39"/>
  <c r="AT41" s="1"/>
  <c r="AU69"/>
  <c r="S113"/>
  <c r="H106"/>
  <c r="AG74" i="14"/>
  <c r="J109"/>
  <c r="Y39" i="13"/>
  <c r="Y41" s="1"/>
  <c r="J73"/>
  <c r="BL77" i="14"/>
  <c r="BL80"/>
  <c r="AQ67"/>
  <c r="BC74"/>
  <c r="BF68"/>
  <c r="T14" i="6"/>
  <c r="AD72" i="14"/>
  <c r="AY75"/>
  <c r="N118"/>
  <c r="V106"/>
  <c r="C78"/>
  <c r="AW66" i="13"/>
  <c r="AV109" i="14"/>
  <c r="AR66"/>
  <c r="AC112"/>
  <c r="BC69" i="13"/>
  <c r="AT107" i="14"/>
  <c r="BB70"/>
  <c r="AO39" i="13"/>
  <c r="AM39"/>
  <c r="AM41" s="1"/>
  <c r="Y109"/>
  <c r="M73"/>
  <c r="H80" i="14"/>
  <c r="AX75"/>
  <c r="N78"/>
  <c r="G77"/>
  <c r="AE73" i="13"/>
  <c r="AI73"/>
  <c r="AW118" i="14"/>
  <c r="I80"/>
  <c r="L114"/>
  <c r="H114"/>
  <c r="AM73"/>
  <c r="G118"/>
  <c r="I116"/>
  <c r="AL112"/>
  <c r="AY107"/>
  <c r="AO109" i="13"/>
  <c r="Z109"/>
  <c r="AK120" i="14"/>
  <c r="AV78"/>
  <c r="AA113"/>
  <c r="C73" i="13"/>
  <c r="H120" i="14"/>
  <c r="AT69" i="13"/>
  <c r="AX78" i="14"/>
  <c r="AZ73" i="13"/>
  <c r="AB69"/>
  <c r="AI68" i="14"/>
  <c r="AL108"/>
  <c r="AH108"/>
  <c r="AV67"/>
  <c r="AL72"/>
  <c r="N113"/>
  <c r="F33"/>
  <c r="F113" s="1"/>
  <c r="AQ113"/>
  <c r="J117"/>
  <c r="AD113" i="13"/>
  <c r="AH75" i="14"/>
  <c r="H33"/>
  <c r="L113" s="1"/>
  <c r="AY73" i="13"/>
  <c r="AC109"/>
  <c r="AM72" i="14"/>
  <c r="AM113" i="13"/>
  <c r="AI75" i="14"/>
  <c r="BA66" i="13"/>
  <c r="AZ106"/>
  <c r="AC72" i="14"/>
  <c r="AP66"/>
  <c r="AA39" i="13"/>
  <c r="AA41" s="1"/>
  <c r="R69"/>
  <c r="AV106"/>
  <c r="BA39"/>
  <c r="BA41" s="1"/>
  <c r="AW109"/>
  <c r="AS69" i="14"/>
  <c r="AP39" i="13"/>
  <c r="AD39"/>
  <c r="AD41" s="1"/>
  <c r="AM73"/>
  <c r="V107" i="14"/>
  <c r="C33"/>
  <c r="C73" s="1"/>
  <c r="Z69" i="13"/>
  <c r="V109"/>
  <c r="G69" i="14"/>
  <c r="O24" i="17"/>
  <c r="E16" i="21" s="1"/>
  <c r="T19" i="6"/>
  <c r="O16" i="17"/>
  <c r="E8" i="21" s="1"/>
  <c r="BB114" i="14"/>
  <c r="BL112"/>
  <c r="BK29" i="13"/>
  <c r="BL116" i="14"/>
  <c r="BL108"/>
  <c r="BI120"/>
  <c r="BB115"/>
  <c r="AY39" i="13"/>
  <c r="AX115" i="14"/>
  <c r="AX73" i="13"/>
  <c r="BL114" i="14"/>
  <c r="BB113" i="13"/>
  <c r="BD113"/>
  <c r="AZ39"/>
  <c r="AZ41" s="1"/>
  <c r="BL117" i="14"/>
  <c r="BA118"/>
  <c r="AZ113" i="13"/>
  <c r="BA73"/>
  <c r="BL111" i="14"/>
  <c r="BI107"/>
  <c r="AP80"/>
  <c r="AS120"/>
  <c r="AO80"/>
  <c r="AI80"/>
  <c r="AZ80"/>
  <c r="BD120"/>
  <c r="AW77"/>
  <c r="AX77"/>
  <c r="I113" i="13"/>
  <c r="M113"/>
  <c r="I39"/>
  <c r="I41" s="1"/>
  <c r="M121" s="1"/>
  <c r="AS76" i="14"/>
  <c r="G73" i="13"/>
  <c r="AC73"/>
  <c r="AF113"/>
  <c r="S117" i="14"/>
  <c r="I73" i="13"/>
  <c r="AV73" i="14"/>
  <c r="K113" i="13"/>
  <c r="AR76" i="14"/>
  <c r="AV116"/>
  <c r="T77"/>
  <c r="BA78"/>
  <c r="BE118"/>
  <c r="BB78"/>
  <c r="AO76"/>
  <c r="AK114"/>
  <c r="AZ112"/>
  <c r="BA72"/>
  <c r="E168" i="12"/>
  <c r="E176"/>
  <c r="E171"/>
  <c r="E166"/>
  <c r="E180"/>
  <c r="E178"/>
  <c r="E173"/>
  <c r="E174"/>
  <c r="E167"/>
  <c r="E181"/>
  <c r="E169"/>
  <c r="E172"/>
  <c r="E177"/>
  <c r="E170"/>
  <c r="E175"/>
  <c r="E179"/>
  <c r="AO111" i="14"/>
  <c r="AK111"/>
  <c r="AW69" i="13"/>
  <c r="BA109"/>
  <c r="BD112" i="14"/>
  <c r="BM29" i="13"/>
  <c r="BQ109" s="1"/>
  <c r="AA69"/>
  <c r="AT71" i="14"/>
  <c r="K109" i="13"/>
  <c r="L69"/>
  <c r="I109" i="14"/>
  <c r="F100" i="12"/>
  <c r="Z110" i="14"/>
  <c r="AD110"/>
  <c r="AZ109" i="13"/>
  <c r="BA69"/>
  <c r="AI111" i="14"/>
  <c r="AF71"/>
  <c r="AE71"/>
  <c r="AE111"/>
  <c r="O109" i="13"/>
  <c r="W71" i="14"/>
  <c r="AY69" i="13"/>
  <c r="AZ72" i="14"/>
  <c r="R39" i="13"/>
  <c r="AX69"/>
  <c r="AT111" i="14"/>
  <c r="AX111"/>
  <c r="BB109" i="13"/>
  <c r="W111" i="14"/>
  <c r="AZ109"/>
  <c r="AN108"/>
  <c r="AN66"/>
  <c r="AR108"/>
  <c r="AF66" i="13"/>
  <c r="BE108" i="14"/>
  <c r="AU107"/>
  <c r="AP107"/>
  <c r="AO68"/>
  <c r="AG66" i="13"/>
  <c r="U39"/>
  <c r="Y106" i="14"/>
  <c r="V68"/>
  <c r="U106" i="13"/>
  <c r="P66" i="14"/>
  <c r="O67"/>
  <c r="S107"/>
  <c r="O107"/>
  <c r="Y66" i="13"/>
  <c r="Y106"/>
  <c r="BE107" i="14"/>
  <c r="V66" i="13"/>
  <c r="AU106"/>
  <c r="AN68" i="14"/>
  <c r="P67"/>
  <c r="Y68"/>
  <c r="Z68"/>
  <c r="C173" i="12"/>
  <c r="C168"/>
  <c r="C176"/>
  <c r="C171"/>
  <c r="C169"/>
  <c r="C178"/>
  <c r="C174"/>
  <c r="C167"/>
  <c r="C181"/>
  <c r="C166"/>
  <c r="C172"/>
  <c r="C180"/>
  <c r="C177"/>
  <c r="C179"/>
  <c r="C170"/>
  <c r="C175"/>
  <c r="F109" i="13"/>
  <c r="H73"/>
  <c r="H110" i="14"/>
  <c r="L113" i="13"/>
  <c r="J109"/>
  <c r="F39"/>
  <c r="H113"/>
  <c r="E68" i="14"/>
  <c r="H70"/>
  <c r="G69" i="13"/>
  <c r="G109" i="14"/>
  <c r="E76"/>
  <c r="I70"/>
  <c r="E33"/>
  <c r="F109"/>
  <c r="H29"/>
  <c r="I69" i="13"/>
  <c r="BK33"/>
  <c r="BM33"/>
  <c r="BQ113" s="1"/>
  <c r="I101" i="14"/>
  <c r="I61"/>
  <c r="J61"/>
  <c r="A183" i="26"/>
  <c r="A205"/>
  <c r="A228" s="1"/>
  <c r="A252" s="1"/>
  <c r="A272" s="1"/>
  <c r="A292" s="1"/>
  <c r="AR117" i="14"/>
  <c r="AR77"/>
  <c r="AV117"/>
  <c r="AS77"/>
  <c r="BL29" i="13"/>
  <c r="BP109" s="1"/>
  <c r="BF107" i="14"/>
  <c r="AM115"/>
  <c r="AJ75"/>
  <c r="AI115"/>
  <c r="E100" i="12"/>
  <c r="D177"/>
  <c r="D172"/>
  <c r="D180"/>
  <c r="D166"/>
  <c r="D175"/>
  <c r="D170"/>
  <c r="D178"/>
  <c r="D179"/>
  <c r="D171"/>
  <c r="D168"/>
  <c r="D176"/>
  <c r="D100"/>
  <c r="D169"/>
  <c r="D173"/>
  <c r="D167"/>
  <c r="D181"/>
  <c r="D174"/>
  <c r="D60"/>
  <c r="BK101" i="14"/>
  <c r="BG101"/>
  <c r="BG61"/>
  <c r="BH61"/>
  <c r="AI101"/>
  <c r="AI61"/>
  <c r="AE101"/>
  <c r="AE61"/>
  <c r="AX101"/>
  <c r="BB101"/>
  <c r="AX61"/>
  <c r="AT101"/>
  <c r="AT61"/>
  <c r="C80" i="7"/>
  <c r="H62"/>
  <c r="BE110" i="14"/>
  <c r="BA110"/>
  <c r="AV66" i="13"/>
  <c r="M60" i="12"/>
  <c r="BI61" i="13"/>
  <c r="W116" i="14"/>
  <c r="BA80"/>
  <c r="N17" i="17"/>
  <c r="N15"/>
  <c r="N14"/>
  <c r="E80" i="12"/>
  <c r="K61" i="14"/>
  <c r="L61"/>
  <c r="K101"/>
  <c r="AD78"/>
  <c r="AD118"/>
  <c r="AH118"/>
  <c r="Q61"/>
  <c r="Q101"/>
  <c r="L80" i="12"/>
  <c r="L60"/>
  <c r="AA111" i="14"/>
  <c r="X71"/>
  <c r="BL33" i="13"/>
  <c r="BP113" s="1"/>
  <c r="AY108" i="14"/>
  <c r="AU108"/>
  <c r="AC61"/>
  <c r="AC101"/>
  <c r="AG101"/>
  <c r="AD61"/>
  <c r="A46" i="26"/>
  <c r="L46" s="1"/>
  <c r="AY101" i="14"/>
  <c r="AY61"/>
  <c r="AL116"/>
  <c r="AP116"/>
  <c r="AX74"/>
  <c r="AW114"/>
  <c r="AW74"/>
  <c r="AV112"/>
  <c r="AR112"/>
  <c r="AS72"/>
  <c r="BA101"/>
  <c r="BB61"/>
  <c r="A11" i="26"/>
  <c r="A29"/>
  <c r="W69" i="14"/>
  <c r="AU39" i="13"/>
  <c r="AU41" s="1"/>
  <c r="K106" i="14"/>
  <c r="AE113"/>
  <c r="N16" i="17"/>
  <c r="W39" i="13"/>
  <c r="W41" s="1"/>
  <c r="O101" i="14"/>
  <c r="Y101"/>
  <c r="Y61"/>
  <c r="Z61"/>
  <c r="R61"/>
  <c r="V101"/>
  <c r="R101"/>
  <c r="AJ61"/>
  <c r="AK61"/>
  <c r="AN101"/>
  <c r="AL120"/>
  <c r="AH120"/>
  <c r="C11" i="9"/>
  <c r="B22"/>
  <c r="C3" i="7"/>
  <c r="H105"/>
  <c r="BC101" i="14"/>
  <c r="BC61"/>
  <c r="BD61"/>
  <c r="AU61"/>
  <c r="AU101"/>
  <c r="AV61"/>
  <c r="S101"/>
  <c r="S61"/>
  <c r="W101"/>
  <c r="BF61"/>
  <c r="BE61"/>
  <c r="BE101"/>
  <c r="BI101"/>
  <c r="U61"/>
  <c r="U101"/>
  <c r="V61"/>
  <c r="M101"/>
  <c r="N61"/>
  <c r="M61"/>
  <c r="AQ111"/>
  <c r="AM111"/>
  <c r="AN71"/>
  <c r="C42" i="9"/>
  <c r="B56" s="1"/>
  <c r="AR66" i="13"/>
  <c r="AJ113" i="14"/>
  <c r="Q109"/>
  <c r="BF61" i="13"/>
  <c r="AO116" i="14"/>
  <c r="AA109" i="13"/>
  <c r="AL76" i="14"/>
  <c r="F61"/>
  <c r="AR72"/>
  <c r="W76"/>
  <c r="AA116"/>
  <c r="X76"/>
  <c r="BB80"/>
  <c r="BE120"/>
  <c r="BD66"/>
  <c r="T101"/>
  <c r="T61"/>
  <c r="X101"/>
  <c r="AL80"/>
  <c r="AO120"/>
  <c r="AQ61"/>
  <c r="AQ101"/>
  <c r="AR61"/>
  <c r="AM61"/>
  <c r="AM101"/>
  <c r="AN61"/>
  <c r="F11" i="9"/>
  <c r="C19"/>
  <c r="D19" s="1"/>
  <c r="E19" s="1"/>
  <c r="D16" i="23"/>
  <c r="D65" s="1"/>
  <c r="S16" i="17"/>
  <c r="T18" i="6"/>
  <c r="N21" i="17"/>
  <c r="T20" i="6"/>
  <c r="O20" i="17"/>
  <c r="E12" i="21" s="1"/>
  <c r="N10" i="17"/>
  <c r="N11"/>
  <c r="S13"/>
  <c r="D10" i="23"/>
  <c r="D59" s="1"/>
  <c r="O14" i="17"/>
  <c r="E6" i="21" s="1"/>
  <c r="D18" i="23"/>
  <c r="D67" s="1"/>
  <c r="O26" i="17"/>
  <c r="E18" i="21" s="1"/>
  <c r="N22" i="17"/>
  <c r="N23"/>
  <c r="O22"/>
  <c r="E14" i="21" s="1"/>
  <c r="O18" i="17"/>
  <c r="E10" i="21" s="1"/>
  <c r="S15" i="17"/>
  <c r="D13" i="23"/>
  <c r="D62" s="1"/>
  <c r="N18" i="17"/>
  <c r="BI114" i="14"/>
  <c r="BI116"/>
  <c r="BI110"/>
  <c r="J69"/>
  <c r="AF73"/>
  <c r="AR69"/>
  <c r="BC106" i="13"/>
  <c r="K109" i="14"/>
  <c r="W101" i="13"/>
  <c r="S101"/>
  <c r="O101"/>
  <c r="BJ118" i="14"/>
  <c r="O61" i="13"/>
  <c r="BH111" i="14"/>
  <c r="T41" i="13"/>
  <c r="AZ66"/>
  <c r="B39" i="14"/>
  <c r="AC69"/>
  <c r="BH115"/>
  <c r="AG66"/>
  <c r="AB61" i="13"/>
  <c r="AB101"/>
  <c r="AU101"/>
  <c r="AY101"/>
  <c r="AS101"/>
  <c r="AS61"/>
  <c r="AW101"/>
  <c r="BA101"/>
  <c r="W61"/>
  <c r="AA101"/>
  <c r="AD61"/>
  <c r="AC61"/>
  <c r="AC101"/>
  <c r="AG101"/>
  <c r="BJ111" i="14"/>
  <c r="AZ106"/>
  <c r="Q69"/>
  <c r="BE101" i="13"/>
  <c r="AF101"/>
  <c r="BG61"/>
  <c r="AX61"/>
  <c r="AY61"/>
  <c r="AM101"/>
  <c r="AQ101"/>
  <c r="BF101"/>
  <c r="BB61"/>
  <c r="BB101"/>
  <c r="AC109" i="14"/>
  <c r="BI108"/>
  <c r="T119" i="13"/>
  <c r="W73" i="14"/>
  <c r="AD69"/>
  <c r="AR109"/>
  <c r="Z113"/>
  <c r="AK73"/>
  <c r="AC113"/>
  <c r="AN73"/>
  <c r="M109"/>
  <c r="M69"/>
  <c r="AA73"/>
  <c r="Z73"/>
  <c r="Z69"/>
  <c r="BI118"/>
  <c r="BJ115"/>
  <c r="BI115"/>
  <c r="BH108"/>
  <c r="BJ26" i="13"/>
  <c r="BK66" s="1"/>
  <c r="AQ73" i="14"/>
  <c r="Z109"/>
  <c r="V113"/>
  <c r="AO106" i="13"/>
  <c r="V109" i="14"/>
  <c r="AS106"/>
  <c r="BJ117"/>
  <c r="H66"/>
  <c r="I66"/>
  <c r="T17" i="6"/>
  <c r="AT61" i="13"/>
  <c r="AX101"/>
  <c r="AT101"/>
  <c r="AU61"/>
  <c r="AJ101"/>
  <c r="AJ61"/>
  <c r="AK61"/>
  <c r="Z61"/>
  <c r="AD101"/>
  <c r="AA61"/>
  <c r="Z101"/>
  <c r="AP101"/>
  <c r="AP61"/>
  <c r="AQ61"/>
  <c r="AL101"/>
  <c r="AM61"/>
  <c r="AL61"/>
  <c r="AH101"/>
  <c r="AI61"/>
  <c r="AH61"/>
  <c r="AO61"/>
  <c r="AN101"/>
  <c r="AN61"/>
  <c r="AR101"/>
  <c r="AV106" i="14"/>
  <c r="BK112"/>
  <c r="BH117"/>
  <c r="Q113"/>
  <c r="M73"/>
  <c r="O80" i="12"/>
  <c r="N80"/>
  <c r="N60"/>
  <c r="AX66" i="13"/>
  <c r="BB106"/>
  <c r="AX39"/>
  <c r="AX106"/>
  <c r="AK66"/>
  <c r="AL66"/>
  <c r="AK39"/>
  <c r="AA66" i="14"/>
  <c r="Z107"/>
  <c r="AD107"/>
  <c r="AA67"/>
  <c r="Z67"/>
  <c r="AW106" i="13"/>
  <c r="AS66"/>
  <c r="AT66"/>
  <c r="AS39"/>
  <c r="AT67" i="14"/>
  <c r="AW107"/>
  <c r="AS107"/>
  <c r="AJ107"/>
  <c r="AN107"/>
  <c r="AB39" i="13"/>
  <c r="AF106"/>
  <c r="AB106"/>
  <c r="AB107" i="14"/>
  <c r="AF107"/>
  <c r="AB67"/>
  <c r="AC66"/>
  <c r="AX67"/>
  <c r="AX107"/>
  <c r="AY67"/>
  <c r="BB107"/>
  <c r="AK67"/>
  <c r="AL67"/>
  <c r="AK107"/>
  <c r="AO107"/>
  <c r="AR106" i="13"/>
  <c r="AR39"/>
  <c r="AR41" s="1"/>
  <c r="AD106"/>
  <c r="Z66"/>
  <c r="Z106"/>
  <c r="Z39"/>
  <c r="Q66" i="14"/>
  <c r="T106"/>
  <c r="J80" i="12"/>
  <c r="K80"/>
  <c r="J60"/>
  <c r="AY106" i="13"/>
  <c r="AY66"/>
  <c r="AN106"/>
  <c r="AJ106"/>
  <c r="AJ39"/>
  <c r="BL26"/>
  <c r="BP106" s="1"/>
  <c r="BM26"/>
  <c r="BQ106" s="1"/>
  <c r="W109" i="14"/>
  <c r="S69"/>
  <c r="R113"/>
  <c r="R73"/>
  <c r="F43" i="9"/>
  <c r="C57" s="1"/>
  <c r="C43"/>
  <c r="B57" s="1"/>
  <c r="AF101" i="14"/>
  <c r="AJ101"/>
  <c r="AF61"/>
  <c r="AG61"/>
  <c r="BD101"/>
  <c r="AZ61"/>
  <c r="BA61"/>
  <c r="AZ101"/>
  <c r="BI113" i="13"/>
  <c r="BI109"/>
  <c r="A359" i="26"/>
  <c r="A375"/>
  <c r="E355"/>
  <c r="W41"/>
  <c r="A64"/>
  <c r="K22"/>
  <c r="G283" s="1"/>
  <c r="M3"/>
  <c r="BL120" i="14"/>
  <c r="BH118"/>
  <c r="BL118"/>
  <c r="AV101" i="13"/>
  <c r="AW61"/>
  <c r="AV61"/>
  <c r="BD101"/>
  <c r="AZ101"/>
  <c r="AZ61"/>
  <c r="BA61"/>
  <c r="BC61"/>
  <c r="BC101"/>
  <c r="BD61"/>
  <c r="BG101"/>
  <c r="U109" i="14"/>
  <c r="V69"/>
  <c r="U69"/>
  <c r="Y109"/>
  <c r="P41" i="13"/>
  <c r="T69" i="14"/>
  <c r="T109"/>
  <c r="C41" i="13"/>
  <c r="C79"/>
  <c r="L106" i="14"/>
  <c r="P106"/>
  <c r="L66"/>
  <c r="P119" i="13"/>
  <c r="P137" i="12"/>
  <c r="P134"/>
  <c r="P141"/>
  <c r="BJ108" i="14"/>
  <c r="AA106"/>
  <c r="BC106"/>
  <c r="AJ109"/>
  <c r="AN109"/>
  <c r="AJ69"/>
  <c r="AO69"/>
  <c r="AS109"/>
  <c r="AF109"/>
  <c r="AF69"/>
  <c r="AE109"/>
  <c r="AE69"/>
  <c r="AI109"/>
  <c r="P98" i="12"/>
  <c r="P138"/>
  <c r="P145"/>
  <c r="P139"/>
  <c r="P144"/>
  <c r="P136"/>
  <c r="P142"/>
  <c r="P140"/>
  <c r="P143"/>
  <c r="P100"/>
  <c r="P146"/>
  <c r="P135"/>
  <c r="BI106" i="13"/>
  <c r="BI39"/>
  <c r="BI66"/>
  <c r="AE106" i="14"/>
  <c r="AE66"/>
  <c r="AF66"/>
  <c r="BH107"/>
  <c r="BH112"/>
  <c r="BG110"/>
  <c r="BG69"/>
  <c r="BG109" i="13"/>
  <c r="BG69"/>
  <c r="BH120" i="14"/>
  <c r="AI106"/>
  <c r="BG116"/>
  <c r="BK116"/>
  <c r="BK107"/>
  <c r="BG106" i="13"/>
  <c r="BG66"/>
  <c r="BG107" i="14"/>
  <c r="BH110"/>
  <c r="BG117"/>
  <c r="BK117"/>
  <c r="BG115"/>
  <c r="BG120"/>
  <c r="BK120"/>
  <c r="BG111"/>
  <c r="BK111"/>
  <c r="BG118"/>
  <c r="BK118"/>
  <c r="BH116"/>
  <c r="BH39" i="13"/>
  <c r="BH73"/>
  <c r="BH113"/>
  <c r="BI73"/>
  <c r="BG114" i="14"/>
  <c r="BG73"/>
  <c r="AM106"/>
  <c r="AM66"/>
  <c r="BH106" i="13"/>
  <c r="BH66"/>
  <c r="AZ66" i="14"/>
  <c r="BK114"/>
  <c r="BJ114"/>
  <c r="BG112"/>
  <c r="BJ110"/>
  <c r="BI69" i="13"/>
  <c r="BH109"/>
  <c r="BH69"/>
  <c r="AD66" i="14"/>
  <c r="AC106"/>
  <c r="AG106"/>
  <c r="BK108"/>
  <c r="BG108"/>
  <c r="BH114"/>
  <c r="BG113" i="13"/>
  <c r="BG73"/>
  <c r="BG39"/>
  <c r="N66" i="14"/>
  <c r="M66"/>
  <c r="Q106"/>
  <c r="Q79" i="13" l="1"/>
  <c r="R119"/>
  <c r="BT81" i="14"/>
  <c r="BY69"/>
  <c r="BY109"/>
  <c r="A14" i="4"/>
  <c r="A28"/>
  <c r="Q46" i="6"/>
  <c r="M46" s="1"/>
  <c r="C42" i="23" s="1"/>
  <c r="C91" s="1"/>
  <c r="Q45" i="6"/>
  <c r="Q49" s="1"/>
  <c r="BS81" i="14"/>
  <c r="T15" i="6"/>
  <c r="Q43"/>
  <c r="Q44"/>
  <c r="AD81" i="13"/>
  <c r="N121"/>
  <c r="N79"/>
  <c r="O81"/>
  <c r="R41"/>
  <c r="R121" s="1"/>
  <c r="N119"/>
  <c r="T14" i="17"/>
  <c r="G119" i="13"/>
  <c r="AC121"/>
  <c r="AG121"/>
  <c r="BM29" i="14"/>
  <c r="BN70"/>
  <c r="BQ110"/>
  <c r="BJ26"/>
  <c r="BN106" s="1"/>
  <c r="BN107"/>
  <c r="BL29"/>
  <c r="BP109" s="1"/>
  <c r="BP110"/>
  <c r="BK75"/>
  <c r="BO115"/>
  <c r="BM26"/>
  <c r="BM67"/>
  <c r="BQ107"/>
  <c r="BN67"/>
  <c r="I113"/>
  <c r="BK29"/>
  <c r="BO109" s="1"/>
  <c r="BO110"/>
  <c r="BL26"/>
  <c r="BP106" s="1"/>
  <c r="BP107"/>
  <c r="BL33"/>
  <c r="BP113" s="1"/>
  <c r="BP115"/>
  <c r="BM33"/>
  <c r="BN75"/>
  <c r="BQ115"/>
  <c r="O119" i="13"/>
  <c r="T18" i="17"/>
  <c r="M40" i="6"/>
  <c r="T15" i="17"/>
  <c r="Q73" i="14"/>
  <c r="P73"/>
  <c r="T113"/>
  <c r="P113"/>
  <c r="L41" i="13"/>
  <c r="L121" s="1"/>
  <c r="O79"/>
  <c r="P79"/>
  <c r="Q119"/>
  <c r="M113" i="14"/>
  <c r="Y66"/>
  <c r="X66"/>
  <c r="H81" i="13"/>
  <c r="S73" i="14"/>
  <c r="T17" i="17"/>
  <c r="AG119" i="13"/>
  <c r="BK113"/>
  <c r="BK73"/>
  <c r="BL73"/>
  <c r="BL113"/>
  <c r="BM73"/>
  <c r="BM113"/>
  <c r="BM69"/>
  <c r="BM109"/>
  <c r="BL109"/>
  <c r="BL69"/>
  <c r="BK69"/>
  <c r="BK109"/>
  <c r="BL106"/>
  <c r="BL66"/>
  <c r="BM66"/>
  <c r="BM106"/>
  <c r="BJ106"/>
  <c r="BJ66"/>
  <c r="BJ67" i="14"/>
  <c r="AU66"/>
  <c r="BL67"/>
  <c r="Y113"/>
  <c r="AB113"/>
  <c r="K119" i="13"/>
  <c r="L73" i="14"/>
  <c r="V73"/>
  <c r="K73"/>
  <c r="O113"/>
  <c r="J113"/>
  <c r="Y119" i="13"/>
  <c r="Y121" s="1"/>
  <c r="X119"/>
  <c r="X121" s="1"/>
  <c r="X113" i="14"/>
  <c r="S119" i="13"/>
  <c r="Y73" i="14"/>
  <c r="S39"/>
  <c r="S41" s="1"/>
  <c r="W106"/>
  <c r="T79" i="13"/>
  <c r="X73" i="14"/>
  <c r="T66"/>
  <c r="BB113"/>
  <c r="AT113"/>
  <c r="AQ79" i="13"/>
  <c r="AI119"/>
  <c r="AG79"/>
  <c r="BC113" i="14"/>
  <c r="AZ73"/>
  <c r="AL109"/>
  <c r="AY73"/>
  <c r="AR113"/>
  <c r="AI41" i="13"/>
  <c r="AM121" s="1"/>
  <c r="BF109" i="14"/>
  <c r="AK109"/>
  <c r="AD113"/>
  <c r="BD73"/>
  <c r="BF73"/>
  <c r="AF79" i="13"/>
  <c r="AM81"/>
  <c r="AP41"/>
  <c r="AP121" s="1"/>
  <c r="BC79"/>
  <c r="AL119"/>
  <c r="BC119"/>
  <c r="AH39" i="14"/>
  <c r="AH41" s="1"/>
  <c r="AO119" i="13"/>
  <c r="X39" i="14"/>
  <c r="X41" s="1"/>
  <c r="X81" s="1"/>
  <c r="BM70"/>
  <c r="BM110"/>
  <c r="V119" i="13"/>
  <c r="V121" s="1"/>
  <c r="M39" i="6"/>
  <c r="BM75" i="14"/>
  <c r="BM115"/>
  <c r="D57" i="9"/>
  <c r="E57" s="1"/>
  <c r="BM107" i="14"/>
  <c r="I88" i="26"/>
  <c r="K88"/>
  <c r="J88"/>
  <c r="I84"/>
  <c r="K84"/>
  <c r="J84"/>
  <c r="I89"/>
  <c r="K89"/>
  <c r="J89"/>
  <c r="I85"/>
  <c r="K85"/>
  <c r="J85"/>
  <c r="K81"/>
  <c r="I81"/>
  <c r="J81"/>
  <c r="I86"/>
  <c r="K86"/>
  <c r="J86"/>
  <c r="I82"/>
  <c r="K82"/>
  <c r="J82"/>
  <c r="I87"/>
  <c r="K87"/>
  <c r="J87"/>
  <c r="I83"/>
  <c r="K83"/>
  <c r="J83"/>
  <c r="B83" i="23"/>
  <c r="B81"/>
  <c r="B79"/>
  <c r="B82"/>
  <c r="B78"/>
  <c r="B80"/>
  <c r="T20" i="19"/>
  <c r="B77" i="23"/>
  <c r="B76"/>
  <c r="L26" i="19"/>
  <c r="T20" i="20"/>
  <c r="T20" i="18"/>
  <c r="L26"/>
  <c r="L26" i="20"/>
  <c r="J73" i="14"/>
  <c r="BB66"/>
  <c r="BA121" i="13"/>
  <c r="BA79"/>
  <c r="AH79"/>
  <c r="AN119"/>
  <c r="E73" i="14"/>
  <c r="U113"/>
  <c r="O69"/>
  <c r="Y69"/>
  <c r="H119" i="13"/>
  <c r="AS113" i="14"/>
  <c r="BB81" i="13"/>
  <c r="E81"/>
  <c r="BN33"/>
  <c r="BR113" s="1"/>
  <c r="AO79"/>
  <c r="AW79"/>
  <c r="AI79"/>
  <c r="AO41"/>
  <c r="AY109" i="14"/>
  <c r="U73"/>
  <c r="AB109"/>
  <c r="D79" i="13"/>
  <c r="L79"/>
  <c r="W79"/>
  <c r="AT119"/>
  <c r="BC109" i="14"/>
  <c r="L119" i="13"/>
  <c r="X109" i="14"/>
  <c r="AS119" i="13"/>
  <c r="V41"/>
  <c r="W81" s="1"/>
  <c r="AC73" i="14"/>
  <c r="H79" i="13"/>
  <c r="F79"/>
  <c r="AW113" i="14"/>
  <c r="AY41" i="13"/>
  <c r="AZ81" s="1"/>
  <c r="D69" i="14"/>
  <c r="C39"/>
  <c r="C41" s="1"/>
  <c r="G121" s="1"/>
  <c r="H109"/>
  <c r="I121" i="13"/>
  <c r="D81"/>
  <c r="K79"/>
  <c r="S109" i="14"/>
  <c r="AH119" i="13"/>
  <c r="E79"/>
  <c r="BF119"/>
  <c r="D39" i="14"/>
  <c r="D41" s="1"/>
  <c r="AO113"/>
  <c r="E66"/>
  <c r="AP113"/>
  <c r="D66"/>
  <c r="AU69"/>
  <c r="AK69"/>
  <c r="AO109"/>
  <c r="AZ113"/>
  <c r="AL73"/>
  <c r="BC73"/>
  <c r="M106"/>
  <c r="AP106"/>
  <c r="AQ109"/>
  <c r="K113"/>
  <c r="I106"/>
  <c r="AW73"/>
  <c r="AN69"/>
  <c r="AM119"/>
  <c r="AX73"/>
  <c r="AI66"/>
  <c r="AM69"/>
  <c r="AT73"/>
  <c r="BA73"/>
  <c r="AV69"/>
  <c r="G73"/>
  <c r="N73"/>
  <c r="AX113"/>
  <c r="BA113"/>
  <c r="AU113"/>
  <c r="BD69"/>
  <c r="AT109"/>
  <c r="AX109"/>
  <c r="BA66"/>
  <c r="BE113"/>
  <c r="BC79"/>
  <c r="G66"/>
  <c r="V119"/>
  <c r="V121" s="1"/>
  <c r="E39"/>
  <c r="E41" s="1"/>
  <c r="BH69"/>
  <c r="O121"/>
  <c r="F39"/>
  <c r="J119" s="1"/>
  <c r="F106"/>
  <c r="AP73"/>
  <c r="BC69"/>
  <c r="AF113"/>
  <c r="O109"/>
  <c r="N109"/>
  <c r="R109"/>
  <c r="F66"/>
  <c r="BA109"/>
  <c r="BL70"/>
  <c r="AB73"/>
  <c r="BG66"/>
  <c r="BB109"/>
  <c r="U66"/>
  <c r="Q79"/>
  <c r="AU106"/>
  <c r="AL69"/>
  <c r="AX69"/>
  <c r="U79"/>
  <c r="AZ69"/>
  <c r="AQ69"/>
  <c r="AP109"/>
  <c r="BJ69"/>
  <c r="AY106"/>
  <c r="BL75"/>
  <c r="AW69"/>
  <c r="AH113"/>
  <c r="BE73"/>
  <c r="AY69"/>
  <c r="AD73"/>
  <c r="AW109"/>
  <c r="I69"/>
  <c r="R79"/>
  <c r="AV66"/>
  <c r="F73"/>
  <c r="BE79" i="13"/>
  <c r="H39" i="14"/>
  <c r="BI69"/>
  <c r="AP119" i="13"/>
  <c r="AM119"/>
  <c r="AQ119"/>
  <c r="BE66" i="14"/>
  <c r="BF66"/>
  <c r="BI113"/>
  <c r="BI73"/>
  <c r="BK110"/>
  <c r="BK70"/>
  <c r="AQ121" i="13"/>
  <c r="AN81"/>
  <c r="BF113" i="14"/>
  <c r="AY79" i="13"/>
  <c r="AE73" i="14"/>
  <c r="AM79" i="13"/>
  <c r="AH73" i="14"/>
  <c r="AE79" i="13"/>
  <c r="AV119"/>
  <c r="BF79"/>
  <c r="BB73" i="14"/>
  <c r="BD79" i="13"/>
  <c r="BF41"/>
  <c r="BF121" s="1"/>
  <c r="H113" i="14"/>
  <c r="O73"/>
  <c r="BA119" i="13"/>
  <c r="Y81"/>
  <c r="AD79"/>
  <c r="AL113" i="14"/>
  <c r="T81" i="13"/>
  <c r="AG119" i="14"/>
  <c r="N119"/>
  <c r="AN79" i="13"/>
  <c r="BH66" i="14"/>
  <c r="BH73"/>
  <c r="BE119" i="13"/>
  <c r="AP69" i="14"/>
  <c r="AT106"/>
  <c r="BD79"/>
  <c r="Q81" i="13"/>
  <c r="K41"/>
  <c r="O121" s="1"/>
  <c r="D73" i="14"/>
  <c r="BJ73"/>
  <c r="U106"/>
  <c r="BB79" i="13"/>
  <c r="G113" i="14"/>
  <c r="AO73"/>
  <c r="L109"/>
  <c r="BI66"/>
  <c r="AH121" i="13"/>
  <c r="I73" i="14"/>
  <c r="W66"/>
  <c r="AC119" i="13"/>
  <c r="Y79"/>
  <c r="BK67" i="14"/>
  <c r="BE69"/>
  <c r="AQ106"/>
  <c r="AR73"/>
  <c r="U79" i="13"/>
  <c r="AS73" i="14"/>
  <c r="AG73"/>
  <c r="BD106"/>
  <c r="AQ66"/>
  <c r="BD113"/>
  <c r="AP79" i="13"/>
  <c r="H121"/>
  <c r="AA79"/>
  <c r="S113" i="14"/>
  <c r="BF106"/>
  <c r="R79" i="13"/>
  <c r="V66" i="14"/>
  <c r="H69"/>
  <c r="AK113"/>
  <c r="U119" i="13"/>
  <c r="O106" i="14"/>
  <c r="AL106"/>
  <c r="AE119" i="13"/>
  <c r="T73" i="14"/>
  <c r="V79" i="13"/>
  <c r="AG113" i="14"/>
  <c r="AZ119" i="13"/>
  <c r="AB79"/>
  <c r="S79"/>
  <c r="H73" i="14"/>
  <c r="AV113"/>
  <c r="U41" i="13"/>
  <c r="U121" s="1"/>
  <c r="I79"/>
  <c r="I119"/>
  <c r="AH66" i="14"/>
  <c r="BK115"/>
  <c r="AZ79" i="13"/>
  <c r="BD119"/>
  <c r="BK39"/>
  <c r="I81"/>
  <c r="AY119"/>
  <c r="M119"/>
  <c r="AU73" i="14"/>
  <c r="J81" i="13"/>
  <c r="AY113" i="14"/>
  <c r="T121" i="13"/>
  <c r="AV79"/>
  <c r="AU119"/>
  <c r="AU79"/>
  <c r="J79"/>
  <c r="R81" i="14"/>
  <c r="BD109"/>
  <c r="O66"/>
  <c r="S106"/>
  <c r="F119" i="13"/>
  <c r="AR106" i="14"/>
  <c r="X79" i="13"/>
  <c r="G79"/>
  <c r="BE106" i="14"/>
  <c r="AO66"/>
  <c r="AA119" i="13"/>
  <c r="W119"/>
  <c r="W121" s="1"/>
  <c r="J119"/>
  <c r="F41"/>
  <c r="BL115" i="14"/>
  <c r="BJ109"/>
  <c r="BJ39" i="13"/>
  <c r="F12" i="9"/>
  <c r="C23"/>
  <c r="BA69" i="14"/>
  <c r="BE109"/>
  <c r="AK119" i="13"/>
  <c r="BB69" i="14"/>
  <c r="BL110"/>
  <c r="BN29" i="13"/>
  <c r="BR109" s="1"/>
  <c r="C91" i="7"/>
  <c r="H80"/>
  <c r="AI73" i="14"/>
  <c r="AM113"/>
  <c r="AI113"/>
  <c r="AJ73"/>
  <c r="A184" i="26"/>
  <c r="A206"/>
  <c r="A229" s="1"/>
  <c r="A253" s="1"/>
  <c r="A273" s="1"/>
  <c r="A293" s="1"/>
  <c r="A12"/>
  <c r="A30"/>
  <c r="A47"/>
  <c r="L47" s="1"/>
  <c r="K119" i="14"/>
  <c r="I3" i="7"/>
  <c r="H3"/>
  <c r="C12" i="9"/>
  <c r="B23"/>
  <c r="T16" i="17"/>
  <c r="BI106" i="14"/>
  <c r="BL107"/>
  <c r="AS66"/>
  <c r="BI109"/>
  <c r="AT66"/>
  <c r="B41"/>
  <c r="AB66"/>
  <c r="AO119"/>
  <c r="AU81" i="13"/>
  <c r="AC119" i="14"/>
  <c r="AJ79" i="13"/>
  <c r="X81"/>
  <c r="AW106" i="14"/>
  <c r="K79"/>
  <c r="AL121" i="13"/>
  <c r="BM39"/>
  <c r="BQ119" s="1"/>
  <c r="P81"/>
  <c r="AR79"/>
  <c r="AR119"/>
  <c r="BJ113" i="14"/>
  <c r="AJ66"/>
  <c r="AJ41" i="13"/>
  <c r="AJ121" s="1"/>
  <c r="AJ119"/>
  <c r="AL66" i="14"/>
  <c r="AO106"/>
  <c r="AK106"/>
  <c r="BJ107"/>
  <c r="AK66"/>
  <c r="AJ106"/>
  <c r="AN106"/>
  <c r="AS79" i="13"/>
  <c r="AT79"/>
  <c r="AW119"/>
  <c r="AS41"/>
  <c r="AK41"/>
  <c r="AK121" s="1"/>
  <c r="AL79"/>
  <c r="AK79"/>
  <c r="AX41"/>
  <c r="AX79"/>
  <c r="AX119"/>
  <c r="BB119"/>
  <c r="BC119" i="14"/>
  <c r="BL39" i="13"/>
  <c r="BP119" s="1"/>
  <c r="Z119"/>
  <c r="Z41"/>
  <c r="AA81" s="1"/>
  <c r="AD119"/>
  <c r="Z79"/>
  <c r="AX106" i="14"/>
  <c r="AX66"/>
  <c r="AY66"/>
  <c r="BB106"/>
  <c r="AB106"/>
  <c r="AB79"/>
  <c r="AF106"/>
  <c r="AB41" i="13"/>
  <c r="AB81" s="1"/>
  <c r="AF119"/>
  <c r="AB119"/>
  <c r="AC79"/>
  <c r="Z106" i="14"/>
  <c r="Z66"/>
  <c r="AD106"/>
  <c r="AA79"/>
  <c r="F44" i="9"/>
  <c r="C53" s="1"/>
  <c r="C44"/>
  <c r="B58" s="1"/>
  <c r="A360" i="26"/>
  <c r="A376"/>
  <c r="M22"/>
  <c r="H283" s="1"/>
  <c r="O3"/>
  <c r="Y119" i="14"/>
  <c r="Y121" s="1"/>
  <c r="C81" i="13"/>
  <c r="G121"/>
  <c r="K121" i="14"/>
  <c r="T119"/>
  <c r="P121" i="13"/>
  <c r="P119" i="14"/>
  <c r="L79"/>
  <c r="AH81" i="13"/>
  <c r="AG81"/>
  <c r="AA119" i="14"/>
  <c r="BE81" i="13"/>
  <c r="BE121"/>
  <c r="AA121"/>
  <c r="AK79" i="14"/>
  <c r="AJ119"/>
  <c r="AR121" i="13"/>
  <c r="BD81"/>
  <c r="BC81"/>
  <c r="BH113" i="14"/>
  <c r="BA81" i="13"/>
  <c r="AZ121"/>
  <c r="BD121"/>
  <c r="AF81"/>
  <c r="AE121"/>
  <c r="AE81"/>
  <c r="AR81"/>
  <c r="AU121"/>
  <c r="AI119" i="14"/>
  <c r="AJ79"/>
  <c r="BH106"/>
  <c r="BG79" i="13"/>
  <c r="BG41"/>
  <c r="BG119"/>
  <c r="AV81"/>
  <c r="AW81"/>
  <c r="AV121"/>
  <c r="BG113" i="14"/>
  <c r="BH41" i="13"/>
  <c r="BH79"/>
  <c r="BH119"/>
  <c r="BH109" i="14"/>
  <c r="BG106"/>
  <c r="BG109"/>
  <c r="AF79"/>
  <c r="AE119"/>
  <c r="BI119" i="13"/>
  <c r="BI41"/>
  <c r="BI79"/>
  <c r="BK106" i="14"/>
  <c r="M79"/>
  <c r="Q119"/>
  <c r="A15" i="4" l="1"/>
  <c r="A30" s="1"/>
  <c r="A29"/>
  <c r="M45" i="6"/>
  <c r="Q47"/>
  <c r="Q50"/>
  <c r="M50" s="1"/>
  <c r="Q48"/>
  <c r="M48" s="1"/>
  <c r="C93" i="23" s="1"/>
  <c r="R81" i="13"/>
  <c r="S81"/>
  <c r="N46" i="6"/>
  <c r="C41" i="23"/>
  <c r="C90" s="1"/>
  <c r="M49" i="6"/>
  <c r="M47"/>
  <c r="BJ39" i="14"/>
  <c r="BJ79" s="1"/>
  <c r="BK39"/>
  <c r="BO119" s="1"/>
  <c r="BN73"/>
  <c r="BQ113"/>
  <c r="BN66"/>
  <c r="BQ106"/>
  <c r="BL39"/>
  <c r="BM39"/>
  <c r="BN69"/>
  <c r="BQ109"/>
  <c r="BM113"/>
  <c r="M81" i="13"/>
  <c r="W119" i="14"/>
  <c r="W121" s="1"/>
  <c r="BN113" i="13"/>
  <c r="BN109"/>
  <c r="BN69"/>
  <c r="BN73"/>
  <c r="BM119"/>
  <c r="BM79"/>
  <c r="BJ119"/>
  <c r="BJ79"/>
  <c r="BK41"/>
  <c r="BK119"/>
  <c r="BK79"/>
  <c r="BL79"/>
  <c r="BL119"/>
  <c r="X119" i="14"/>
  <c r="X121" s="1"/>
  <c r="BJ66"/>
  <c r="Y79"/>
  <c r="X79"/>
  <c r="BL66"/>
  <c r="S79"/>
  <c r="AI81" i="13"/>
  <c r="BK69" i="14"/>
  <c r="AI121" i="13"/>
  <c r="AQ81"/>
  <c r="AY121"/>
  <c r="AP81"/>
  <c r="AT121"/>
  <c r="BC121"/>
  <c r="BM66" i="14"/>
  <c r="AY81" i="13"/>
  <c r="BM109" i="14"/>
  <c r="BM69"/>
  <c r="D23" i="9"/>
  <c r="E23" s="1"/>
  <c r="BM106" i="14"/>
  <c r="BM73"/>
  <c r="M10" i="18"/>
  <c r="M26"/>
  <c r="M18"/>
  <c r="M15"/>
  <c r="M25"/>
  <c r="M20"/>
  <c r="M23"/>
  <c r="M12"/>
  <c r="M19"/>
  <c r="M17"/>
  <c r="M16"/>
  <c r="M30"/>
  <c r="M29"/>
  <c r="M21"/>
  <c r="M8"/>
  <c r="M27"/>
  <c r="M24"/>
  <c r="M28"/>
  <c r="M7"/>
  <c r="M14"/>
  <c r="M9"/>
  <c r="M13"/>
  <c r="M11"/>
  <c r="M22"/>
  <c r="M13" i="19"/>
  <c r="M29"/>
  <c r="M12"/>
  <c r="M27"/>
  <c r="M28"/>
  <c r="M23"/>
  <c r="M7"/>
  <c r="M19"/>
  <c r="M15"/>
  <c r="M24"/>
  <c r="M26"/>
  <c r="M18"/>
  <c r="M20"/>
  <c r="M22"/>
  <c r="M14"/>
  <c r="M30"/>
  <c r="O34" s="1"/>
  <c r="M11"/>
  <c r="M17"/>
  <c r="M9"/>
  <c r="M25"/>
  <c r="M10"/>
  <c r="M8"/>
  <c r="M21"/>
  <c r="M16"/>
  <c r="M8" i="20"/>
  <c r="M18"/>
  <c r="M30"/>
  <c r="M10"/>
  <c r="M19"/>
  <c r="M11"/>
  <c r="M14"/>
  <c r="M17"/>
  <c r="M12"/>
  <c r="M16"/>
  <c r="M9"/>
  <c r="M27"/>
  <c r="M25"/>
  <c r="M15"/>
  <c r="M26"/>
  <c r="M28"/>
  <c r="M7"/>
  <c r="M22"/>
  <c r="M29"/>
  <c r="M21"/>
  <c r="M23"/>
  <c r="M20"/>
  <c r="M24"/>
  <c r="M13"/>
  <c r="AE79" i="14"/>
  <c r="AS119"/>
  <c r="I79"/>
  <c r="T79"/>
  <c r="AO81" i="13"/>
  <c r="F119" i="14"/>
  <c r="AS121" i="13"/>
  <c r="G79" i="14"/>
  <c r="BF81" i="13"/>
  <c r="AP79" i="14"/>
  <c r="E79"/>
  <c r="J79"/>
  <c r="G119"/>
  <c r="D81"/>
  <c r="C79"/>
  <c r="AD79"/>
  <c r="AR121"/>
  <c r="AG79"/>
  <c r="AZ119"/>
  <c r="L119"/>
  <c r="M119"/>
  <c r="D79"/>
  <c r="AT119"/>
  <c r="F41"/>
  <c r="J121" s="1"/>
  <c r="I121"/>
  <c r="W79"/>
  <c r="W81"/>
  <c r="AQ119"/>
  <c r="AW79"/>
  <c r="S121"/>
  <c r="P79"/>
  <c r="AP119"/>
  <c r="U119"/>
  <c r="I119"/>
  <c r="V79"/>
  <c r="V81" s="1"/>
  <c r="AU81"/>
  <c r="AL121"/>
  <c r="AM79"/>
  <c r="AZ79"/>
  <c r="AL79"/>
  <c r="U81"/>
  <c r="F79"/>
  <c r="AI81"/>
  <c r="AR81"/>
  <c r="S119"/>
  <c r="BF79"/>
  <c r="BD119"/>
  <c r="BF119"/>
  <c r="O119"/>
  <c r="P81"/>
  <c r="N79"/>
  <c r="AQ79"/>
  <c r="O79"/>
  <c r="BC81"/>
  <c r="BH79"/>
  <c r="BD81"/>
  <c r="BF121"/>
  <c r="BI119"/>
  <c r="BI79"/>
  <c r="BK113"/>
  <c r="BK73"/>
  <c r="BE79"/>
  <c r="R119"/>
  <c r="N121"/>
  <c r="K121" i="13"/>
  <c r="BC121" i="14"/>
  <c r="H41"/>
  <c r="L121" s="1"/>
  <c r="AV79"/>
  <c r="H119"/>
  <c r="BL73"/>
  <c r="U81" i="13"/>
  <c r="AH121" i="14"/>
  <c r="AU119"/>
  <c r="BG79"/>
  <c r="AN119"/>
  <c r="K81" i="13"/>
  <c r="AU79" i="14"/>
  <c r="H79"/>
  <c r="AK119"/>
  <c r="AR119"/>
  <c r="BE119"/>
  <c r="AH119"/>
  <c r="AH81"/>
  <c r="AI79"/>
  <c r="BK66"/>
  <c r="V81" i="13"/>
  <c r="AH79" i="14"/>
  <c r="AR79"/>
  <c r="AN79"/>
  <c r="L81" i="13"/>
  <c r="AL119" i="14"/>
  <c r="AO81"/>
  <c r="AO79"/>
  <c r="BL69"/>
  <c r="AY119"/>
  <c r="AV119"/>
  <c r="AV121"/>
  <c r="AT79"/>
  <c r="BL113"/>
  <c r="BL109"/>
  <c r="AP81"/>
  <c r="AD81"/>
  <c r="Q81"/>
  <c r="BA79"/>
  <c r="BB79"/>
  <c r="J121" i="13"/>
  <c r="G81"/>
  <c r="F121"/>
  <c r="F81"/>
  <c r="BK109" i="14"/>
  <c r="BJ41" i="13"/>
  <c r="F13" i="9"/>
  <c r="C24"/>
  <c r="AS121" i="14"/>
  <c r="C81"/>
  <c r="BA119"/>
  <c r="BA81"/>
  <c r="A65" i="26"/>
  <c r="A48"/>
  <c r="L48" s="1"/>
  <c r="A185"/>
  <c r="A207"/>
  <c r="A230" s="1"/>
  <c r="A254" s="1"/>
  <c r="A274" s="1"/>
  <c r="A294" s="1"/>
  <c r="A13"/>
  <c r="A31"/>
  <c r="C13" i="9"/>
  <c r="B24"/>
  <c r="C115" i="7"/>
  <c r="H115" s="1"/>
  <c r="H91"/>
  <c r="AW119" i="14"/>
  <c r="AS79"/>
  <c r="BL106"/>
  <c r="AW81"/>
  <c r="Y81"/>
  <c r="E81"/>
  <c r="AZ121"/>
  <c r="AO121" i="13"/>
  <c r="AC121" i="14"/>
  <c r="AF119"/>
  <c r="J81"/>
  <c r="BM41" i="13"/>
  <c r="BQ121" s="1"/>
  <c r="AN121"/>
  <c r="AV81" i="14"/>
  <c r="AJ81" i="13"/>
  <c r="S81" i="14"/>
  <c r="Z79"/>
  <c r="AA81"/>
  <c r="AD119"/>
  <c r="Z119"/>
  <c r="Z121" i="13"/>
  <c r="AD121"/>
  <c r="Z81"/>
  <c r="BL41"/>
  <c r="BP121" s="1"/>
  <c r="AX121"/>
  <c r="AX81"/>
  <c r="BB121"/>
  <c r="AT81"/>
  <c r="AW121"/>
  <c r="AS81"/>
  <c r="K81" i="14"/>
  <c r="AF121" i="13"/>
  <c r="AB121"/>
  <c r="AC81"/>
  <c r="AF121" i="14"/>
  <c r="AB119"/>
  <c r="AC79"/>
  <c r="BB121"/>
  <c r="AY79"/>
  <c r="BB119"/>
  <c r="AX119"/>
  <c r="AX79"/>
  <c r="AL81" i="13"/>
  <c r="AK81"/>
  <c r="BJ106" i="14"/>
  <c r="D55" i="9"/>
  <c r="E55" s="1"/>
  <c r="F45"/>
  <c r="C56" s="1"/>
  <c r="C45"/>
  <c r="B59" s="1"/>
  <c r="D52"/>
  <c r="E52" s="1"/>
  <c r="A361" i="26"/>
  <c r="A377"/>
  <c r="O22"/>
  <c r="I283" s="1"/>
  <c r="Q3"/>
  <c r="AY121" i="14"/>
  <c r="T121"/>
  <c r="T81"/>
  <c r="P121"/>
  <c r="L81"/>
  <c r="AO121"/>
  <c r="AA121"/>
  <c r="AL81"/>
  <c r="AK81"/>
  <c r="AJ121"/>
  <c r="AN121"/>
  <c r="AT121"/>
  <c r="AP121"/>
  <c r="AI121"/>
  <c r="AJ81"/>
  <c r="BI81" i="13"/>
  <c r="BI121"/>
  <c r="BH81"/>
  <c r="BH121"/>
  <c r="BG119" i="14"/>
  <c r="AN81"/>
  <c r="AM121"/>
  <c r="AM81"/>
  <c r="BG121" i="13"/>
  <c r="BG81"/>
  <c r="AZ81" i="14"/>
  <c r="BH119"/>
  <c r="AE81"/>
  <c r="AF81"/>
  <c r="AE121"/>
  <c r="M121"/>
  <c r="M81"/>
  <c r="Q121"/>
  <c r="N51" i="6" l="1"/>
  <c r="O54"/>
  <c r="O50"/>
  <c r="N50"/>
  <c r="BK41" i="14"/>
  <c r="BJ41"/>
  <c r="O49" i="6"/>
  <c r="N49"/>
  <c r="N47"/>
  <c r="N48"/>
  <c r="C43" i="23"/>
  <c r="C92" s="1"/>
  <c r="S23" i="6"/>
  <c r="C94" i="23"/>
  <c r="BN119" i="14"/>
  <c r="BL41"/>
  <c r="BP119"/>
  <c r="BM41"/>
  <c r="BM121" s="1"/>
  <c r="BN79"/>
  <c r="BQ119"/>
  <c r="BP73" i="13"/>
  <c r="BQ73"/>
  <c r="BP69"/>
  <c r="BQ69"/>
  <c r="BO73"/>
  <c r="BO113"/>
  <c r="BO69"/>
  <c r="BO109"/>
  <c r="BL121"/>
  <c r="BL81"/>
  <c r="BM121"/>
  <c r="BM81"/>
  <c r="BJ81"/>
  <c r="BJ121"/>
  <c r="BK81"/>
  <c r="BK121"/>
  <c r="G81" i="14"/>
  <c r="F121"/>
  <c r="BL79"/>
  <c r="BM119"/>
  <c r="BM79"/>
  <c r="F9" i="23"/>
  <c r="F58" s="1"/>
  <c r="N13" i="20"/>
  <c r="O13"/>
  <c r="H5" i="21" s="1"/>
  <c r="F17" i="23"/>
  <c r="F66" s="1"/>
  <c r="N21" i="20"/>
  <c r="O21"/>
  <c r="H13" i="21" s="1"/>
  <c r="Q28" i="20"/>
  <c r="Q40" s="1"/>
  <c r="O32"/>
  <c r="H24" i="21" s="1"/>
  <c r="F24" i="23"/>
  <c r="F73" s="1"/>
  <c r="N28" i="20"/>
  <c r="O28"/>
  <c r="H20" i="21" s="1"/>
  <c r="S18" i="20"/>
  <c r="N27"/>
  <c r="O27"/>
  <c r="H19" i="21" s="1"/>
  <c r="F23" i="23"/>
  <c r="F72" s="1"/>
  <c r="Q27" i="20"/>
  <c r="Q39" s="1"/>
  <c r="O31"/>
  <c r="H23" i="21" s="1"/>
  <c r="O17" i="20"/>
  <c r="H9" i="21" s="1"/>
  <c r="N17" i="20"/>
  <c r="F13" i="23"/>
  <c r="F62" s="1"/>
  <c r="F6"/>
  <c r="F55" s="1"/>
  <c r="N10" i="20"/>
  <c r="N10" i="19"/>
  <c r="G6" i="23"/>
  <c r="G55" s="1"/>
  <c r="O11" i="19"/>
  <c r="G3" i="21" s="1"/>
  <c r="N11" i="19"/>
  <c r="S14"/>
  <c r="G7" i="23"/>
  <c r="G56" s="1"/>
  <c r="O20" i="19"/>
  <c r="G12" i="21" s="1"/>
  <c r="N20" i="19"/>
  <c r="G16" i="23"/>
  <c r="G65" s="1"/>
  <c r="G11"/>
  <c r="G60" s="1"/>
  <c r="S15" i="19"/>
  <c r="O15"/>
  <c r="G7" i="21" s="1"/>
  <c r="N15" i="19"/>
  <c r="O28"/>
  <c r="G20" i="21" s="1"/>
  <c r="N28" i="19"/>
  <c r="O32"/>
  <c r="G24" i="21" s="1"/>
  <c r="G24" i="23"/>
  <c r="G73" s="1"/>
  <c r="Q28" i="19"/>
  <c r="Q40" s="1"/>
  <c r="G9" i="23"/>
  <c r="G58" s="1"/>
  <c r="N13" i="19"/>
  <c r="O13"/>
  <c r="G5" i="21" s="1"/>
  <c r="N9" i="18"/>
  <c r="E5" i="23"/>
  <c r="E54" s="1"/>
  <c r="N24" i="18"/>
  <c r="E20" i="23"/>
  <c r="E69" s="1"/>
  <c r="O24" i="18"/>
  <c r="F16" i="21" s="1"/>
  <c r="N29" i="18"/>
  <c r="O33"/>
  <c r="F25" i="21" s="1"/>
  <c r="E25" i="23"/>
  <c r="E74" s="1"/>
  <c r="Q29" i="18"/>
  <c r="Q41" s="1"/>
  <c r="O29"/>
  <c r="F21" i="21" s="1"/>
  <c r="N19" i="18"/>
  <c r="O19"/>
  <c r="F11" i="21" s="1"/>
  <c r="E15" i="23"/>
  <c r="E64" s="1"/>
  <c r="S16" i="18"/>
  <c r="O25"/>
  <c r="F17" i="21" s="1"/>
  <c r="N25" i="18"/>
  <c r="E21" i="23"/>
  <c r="E70" s="1"/>
  <c r="E6"/>
  <c r="E55" s="1"/>
  <c r="N10" i="18"/>
  <c r="N23" i="20"/>
  <c r="S17"/>
  <c r="O23"/>
  <c r="H15" i="21" s="1"/>
  <c r="F19" i="23"/>
  <c r="F68" s="1"/>
  <c r="F3"/>
  <c r="F52" s="1"/>
  <c r="S13" i="20"/>
  <c r="N25"/>
  <c r="O25"/>
  <c r="H17" i="21" s="1"/>
  <c r="F21" i="23"/>
  <c r="F70" s="1"/>
  <c r="F8"/>
  <c r="F57" s="1"/>
  <c r="O12" i="20"/>
  <c r="H4" i="21" s="1"/>
  <c r="N12" i="20"/>
  <c r="N19"/>
  <c r="F15" i="23"/>
  <c r="F64" s="1"/>
  <c r="O19" i="20"/>
  <c r="H11" i="21" s="1"/>
  <c r="S16" i="20"/>
  <c r="N8"/>
  <c r="F4" i="23"/>
  <c r="F53" s="1"/>
  <c r="G4"/>
  <c r="G53" s="1"/>
  <c r="N8" i="19"/>
  <c r="G13" i="23"/>
  <c r="G62" s="1"/>
  <c r="O17" i="19"/>
  <c r="G9" i="21" s="1"/>
  <c r="N17" i="19"/>
  <c r="O22"/>
  <c r="G14" i="21" s="1"/>
  <c r="N22" i="19"/>
  <c r="G18" i="23"/>
  <c r="G67" s="1"/>
  <c r="G20"/>
  <c r="G69" s="1"/>
  <c r="N24" i="19"/>
  <c r="O24"/>
  <c r="G16" i="21" s="1"/>
  <c r="S17" i="19"/>
  <c r="O23"/>
  <c r="G15" i="21" s="1"/>
  <c r="G19" i="23"/>
  <c r="G68" s="1"/>
  <c r="N23" i="19"/>
  <c r="Q29"/>
  <c r="Q41" s="1"/>
  <c r="O33"/>
  <c r="G25" i="21" s="1"/>
  <c r="N29" i="19"/>
  <c r="O29"/>
  <c r="G21" i="21" s="1"/>
  <c r="G25" i="23"/>
  <c r="G74" s="1"/>
  <c r="N13" i="18"/>
  <c r="O13"/>
  <c r="F5" i="21" s="1"/>
  <c r="E9" i="23"/>
  <c r="E58" s="1"/>
  <c r="O28" i="18"/>
  <c r="F20" i="21" s="1"/>
  <c r="O32" i="18"/>
  <c r="F24" i="21" s="1"/>
  <c r="E24" i="23"/>
  <c r="E73" s="1"/>
  <c r="Q28" i="18"/>
  <c r="Q40" s="1"/>
  <c r="N28"/>
  <c r="N21"/>
  <c r="O21"/>
  <c r="F13" i="21" s="1"/>
  <c r="E17" i="23"/>
  <c r="E66" s="1"/>
  <c r="E13"/>
  <c r="E62" s="1"/>
  <c r="N17" i="18"/>
  <c r="O17"/>
  <c r="F9" i="21" s="1"/>
  <c r="N20" i="18"/>
  <c r="O20"/>
  <c r="F12" i="21" s="1"/>
  <c r="E16" i="23"/>
  <c r="E65" s="1"/>
  <c r="E22"/>
  <c r="E71" s="1"/>
  <c r="O26" i="18"/>
  <c r="F18" i="21" s="1"/>
  <c r="Q26" i="18"/>
  <c r="N26"/>
  <c r="F16" i="23"/>
  <c r="F65" s="1"/>
  <c r="N20" i="20"/>
  <c r="O20"/>
  <c r="H12" i="21" s="1"/>
  <c r="O22" i="20"/>
  <c r="H14" i="21" s="1"/>
  <c r="N22" i="20"/>
  <c r="F18" i="23"/>
  <c r="F67" s="1"/>
  <c r="F11"/>
  <c r="F60" s="1"/>
  <c r="S15" i="20"/>
  <c r="O15"/>
  <c r="H7" i="21" s="1"/>
  <c r="N15" i="20"/>
  <c r="N16"/>
  <c r="O16"/>
  <c r="H8" i="21" s="1"/>
  <c r="F12" i="23"/>
  <c r="F61" s="1"/>
  <c r="F7"/>
  <c r="F56" s="1"/>
  <c r="N11" i="20"/>
  <c r="S14"/>
  <c r="O11"/>
  <c r="H3" i="21" s="1"/>
  <c r="F14" i="23"/>
  <c r="F63" s="1"/>
  <c r="N18" i="20"/>
  <c r="O18"/>
  <c r="H10" i="21" s="1"/>
  <c r="O21" i="19"/>
  <c r="G13" i="21" s="1"/>
  <c r="G17" i="23"/>
  <c r="G66" s="1"/>
  <c r="N21" i="19"/>
  <c r="N9"/>
  <c r="G5" i="23"/>
  <c r="G54" s="1"/>
  <c r="G10"/>
  <c r="G59" s="1"/>
  <c r="N14" i="19"/>
  <c r="O14"/>
  <c r="G6" i="21" s="1"/>
  <c r="Q26" i="19"/>
  <c r="O26"/>
  <c r="G18" i="21" s="1"/>
  <c r="G22" i="23"/>
  <c r="G71" s="1"/>
  <c r="N26" i="19"/>
  <c r="G3" i="23"/>
  <c r="G52" s="1"/>
  <c r="S13" i="19"/>
  <c r="N12"/>
  <c r="G8" i="23"/>
  <c r="G57" s="1"/>
  <c r="O12" i="19"/>
  <c r="G4" i="21" s="1"/>
  <c r="S14" i="18"/>
  <c r="N11"/>
  <c r="E7" i="23"/>
  <c r="E56" s="1"/>
  <c r="O11" i="18"/>
  <c r="F3" i="21" s="1"/>
  <c r="E3" i="23"/>
  <c r="E52" s="1"/>
  <c r="S13" i="18"/>
  <c r="N8"/>
  <c r="E4" i="23"/>
  <c r="E53" s="1"/>
  <c r="O16" i="18"/>
  <c r="F8" i="21" s="1"/>
  <c r="E12" i="23"/>
  <c r="E61" s="1"/>
  <c r="N16" i="18"/>
  <c r="S17"/>
  <c r="O23"/>
  <c r="F15" i="21" s="1"/>
  <c r="E19" i="23"/>
  <c r="E68" s="1"/>
  <c r="N23" i="18"/>
  <c r="O18"/>
  <c r="F10" i="21" s="1"/>
  <c r="E14" i="23"/>
  <c r="E63" s="1"/>
  <c r="N18" i="18"/>
  <c r="F20" i="23"/>
  <c r="F69" s="1"/>
  <c r="N24" i="20"/>
  <c r="O24"/>
  <c r="H16" i="21" s="1"/>
  <c r="O29" i="20"/>
  <c r="H21" i="21" s="1"/>
  <c r="O33" i="20"/>
  <c r="H25" i="21" s="1"/>
  <c r="F25" i="23"/>
  <c r="F74" s="1"/>
  <c r="Q29" i="20"/>
  <c r="Q41" s="1"/>
  <c r="N29"/>
  <c r="F22" i="23"/>
  <c r="F71" s="1"/>
  <c r="N26" i="20"/>
  <c r="O26"/>
  <c r="H18" i="21" s="1"/>
  <c r="Q26" i="20"/>
  <c r="F5" i="23"/>
  <c r="F54" s="1"/>
  <c r="N9" i="20"/>
  <c r="O14"/>
  <c r="H6" i="21" s="1"/>
  <c r="N14" i="20"/>
  <c r="F10" i="23"/>
  <c r="F59" s="1"/>
  <c r="N31" i="20"/>
  <c r="O30"/>
  <c r="H22" i="21" s="1"/>
  <c r="Q30" i="20"/>
  <c r="Q42" s="1"/>
  <c r="N30"/>
  <c r="F26" i="23"/>
  <c r="F75" s="1"/>
  <c r="O34" i="20"/>
  <c r="H26" i="21" s="1"/>
  <c r="N16" i="19"/>
  <c r="O16"/>
  <c r="G8" i="21" s="1"/>
  <c r="G12" i="23"/>
  <c r="G61" s="1"/>
  <c r="G21"/>
  <c r="G70" s="1"/>
  <c r="N25" i="19"/>
  <c r="O25"/>
  <c r="G17" i="21" s="1"/>
  <c r="N30" i="19"/>
  <c r="G26" i="21"/>
  <c r="G26" i="23"/>
  <c r="G75" s="1"/>
  <c r="N31" i="19"/>
  <c r="Q30"/>
  <c r="Q42" s="1"/>
  <c r="O30"/>
  <c r="G22" i="21" s="1"/>
  <c r="G14" i="23"/>
  <c r="G63" s="1"/>
  <c r="O18" i="19"/>
  <c r="G10" i="21" s="1"/>
  <c r="N18" i="19"/>
  <c r="N19"/>
  <c r="G15" i="23"/>
  <c r="G64" s="1"/>
  <c r="B64" s="1"/>
  <c r="S16" i="19"/>
  <c r="T16" s="1"/>
  <c r="O19"/>
  <c r="G11" i="21" s="1"/>
  <c r="S18" i="19"/>
  <c r="O31"/>
  <c r="G23" i="21" s="1"/>
  <c r="Q27" i="19"/>
  <c r="Q39" s="1"/>
  <c r="N27"/>
  <c r="O27"/>
  <c r="G19" i="21" s="1"/>
  <c r="G23" i="23"/>
  <c r="G72" s="1"/>
  <c r="E18"/>
  <c r="E67" s="1"/>
  <c r="N22" i="18"/>
  <c r="O22"/>
  <c r="F14" i="21" s="1"/>
  <c r="E10" i="23"/>
  <c r="E59" s="1"/>
  <c r="O14" i="18"/>
  <c r="F6" i="21" s="1"/>
  <c r="N14" i="18"/>
  <c r="N27"/>
  <c r="O31"/>
  <c r="F23" i="21" s="1"/>
  <c r="S18" i="18"/>
  <c r="O27"/>
  <c r="F19" i="21" s="1"/>
  <c r="Q27" i="18"/>
  <c r="Q39" s="1"/>
  <c r="E23" i="23"/>
  <c r="E72" s="1"/>
  <c r="O34" i="18"/>
  <c r="F26" i="21" s="1"/>
  <c r="O30" i="18"/>
  <c r="F22" i="21" s="1"/>
  <c r="E26" i="23"/>
  <c r="E75" s="1"/>
  <c r="N31" i="18"/>
  <c r="Q30"/>
  <c r="Q42" s="1"/>
  <c r="N30"/>
  <c r="O12"/>
  <c r="F4" i="21" s="1"/>
  <c r="E8" i="23"/>
  <c r="E57" s="1"/>
  <c r="N12" i="18"/>
  <c r="E11" i="23"/>
  <c r="E60" s="1"/>
  <c r="N15" i="18"/>
  <c r="O15"/>
  <c r="F7" i="21" s="1"/>
  <c r="S15" i="18"/>
  <c r="H81" i="14"/>
  <c r="U121"/>
  <c r="BG81"/>
  <c r="H121"/>
  <c r="F81"/>
  <c r="BF42"/>
  <c r="I81"/>
  <c r="BF81"/>
  <c r="AK121"/>
  <c r="BH81"/>
  <c r="AQ121"/>
  <c r="AG81"/>
  <c r="BD121"/>
  <c r="AU121"/>
  <c r="BD42"/>
  <c r="AQ81"/>
  <c r="N81"/>
  <c r="AG121"/>
  <c r="BE81"/>
  <c r="BE42"/>
  <c r="BI121"/>
  <c r="BI81"/>
  <c r="BK79"/>
  <c r="R121"/>
  <c r="O81"/>
  <c r="BK119"/>
  <c r="AW121"/>
  <c r="AS81"/>
  <c r="BB81"/>
  <c r="D24" i="9"/>
  <c r="E24" s="1"/>
  <c r="C14"/>
  <c r="B25"/>
  <c r="A66" i="26"/>
  <c r="A49"/>
  <c r="L49" s="1"/>
  <c r="A14"/>
  <c r="A32"/>
  <c r="A186"/>
  <c r="A208"/>
  <c r="A231" s="1"/>
  <c r="A255" s="1"/>
  <c r="A275" s="1"/>
  <c r="BA121" i="14"/>
  <c r="BE121"/>
  <c r="AT81"/>
  <c r="F14" i="9"/>
  <c r="C26"/>
  <c r="BL119" i="14"/>
  <c r="AB81"/>
  <c r="AB121"/>
  <c r="AC81"/>
  <c r="BJ119"/>
  <c r="AX121"/>
  <c r="AX81"/>
  <c r="Z81"/>
  <c r="AD121"/>
  <c r="Z121"/>
  <c r="AY81"/>
  <c r="F46" i="9"/>
  <c r="C59" s="1"/>
  <c r="D59" s="1"/>
  <c r="E59" s="1"/>
  <c r="D56"/>
  <c r="E56" s="1"/>
  <c r="C46"/>
  <c r="B60" s="1"/>
  <c r="D60" s="1"/>
  <c r="E60" s="1"/>
  <c r="A362" i="26"/>
  <c r="A378"/>
  <c r="S3"/>
  <c r="Q22"/>
  <c r="J283" s="1"/>
  <c r="BH42" i="14"/>
  <c r="BH121"/>
  <c r="BG42"/>
  <c r="BG121"/>
  <c r="Q46" i="20" l="1"/>
  <c r="M46" s="1"/>
  <c r="Q45" i="19"/>
  <c r="M45" s="1"/>
  <c r="G41" i="23" s="1"/>
  <c r="M41" i="19"/>
  <c r="Q44"/>
  <c r="M44" s="1"/>
  <c r="Q43" i="20"/>
  <c r="M43" s="1"/>
  <c r="Q46" i="18"/>
  <c r="M46" s="1"/>
  <c r="Q43" i="19"/>
  <c r="M43" s="1"/>
  <c r="T15" i="18"/>
  <c r="M42" i="19"/>
  <c r="Q46"/>
  <c r="M46" s="1"/>
  <c r="G42" i="23" s="1"/>
  <c r="M42" i="20"/>
  <c r="M41"/>
  <c r="Q45"/>
  <c r="M45" s="1"/>
  <c r="F41" i="23" s="1"/>
  <c r="Q44" i="20"/>
  <c r="M44" s="1"/>
  <c r="M40" i="19"/>
  <c r="G36" i="23" s="1"/>
  <c r="G85" s="1"/>
  <c r="M39" i="19"/>
  <c r="G35" i="23" s="1"/>
  <c r="G84" s="1"/>
  <c r="T14" i="20"/>
  <c r="T15" i="19"/>
  <c r="BL81" i="14"/>
  <c r="BJ81"/>
  <c r="BM81"/>
  <c r="B63" i="23"/>
  <c r="B62"/>
  <c r="B53"/>
  <c r="B55"/>
  <c r="B58"/>
  <c r="B60"/>
  <c r="B52"/>
  <c r="B68"/>
  <c r="B57"/>
  <c r="B61"/>
  <c r="Q43" i="18"/>
  <c r="M43" s="1"/>
  <c r="M39"/>
  <c r="T19" i="19"/>
  <c r="T18"/>
  <c r="M40" i="18"/>
  <c r="Q44"/>
  <c r="M44" s="1"/>
  <c r="E40" i="23" s="1"/>
  <c r="E89" s="1"/>
  <c r="M40" i="20"/>
  <c r="T15"/>
  <c r="T16" i="18"/>
  <c r="T17"/>
  <c r="B54" i="23"/>
  <c r="T16" i="20"/>
  <c r="B70" i="23"/>
  <c r="T14" i="18"/>
  <c r="B59" i="23"/>
  <c r="B66"/>
  <c r="B74"/>
  <c r="B69"/>
  <c r="B73"/>
  <c r="B65"/>
  <c r="T14" i="19"/>
  <c r="M42" i="18"/>
  <c r="T19"/>
  <c r="T18"/>
  <c r="Q45"/>
  <c r="M45" s="1"/>
  <c r="M41"/>
  <c r="M39" i="20"/>
  <c r="T18"/>
  <c r="T19"/>
  <c r="B72" i="23"/>
  <c r="B75"/>
  <c r="B71"/>
  <c r="T17" i="19"/>
  <c r="B67" i="23"/>
  <c r="T17" i="20"/>
  <c r="B56" i="23"/>
  <c r="BK81" i="14"/>
  <c r="BK121"/>
  <c r="C15" i="9"/>
  <c r="B26"/>
  <c r="D26"/>
  <c r="E26" s="1"/>
  <c r="A67" i="26"/>
  <c r="A50"/>
  <c r="L50" s="1"/>
  <c r="F15" i="9"/>
  <c r="C20"/>
  <c r="D20" s="1"/>
  <c r="E20" s="1"/>
  <c r="A187" i="26"/>
  <c r="A209"/>
  <c r="A232" s="1"/>
  <c r="A256" s="1"/>
  <c r="A276" s="1"/>
  <c r="A15"/>
  <c r="A33"/>
  <c r="BL121" i="14"/>
  <c r="BJ121"/>
  <c r="F47" i="9"/>
  <c r="C61" s="1"/>
  <c r="D53"/>
  <c r="E53" s="1"/>
  <c r="F48"/>
  <c r="D54"/>
  <c r="E54" s="1"/>
  <c r="C47"/>
  <c r="B61" s="1"/>
  <c r="A363" i="26"/>
  <c r="A379"/>
  <c r="S22"/>
  <c r="K283" s="1"/>
  <c r="U3"/>
  <c r="W3" s="1"/>
  <c r="W22" s="1"/>
  <c r="BI42" i="14"/>
  <c r="BK42" s="1"/>
  <c r="BJ42"/>
  <c r="BL42" s="1"/>
  <c r="BO42" s="1"/>
  <c r="Q50" i="19" l="1"/>
  <c r="M50" s="1"/>
  <c r="Q50" i="20"/>
  <c r="M50" s="1"/>
  <c r="Q48" i="18"/>
  <c r="E41" i="23"/>
  <c r="E90" s="1"/>
  <c r="F42"/>
  <c r="F91" s="1"/>
  <c r="N46" i="20"/>
  <c r="O46"/>
  <c r="H38" i="21" s="1"/>
  <c r="Q49" i="19"/>
  <c r="M49" s="1"/>
  <c r="Q47" i="18"/>
  <c r="Q49"/>
  <c r="M49" s="1"/>
  <c r="Q49" i="20"/>
  <c r="Q47"/>
  <c r="Q50" i="18"/>
  <c r="M50" s="1"/>
  <c r="E42" i="23"/>
  <c r="E91" s="1"/>
  <c r="Q48" i="20"/>
  <c r="M48" s="1"/>
  <c r="BX42" i="14"/>
  <c r="O46" i="18"/>
  <c r="F38" i="21" s="1"/>
  <c r="G40" i="23"/>
  <c r="G89" s="1"/>
  <c r="N44" i="19"/>
  <c r="O44"/>
  <c r="G36" i="21" s="1"/>
  <c r="G90" i="23"/>
  <c r="O45" i="19"/>
  <c r="G37" i="21" s="1"/>
  <c r="N45" i="19"/>
  <c r="O44" i="20"/>
  <c r="H36" i="21" s="1"/>
  <c r="F40" i="23"/>
  <c r="F89" s="1"/>
  <c r="N44" i="20"/>
  <c r="O41"/>
  <c r="H33" i="21" s="1"/>
  <c r="N41" i="20"/>
  <c r="G91" i="23"/>
  <c r="O46" i="19"/>
  <c r="G38" i="21" s="1"/>
  <c r="N46" i="19"/>
  <c r="Q47"/>
  <c r="E39" i="23"/>
  <c r="E88" s="1"/>
  <c r="O42" i="20"/>
  <c r="H34" i="21" s="1"/>
  <c r="N42" i="20"/>
  <c r="O43" i="19"/>
  <c r="G35" i="21" s="1"/>
  <c r="G39" i="23"/>
  <c r="G88" s="1"/>
  <c r="N43" i="19"/>
  <c r="F39" i="23"/>
  <c r="F88" s="1"/>
  <c r="O43" i="20"/>
  <c r="H35" i="21" s="1"/>
  <c r="N43" i="20"/>
  <c r="N41" i="19"/>
  <c r="O41"/>
  <c r="G33" i="21" s="1"/>
  <c r="O45" i="20"/>
  <c r="H37" i="21" s="1"/>
  <c r="F90" i="23"/>
  <c r="N45" i="20"/>
  <c r="O42" i="19"/>
  <c r="G34" i="21" s="1"/>
  <c r="N42" i="19"/>
  <c r="Q48"/>
  <c r="N39"/>
  <c r="O39"/>
  <c r="G31" i="21" s="1"/>
  <c r="N40" i="19"/>
  <c r="O40"/>
  <c r="G32" i="21" s="1"/>
  <c r="S22" i="19"/>
  <c r="N46" i="18"/>
  <c r="F35" i="23"/>
  <c r="F84" s="1"/>
  <c r="S21" i="20"/>
  <c r="T21" s="1"/>
  <c r="O39"/>
  <c r="H31" i="21" s="1"/>
  <c r="N39" i="20"/>
  <c r="S22"/>
  <c r="N40"/>
  <c r="F36" i="23"/>
  <c r="F85" s="1"/>
  <c r="O40" i="20"/>
  <c r="H32" i="21" s="1"/>
  <c r="F37" i="23"/>
  <c r="F86" s="1"/>
  <c r="O45" i="18"/>
  <c r="F37" i="21" s="1"/>
  <c r="N45" i="18"/>
  <c r="O42"/>
  <c r="F34" i="21" s="1"/>
  <c r="E38" i="23"/>
  <c r="E87" s="1"/>
  <c r="N42" i="18"/>
  <c r="N40"/>
  <c r="O40"/>
  <c r="F32" i="21" s="1"/>
  <c r="E36" i="23"/>
  <c r="E85" s="1"/>
  <c r="G38"/>
  <c r="G87" s="1"/>
  <c r="N41" i="18"/>
  <c r="O41"/>
  <c r="F33" i="21" s="1"/>
  <c r="E37" i="23"/>
  <c r="E86" s="1"/>
  <c r="F38"/>
  <c r="F87" s="1"/>
  <c r="O44" i="18"/>
  <c r="F36" i="21" s="1"/>
  <c r="N44" i="18"/>
  <c r="S22"/>
  <c r="O43"/>
  <c r="F35" i="21" s="1"/>
  <c r="N43" i="18"/>
  <c r="E35" i="23"/>
  <c r="E84" s="1"/>
  <c r="N39" i="18"/>
  <c r="O39"/>
  <c r="F31" i="21" s="1"/>
  <c r="S21" i="18"/>
  <c r="T21" s="1"/>
  <c r="G37" i="23"/>
  <c r="G86" s="1"/>
  <c r="C16" i="9"/>
  <c r="B28" s="1"/>
  <c r="D28" s="1"/>
  <c r="E28" s="1"/>
  <c r="B27"/>
  <c r="D27" s="1"/>
  <c r="E27" s="1"/>
  <c r="A364" i="26"/>
  <c r="A380"/>
  <c r="A16"/>
  <c r="A34"/>
  <c r="F16" i="9"/>
  <c r="C22" s="1"/>
  <c r="D22" s="1"/>
  <c r="E22" s="1"/>
  <c r="E30" s="1"/>
  <c r="D32" s="1"/>
  <c r="C25"/>
  <c r="D25" s="1"/>
  <c r="E25" s="1"/>
  <c r="A68" i="26"/>
  <c r="A51"/>
  <c r="L51" s="1"/>
  <c r="A188"/>
  <c r="A210"/>
  <c r="A233" s="1"/>
  <c r="A257" s="1"/>
  <c r="A277" s="1"/>
  <c r="D61" i="9"/>
  <c r="E61" s="1"/>
  <c r="BM42" i="14"/>
  <c r="BR42" s="1"/>
  <c r="BN42"/>
  <c r="BV42" s="1"/>
  <c r="S21" i="19"/>
  <c r="D58" i="9"/>
  <c r="E58" s="1"/>
  <c r="E63" s="1"/>
  <c r="D65" s="1"/>
  <c r="C48"/>
  <c r="O50" i="20" l="1"/>
  <c r="M49"/>
  <c r="O49" s="1"/>
  <c r="N50"/>
  <c r="N50" i="19"/>
  <c r="O50"/>
  <c r="M48"/>
  <c r="G93" i="23" s="1"/>
  <c r="M47" i="20"/>
  <c r="M48" i="18"/>
  <c r="N49" s="1"/>
  <c r="M47"/>
  <c r="F93" i="23"/>
  <c r="O48" i="20"/>
  <c r="H40" i="21" s="1"/>
  <c r="N49" i="20"/>
  <c r="F94" i="23"/>
  <c r="O49" i="18"/>
  <c r="E94" i="23"/>
  <c r="M47" i="19"/>
  <c r="N47" s="1"/>
  <c r="G94" i="23"/>
  <c r="O49" i="19"/>
  <c r="N50" i="18"/>
  <c r="O50"/>
  <c r="BS42" i="14"/>
  <c r="BT42"/>
  <c r="T22" i="20"/>
  <c r="T22" i="18"/>
  <c r="BP42" i="14"/>
  <c r="BY42" s="1"/>
  <c r="BQ42"/>
  <c r="T21" i="19"/>
  <c r="T22"/>
  <c r="A69" i="26"/>
  <c r="A52"/>
  <c r="L52" s="1"/>
  <c r="A381"/>
  <c r="A365"/>
  <c r="A189"/>
  <c r="A211"/>
  <c r="A234" s="1"/>
  <c r="A258" s="1"/>
  <c r="A278" s="1"/>
  <c r="A17"/>
  <c r="A35"/>
  <c r="O47" i="20" l="1"/>
  <c r="H39" i="21" s="1"/>
  <c r="N48" i="20"/>
  <c r="S23"/>
  <c r="T23" s="1"/>
  <c r="H49" i="21"/>
  <c r="N47" i="20"/>
  <c r="N49" i="19"/>
  <c r="F43" i="23"/>
  <c r="F92" s="1"/>
  <c r="E93"/>
  <c r="O48" i="18"/>
  <c r="F40" i="21" s="1"/>
  <c r="O48" i="19"/>
  <c r="G40" i="21" s="1"/>
  <c r="O47" i="19"/>
  <c r="N48"/>
  <c r="E43" i="23"/>
  <c r="E92" s="1"/>
  <c r="S23" i="18"/>
  <c r="T23" s="1"/>
  <c r="N47"/>
  <c r="O47"/>
  <c r="F39" i="21" s="1"/>
  <c r="N48" i="18"/>
  <c r="S23" i="19"/>
  <c r="T23" s="1"/>
  <c r="G43" i="23"/>
  <c r="G92" s="1"/>
  <c r="A366" i="26"/>
  <c r="A382"/>
  <c r="A190"/>
  <c r="A212"/>
  <c r="A235" s="1"/>
  <c r="A259" s="1"/>
  <c r="A279" s="1"/>
  <c r="A70"/>
  <c r="A53"/>
  <c r="L53" s="1"/>
  <c r="A18"/>
  <c r="A36"/>
  <c r="F101" i="23" l="1"/>
  <c r="G39" i="21"/>
  <c r="G50" s="1"/>
  <c r="F102" i="23"/>
  <c r="H48" i="21"/>
  <c r="F103" i="23"/>
  <c r="F104"/>
  <c r="H50" i="21"/>
  <c r="H51"/>
  <c r="G102" i="23"/>
  <c r="F50" i="21"/>
  <c r="G104" i="23"/>
  <c r="G103"/>
  <c r="E102"/>
  <c r="F49" i="21"/>
  <c r="F48"/>
  <c r="G101" i="23"/>
  <c r="F51" i="21"/>
  <c r="E103" i="23"/>
  <c r="E104"/>
  <c r="E101"/>
  <c r="A213" i="26"/>
  <c r="A236" s="1"/>
  <c r="A260" s="1"/>
  <c r="A280" s="1"/>
  <c r="A191"/>
  <c r="A214" s="1"/>
  <c r="A237" s="1"/>
  <c r="A261" s="1"/>
  <c r="A37"/>
  <c r="A19"/>
  <c r="A38" s="1"/>
  <c r="A367"/>
  <c r="A383"/>
  <c r="A71"/>
  <c r="A54"/>
  <c r="L54" s="1"/>
  <c r="G49" i="21" l="1"/>
  <c r="G48"/>
  <c r="G51"/>
  <c r="A281" i="26"/>
  <c r="A295"/>
  <c r="A368"/>
  <c r="A384"/>
  <c r="A72"/>
  <c r="A55"/>
  <c r="L55" l="1"/>
  <c r="A56"/>
  <c r="A73"/>
  <c r="A369"/>
  <c r="A385"/>
  <c r="A386" l="1"/>
  <c r="A370"/>
  <c r="A387" s="1"/>
  <c r="A74"/>
  <c r="L56"/>
  <c r="Q39" i="12"/>
  <c r="Q48"/>
  <c r="S48" s="1"/>
  <c r="T48" l="1"/>
  <c r="U48" s="1"/>
  <c r="V48" s="1"/>
  <c r="W48" s="1"/>
  <c r="X48" s="1"/>
  <c r="R98"/>
  <c r="Q98"/>
  <c r="Q41"/>
  <c r="Q58"/>
  <c r="S58" s="1"/>
  <c r="M42" i="6"/>
  <c r="M41"/>
  <c r="T58" i="12" l="1"/>
  <c r="U58" s="1"/>
  <c r="V58" s="1"/>
  <c r="W58" s="1"/>
  <c r="X58" s="1"/>
  <c r="Q60"/>
  <c r="S60" s="1"/>
  <c r="Q100"/>
  <c r="R100"/>
  <c r="N42" i="6"/>
  <c r="O42"/>
  <c r="D34" i="21" s="1"/>
  <c r="O46" i="6"/>
  <c r="D38" i="21" s="1"/>
  <c r="O41" i="6"/>
  <c r="D33" i="21" s="1"/>
  <c r="N41" i="6"/>
  <c r="O45"/>
  <c r="D37" i="21" s="1"/>
  <c r="C38" i="23"/>
  <c r="C87" s="1"/>
  <c r="C37"/>
  <c r="C86" s="1"/>
  <c r="Q173" i="12"/>
  <c r="Q180"/>
  <c r="Q166"/>
  <c r="Q175"/>
  <c r="Q179"/>
  <c r="Q168"/>
  <c r="Q170"/>
  <c r="Q176"/>
  <c r="Q177"/>
  <c r="Q178"/>
  <c r="Q172"/>
  <c r="Q169"/>
  <c r="Q171"/>
  <c r="Q174"/>
  <c r="Q181"/>
  <c r="Q167"/>
  <c r="M44" i="6"/>
  <c r="C36" i="23"/>
  <c r="C85" s="1"/>
  <c r="M43" i="6"/>
  <c r="S21"/>
  <c r="T21" s="1"/>
  <c r="C35" i="23"/>
  <c r="C84" s="1"/>
  <c r="N40" i="6"/>
  <c r="N39"/>
  <c r="O39"/>
  <c r="D31" i="21" s="1"/>
  <c r="O40" i="6"/>
  <c r="D32" i="21" s="1"/>
  <c r="T60" i="12" l="1"/>
  <c r="U60" s="1"/>
  <c r="V60" s="1"/>
  <c r="W60" s="1"/>
  <c r="X60" s="1"/>
  <c r="O43" i="6"/>
  <c r="D35" i="21" s="1"/>
  <c r="N43" i="6"/>
  <c r="O47"/>
  <c r="D39" i="21" s="1"/>
  <c r="O44" i="6"/>
  <c r="D36" i="21" s="1"/>
  <c r="N44" i="6"/>
  <c r="N45"/>
  <c r="O48"/>
  <c r="D40" i="21" s="1"/>
  <c r="C39" i="23"/>
  <c r="C88" s="1"/>
  <c r="C40"/>
  <c r="C89" s="1"/>
  <c r="S22" i="6"/>
  <c r="S26" i="12"/>
  <c r="S85" l="1"/>
  <c r="T22" i="6"/>
  <c r="T23"/>
  <c r="D49" i="21"/>
  <c r="D48"/>
  <c r="C102" i="23"/>
  <c r="C101"/>
  <c r="C104"/>
  <c r="D51" i="21"/>
  <c r="C103" i="23"/>
  <c r="D50" i="21"/>
  <c r="BN26" i="13"/>
  <c r="BR106" s="1"/>
  <c r="S39" i="12"/>
  <c r="S41" l="1"/>
  <c r="S179" s="1"/>
  <c r="S98"/>
  <c r="BN106" i="13"/>
  <c r="BN66"/>
  <c r="BO66"/>
  <c r="BO106"/>
  <c r="BN39"/>
  <c r="BR119" s="1"/>
  <c r="S170" i="12" l="1"/>
  <c r="S176"/>
  <c r="S174"/>
  <c r="S171"/>
  <c r="S169"/>
  <c r="S172"/>
  <c r="S181"/>
  <c r="S173"/>
  <c r="S177"/>
  <c r="S180"/>
  <c r="S100"/>
  <c r="S175"/>
  <c r="S178"/>
  <c r="S167"/>
  <c r="S168"/>
  <c r="S166"/>
  <c r="BO79" i="13"/>
  <c r="BO119"/>
  <c r="BN79"/>
  <c r="BN119"/>
  <c r="J30" i="4" l="1"/>
  <c r="N30"/>
  <c r="H30"/>
  <c r="M30"/>
  <c r="BP66" i="13"/>
  <c r="J32" i="4" l="1"/>
  <c r="J35"/>
  <c r="J33"/>
  <c r="J34"/>
  <c r="H33"/>
  <c r="H32"/>
  <c r="H35"/>
  <c r="H34"/>
  <c r="N33"/>
  <c r="N32"/>
  <c r="L54" s="1"/>
  <c r="N35"/>
  <c r="N34"/>
  <c r="M35"/>
  <c r="M34"/>
  <c r="M33"/>
  <c r="M32"/>
  <c r="K54" s="1"/>
  <c r="D33"/>
  <c r="D32"/>
  <c r="E54" s="1"/>
  <c r="D35"/>
  <c r="D34"/>
  <c r="BP79" i="13"/>
  <c r="BQ79" l="1"/>
  <c r="BO40" i="14"/>
  <c r="BS120" s="1"/>
  <c r="BO120" l="1"/>
  <c r="BN41" i="13"/>
  <c r="BR121" s="1"/>
  <c r="BO80"/>
  <c r="BN40" i="14"/>
  <c r="BR120" s="1"/>
  <c r="BN120" i="13"/>
  <c r="BN80"/>
  <c r="BO41" i="14"/>
  <c r="BS121" s="1"/>
  <c r="BQ40"/>
  <c r="BP80" i="13"/>
  <c r="BO120"/>
  <c r="BQ80"/>
  <c r="BP40" i="14"/>
  <c r="BT120" s="1"/>
  <c r="BU120" l="1"/>
  <c r="BR80"/>
  <c r="BO80"/>
  <c r="BO121"/>
  <c r="BP120"/>
  <c r="BP80"/>
  <c r="BQ80"/>
  <c r="BQ120"/>
  <c r="BN80"/>
  <c r="BN120"/>
  <c r="BQ41"/>
  <c r="BP81" i="13"/>
  <c r="BN41" i="14"/>
  <c r="BO81" i="13"/>
  <c r="BO121"/>
  <c r="BP41" i="14"/>
  <c r="BT121" s="1"/>
  <c r="BQ81" i="13"/>
  <c r="BN121"/>
  <c r="BN81"/>
  <c r="BU121" i="14" l="1"/>
  <c r="BR81"/>
  <c r="BO81"/>
  <c r="BR121"/>
  <c r="BQ81"/>
  <c r="BQ121"/>
  <c r="BN81"/>
  <c r="BN121"/>
  <c r="BP81"/>
  <c r="BP121"/>
  <c r="BX28" i="13"/>
  <c r="BX28" i="14" s="1"/>
  <c r="U47" i="12"/>
  <c r="BV28" i="13"/>
  <c r="BW28"/>
  <c r="BW28" i="14" s="1"/>
  <c r="BW108" l="1"/>
  <c r="BX68"/>
  <c r="BX108"/>
  <c r="BV68" i="13"/>
  <c r="BV28" i="14"/>
  <c r="BW68" s="1"/>
  <c r="BW68" i="13"/>
  <c r="V47" i="12"/>
  <c r="W47" s="1"/>
  <c r="X47" s="1"/>
  <c r="BY28" i="13"/>
  <c r="T28" i="12" s="1"/>
  <c r="BX68" i="13"/>
  <c r="BV108"/>
  <c r="BX108"/>
  <c r="BW108"/>
  <c r="BV68" i="14" l="1"/>
  <c r="BV108"/>
  <c r="BY68" i="13"/>
  <c r="BY28" i="14"/>
  <c r="BY108" i="13"/>
  <c r="T87" i="12"/>
  <c r="BX27" i="13"/>
  <c r="BW27"/>
  <c r="BW26" s="1"/>
  <c r="BW106" s="1"/>
  <c r="U46" i="12"/>
  <c r="V46" s="1"/>
  <c r="W46" s="1"/>
  <c r="X46" s="1"/>
  <c r="BV27" i="13"/>
  <c r="BV107" l="1"/>
  <c r="BV27" i="14"/>
  <c r="BX67" i="13"/>
  <c r="BX27" i="14"/>
  <c r="BW107" i="13"/>
  <c r="BW27" i="14"/>
  <c r="BY68"/>
  <c r="BY108"/>
  <c r="BW39" i="13"/>
  <c r="BX26"/>
  <c r="BX107"/>
  <c r="BY27"/>
  <c r="BY27" i="14" s="1"/>
  <c r="BV67" i="13"/>
  <c r="BW67"/>
  <c r="BV26"/>
  <c r="BY67" i="14" l="1"/>
  <c r="BY107"/>
  <c r="BY26"/>
  <c r="BW26"/>
  <c r="BW67"/>
  <c r="BW107"/>
  <c r="BV67"/>
  <c r="BV107"/>
  <c r="BV26"/>
  <c r="BX26"/>
  <c r="BX67"/>
  <c r="BX107"/>
  <c r="T27" i="12"/>
  <c r="T86" s="1"/>
  <c r="BW119" i="13"/>
  <c r="BW41"/>
  <c r="BV66"/>
  <c r="BV106"/>
  <c r="BV39"/>
  <c r="BY107"/>
  <c r="BY67"/>
  <c r="BY26"/>
  <c r="BX39"/>
  <c r="BX106"/>
  <c r="BX66"/>
  <c r="BW66"/>
  <c r="BX66" i="14" l="1"/>
  <c r="BX106"/>
  <c r="BX39"/>
  <c r="T26" i="12"/>
  <c r="T85" s="1"/>
  <c r="BY66" i="14"/>
  <c r="BY106"/>
  <c r="BY39"/>
  <c r="BV66"/>
  <c r="BV106"/>
  <c r="BV39"/>
  <c r="BW66"/>
  <c r="BW106"/>
  <c r="BW39"/>
  <c r="BW121" i="13"/>
  <c r="BY106"/>
  <c r="BY66"/>
  <c r="BY39"/>
  <c r="BX119"/>
  <c r="BX79"/>
  <c r="BX41"/>
  <c r="BV79"/>
  <c r="BV41"/>
  <c r="BW81" s="1"/>
  <c r="BV119"/>
  <c r="T39" i="12"/>
  <c r="BW79" i="13"/>
  <c r="BW41" i="14" l="1"/>
  <c r="BW79"/>
  <c r="BW119"/>
  <c r="BV41"/>
  <c r="BV79"/>
  <c r="BV119"/>
  <c r="BY41"/>
  <c r="BY79"/>
  <c r="BY119"/>
  <c r="BX41"/>
  <c r="BX79"/>
  <c r="BX119"/>
  <c r="BX121" i="13"/>
  <c r="BX81"/>
  <c r="BV81"/>
  <c r="BV121"/>
  <c r="T41" i="12"/>
  <c r="T179" s="1"/>
  <c r="T98"/>
  <c r="BY119" i="13"/>
  <c r="BY41"/>
  <c r="BY79"/>
  <c r="BX81" i="14" l="1"/>
  <c r="BX121"/>
  <c r="BW81"/>
  <c r="BW121"/>
  <c r="BY81"/>
  <c r="BY121"/>
  <c r="BV81"/>
  <c r="BV121"/>
  <c r="T178" i="12"/>
  <c r="T100"/>
  <c r="T181"/>
  <c r="T172"/>
  <c r="T171"/>
  <c r="T174"/>
  <c r="T177"/>
  <c r="T168"/>
  <c r="T180"/>
  <c r="T173"/>
  <c r="T170"/>
  <c r="T169"/>
  <c r="T175"/>
  <c r="T176"/>
  <c r="T167"/>
  <c r="T166"/>
  <c r="BY121" i="13"/>
  <c r="BY81"/>
  <c r="O41" i="17"/>
  <c r="E33" i="21" s="1"/>
  <c r="D46" i="23"/>
  <c r="D95" s="1"/>
  <c r="B95" s="1"/>
  <c r="D42"/>
  <c r="D91" s="1"/>
  <c r="B91" s="1"/>
  <c r="M53" i="17"/>
  <c r="M48"/>
  <c r="D44" i="23" s="1"/>
  <c r="D93" s="1"/>
  <c r="B93" s="1"/>
  <c r="M40" i="17"/>
  <c r="D36" i="23" s="1"/>
  <c r="D85" s="1"/>
  <c r="B85" s="1"/>
  <c r="M43" i="17"/>
  <c r="D39" i="23" s="1"/>
  <c r="D88" s="1"/>
  <c r="B88" s="1"/>
  <c r="M50" i="17"/>
  <c r="M54"/>
  <c r="O54" s="1"/>
  <c r="E46" i="21" s="1"/>
  <c r="M52" i="17"/>
  <c r="O52" s="1"/>
  <c r="E44" i="21" s="1"/>
  <c r="M51" i="17"/>
  <c r="N51" s="1"/>
  <c r="M46"/>
  <c r="M45"/>
  <c r="M49"/>
  <c r="N49" s="1"/>
  <c r="M47"/>
  <c r="N47" s="1"/>
  <c r="M39"/>
  <c r="D35" i="23" s="1"/>
  <c r="D84" s="1"/>
  <c r="M41" i="17"/>
  <c r="N41" s="1"/>
  <c r="M42"/>
  <c r="O46" s="1"/>
  <c r="E38" i="21" s="1"/>
  <c r="M44" i="17"/>
  <c r="D40" i="23" s="1"/>
  <c r="D89" s="1"/>
  <c r="B89" s="1"/>
  <c r="N46" i="17" l="1"/>
  <c r="O50"/>
  <c r="E42" i="21" s="1"/>
  <c r="N53" i="17"/>
  <c r="S23"/>
  <c r="T23" s="1"/>
  <c r="N45"/>
  <c r="B84" i="23"/>
  <c r="O49" i="17"/>
  <c r="E41" i="21" s="1"/>
  <c r="N39" i="17"/>
  <c r="D38" i="23"/>
  <c r="D87" s="1"/>
  <c r="B87" s="1"/>
  <c r="O39" i="17"/>
  <c r="E31" i="21" s="1"/>
  <c r="D41" i="23"/>
  <c r="D90" s="1"/>
  <c r="B90" s="1"/>
  <c r="D48"/>
  <c r="D97" s="1"/>
  <c r="B97" s="1"/>
  <c r="D50"/>
  <c r="D99" s="1"/>
  <c r="B99" s="1"/>
  <c r="O51" i="17"/>
  <c r="E43" i="21" s="1"/>
  <c r="D49" i="23"/>
  <c r="D98" s="1"/>
  <c r="B98" s="1"/>
  <c r="O40" i="17"/>
  <c r="E32" i="21" s="1"/>
  <c r="N52" i="17"/>
  <c r="O47"/>
  <c r="E39" i="21" s="1"/>
  <c r="S22" i="17"/>
  <c r="O42"/>
  <c r="E34" i="21" s="1"/>
  <c r="O45" i="17"/>
  <c r="E37" i="21" s="1"/>
  <c r="S21" i="17"/>
  <c r="T21" s="1"/>
  <c r="D37" i="23"/>
  <c r="D86" s="1"/>
  <c r="B86" s="1"/>
  <c r="O48" i="17"/>
  <c r="E40" i="21" s="1"/>
  <c r="D47" i="23"/>
  <c r="D96" s="1"/>
  <c r="B96" s="1"/>
  <c r="N42" i="17"/>
  <c r="O43"/>
  <c r="E35" i="21" s="1"/>
  <c r="N44" i="17"/>
  <c r="N43"/>
  <c r="O44"/>
  <c r="E36" i="21" s="1"/>
  <c r="N40" i="17"/>
  <c r="N48"/>
  <c r="D45" i="23"/>
  <c r="D94" s="1"/>
  <c r="B94" s="1"/>
  <c r="S24" i="17"/>
  <c r="N50"/>
  <c r="O53"/>
  <c r="E45" i="21" s="1"/>
  <c r="N54" i="17"/>
  <c r="D43" i="23"/>
  <c r="D92" s="1"/>
  <c r="B92" s="1"/>
  <c r="T24" i="17" l="1"/>
  <c r="B101" i="23"/>
  <c r="B103"/>
  <c r="B104"/>
  <c r="B102"/>
  <c r="E50" i="21"/>
  <c r="E51"/>
  <c r="E49"/>
  <c r="E48"/>
  <c r="D102" i="23"/>
  <c r="D104"/>
  <c r="D103"/>
  <c r="T22" i="17"/>
  <c r="D101" i="23"/>
</calcChain>
</file>

<file path=xl/comments1.xml><?xml version="1.0" encoding="utf-8"?>
<comments xmlns="http://schemas.openxmlformats.org/spreadsheetml/2006/main">
  <authors>
    <author>ANubieZ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 xml:space="preserve">Source:  </t>
        </r>
        <r>
          <rPr>
            <sz val="8"/>
            <color indexed="81"/>
            <rFont val="Tahoma"/>
            <family val="2"/>
          </rPr>
          <t xml:space="preserve">
IHS Global Insight
Regional eXplorer 549 (2.3f)
</t>
        </r>
      </text>
    </comment>
  </commentList>
</comments>
</file>

<file path=xl/sharedStrings.xml><?xml version="1.0" encoding="utf-8"?>
<sst xmlns="http://schemas.openxmlformats.org/spreadsheetml/2006/main" count="1831" uniqueCount="431">
  <si>
    <t>Primary Industries</t>
  </si>
  <si>
    <t>Agriculture, forestry and fishing</t>
  </si>
  <si>
    <t>Mining and quarrying</t>
  </si>
  <si>
    <t>Secondary Industries</t>
  </si>
  <si>
    <t>Manufacturing</t>
  </si>
  <si>
    <t>Electricity, gas and water</t>
  </si>
  <si>
    <t>Construction</t>
  </si>
  <si>
    <t>Tertiary industries</t>
  </si>
  <si>
    <t>Wholesale &amp; retail trade; hotels &amp; restaurants</t>
  </si>
  <si>
    <t>Transport , storage and communication</t>
  </si>
  <si>
    <t>Finance, real estate and business services</t>
  </si>
  <si>
    <t>Personal services</t>
  </si>
  <si>
    <t>General government services</t>
  </si>
  <si>
    <t>All industries at basic prices</t>
  </si>
  <si>
    <t>Taxes less subsidies on products</t>
  </si>
  <si>
    <t>GDPR at market prices</t>
  </si>
  <si>
    <t>2000</t>
  </si>
  <si>
    <t>2001</t>
  </si>
  <si>
    <t>2002</t>
  </si>
  <si>
    <t>Average Year on Year Growth Rate</t>
  </si>
  <si>
    <t>Average Yearly Contributions</t>
  </si>
  <si>
    <t>Year-on-Year Growth Rates per Sector</t>
  </si>
  <si>
    <t>2007g4</t>
  </si>
  <si>
    <t>KZN Budget</t>
  </si>
  <si>
    <t>KZN GDP</t>
  </si>
  <si>
    <t>KZN Budget as a % of KZN GDP</t>
  </si>
  <si>
    <t>Government Services as a % of KZN Budget</t>
  </si>
  <si>
    <t>Government Services as a % of KZN GDP</t>
  </si>
  <si>
    <t>Average</t>
  </si>
  <si>
    <t>CPI</t>
  </si>
  <si>
    <t>KZN Population (15-65)</t>
  </si>
  <si>
    <t>KZN Population (All Ages)</t>
  </si>
  <si>
    <t>Average Real Value</t>
  </si>
  <si>
    <t>Average Year-on-Year Percentage Change</t>
  </si>
  <si>
    <t>KZN Budget per Capita (All Ages)</t>
  </si>
  <si>
    <t>KZN Budget per Capita (15-65)</t>
  </si>
  <si>
    <t>KZN GDP Per Capita (All Ages)</t>
  </si>
  <si>
    <t>KZN GDP Per Capita (15-65)</t>
  </si>
  <si>
    <t>National public-sector expenditure to GDP</t>
  </si>
  <si>
    <t>Persons</t>
  </si>
  <si>
    <t>African</t>
  </si>
  <si>
    <t>Coloured</t>
  </si>
  <si>
    <t>Indian</t>
  </si>
  <si>
    <t>White</t>
  </si>
  <si>
    <t>Total Population</t>
  </si>
  <si>
    <t>Gender By Age</t>
  </si>
  <si>
    <t>Males - 0 to 4</t>
  </si>
  <si>
    <t>Males - 5 to 14</t>
  </si>
  <si>
    <t>Males - 15 to 34</t>
  </si>
  <si>
    <t>Males - 35 to 64</t>
  </si>
  <si>
    <t>Males - Over 65</t>
  </si>
  <si>
    <t>Females - 0 to 4</t>
  </si>
  <si>
    <t>Females - 5 to 14</t>
  </si>
  <si>
    <t>Females - 15 to 34</t>
  </si>
  <si>
    <t>Females - 35 to 64</t>
  </si>
  <si>
    <t>Females - Over 65</t>
  </si>
  <si>
    <t>Males - Total</t>
  </si>
  <si>
    <t>Females - Total</t>
  </si>
  <si>
    <t>None</t>
  </si>
  <si>
    <t>Highest Education Levels Attained by Over 20 year olds</t>
  </si>
  <si>
    <t>No Schooling</t>
  </si>
  <si>
    <t>Some Primary</t>
  </si>
  <si>
    <t>Complete Primary</t>
  </si>
  <si>
    <t>Secondary</t>
  </si>
  <si>
    <t>Grade 12</t>
  </si>
  <si>
    <t>Higher</t>
  </si>
  <si>
    <t>Employed</t>
  </si>
  <si>
    <t>Unemployed</t>
  </si>
  <si>
    <t>Not Economically Active</t>
  </si>
  <si>
    <t>Total Labour Force</t>
  </si>
  <si>
    <t>Agriculture/Forestry/Fishing</t>
  </si>
  <si>
    <t>Community/Social/Personal</t>
  </si>
  <si>
    <t>Electricity/Gas/Water</t>
  </si>
  <si>
    <t>Financial/Insurance/Real Estate/Business</t>
  </si>
  <si>
    <t>Mining/Quarrying</t>
  </si>
  <si>
    <t>Private Households</t>
  </si>
  <si>
    <t>Transport/Storage/Communication</t>
  </si>
  <si>
    <t>Wholesale/Retail</t>
  </si>
  <si>
    <t>Occupation</t>
  </si>
  <si>
    <t>Clerks</t>
  </si>
  <si>
    <t>Professionals</t>
  </si>
  <si>
    <t>R1 - 400</t>
  </si>
  <si>
    <t>R401 - 800</t>
  </si>
  <si>
    <t>R801 - 1600</t>
  </si>
  <si>
    <t>R1601 - 3200</t>
  </si>
  <si>
    <t>R3201 - 6400</t>
  </si>
  <si>
    <t>R6401 - 12800</t>
  </si>
  <si>
    <t>R12801 - 25600</t>
  </si>
  <si>
    <t>R25601 - 51200</t>
  </si>
  <si>
    <t>R51201 - 102400</t>
  </si>
  <si>
    <t>R102401 - 204800</t>
  </si>
  <si>
    <t>Over R204801</t>
  </si>
  <si>
    <t>Dwelling Type</t>
  </si>
  <si>
    <t>Households</t>
  </si>
  <si>
    <t>Formal</t>
  </si>
  <si>
    <t>Informal</t>
  </si>
  <si>
    <t>Traditional</t>
  </si>
  <si>
    <t>% change 1996 - 2001</t>
  </si>
  <si>
    <t>% of population 1996</t>
  </si>
  <si>
    <t>Density area (km)</t>
  </si>
  <si>
    <t>people per km 2001</t>
  </si>
  <si>
    <t>people per km 1996</t>
  </si>
  <si>
    <t>Labour Force;  Persons</t>
  </si>
  <si>
    <t>Unemployment rate 2001</t>
  </si>
  <si>
    <t>Increase in number of unemployed, 1996-2001</t>
  </si>
  <si>
    <t>Industry; Persons</t>
  </si>
  <si>
    <t>% of employed 1996</t>
  </si>
  <si>
    <t>% of employed 2001</t>
  </si>
  <si>
    <t>Individual Monthly Income:  Persons</t>
  </si>
  <si>
    <t>Total Individual Income (pm)</t>
  </si>
  <si>
    <t>Total Individual Income (pa)</t>
  </si>
  <si>
    <t>Number of Households</t>
  </si>
  <si>
    <t>% of population 2001</t>
  </si>
  <si>
    <t>people per km 2007</t>
  </si>
  <si>
    <t>% of population 2007</t>
  </si>
  <si>
    <t>% change 2001 - 2007</t>
  </si>
  <si>
    <t>Workforce</t>
  </si>
  <si>
    <t>Unemployment rate 1996</t>
  </si>
  <si>
    <t>Unemployment rate 2007</t>
  </si>
  <si>
    <t>Legislators; senior officials and managers</t>
  </si>
  <si>
    <t>Technicians and associate professionals</t>
  </si>
  <si>
    <t>Skilled agricultural and fishery workers</t>
  </si>
  <si>
    <t>Craft and related trades workers</t>
  </si>
  <si>
    <t>Plant and machine operators and assemblers</t>
  </si>
  <si>
    <t>Old age pension</t>
  </si>
  <si>
    <t>Disability grant</t>
  </si>
  <si>
    <t>Child support grant</t>
  </si>
  <si>
    <t>Care dependency grant</t>
  </si>
  <si>
    <t>Foster care grant</t>
  </si>
  <si>
    <t>Grant in aid</t>
  </si>
  <si>
    <t>Social relief</t>
  </si>
  <si>
    <t>Multiple social grants</t>
  </si>
  <si>
    <t>Black</t>
  </si>
  <si>
    <t>Indian or Asian</t>
  </si>
  <si>
    <t>Total</t>
  </si>
  <si>
    <t>0 - 4</t>
  </si>
  <si>
    <t>15 - 34</t>
  </si>
  <si>
    <t>35 - 64</t>
  </si>
  <si>
    <t>over 65</t>
  </si>
  <si>
    <t>5.-14</t>
  </si>
  <si>
    <t>Primary Sector</t>
  </si>
  <si>
    <t>Secondary Sector</t>
  </si>
  <si>
    <t>Tertiary Sector</t>
  </si>
  <si>
    <t>Per Capita Income</t>
  </si>
  <si>
    <t>SOCIO-ECONOMIC ANALYSIS</t>
  </si>
  <si>
    <t>Skilled Labour</t>
  </si>
  <si>
    <t>Total over 20 Year Population</t>
  </si>
  <si>
    <t>Labour Force as a % of Total Population</t>
  </si>
  <si>
    <t>Unemployed as a % of Total Labour Force</t>
  </si>
  <si>
    <t>% of employed 2002</t>
  </si>
  <si>
    <t>Elementary</t>
  </si>
  <si>
    <t>Service workers; shop and market sales worker</t>
  </si>
  <si>
    <t>Less than R1600</t>
  </si>
  <si>
    <t>More than R1600</t>
  </si>
  <si>
    <t>% of Total Households 1996</t>
  </si>
  <si>
    <t>% of Total Households 1998</t>
  </si>
  <si>
    <t>% of Total Households 2001</t>
  </si>
  <si>
    <t>Number of people per Household</t>
  </si>
  <si>
    <t>As a % of Total Population</t>
  </si>
  <si>
    <t>% of Over 20 Population 1996</t>
  </si>
  <si>
    <t>% of Over 20 Population 1998</t>
  </si>
  <si>
    <t>% of Over 20 Population 2001</t>
  </si>
  <si>
    <t>% of Over 20 Population 2007</t>
  </si>
  <si>
    <t xml:space="preserve">Yearly Provincial Sector as a % of National Sector GDP </t>
  </si>
  <si>
    <t>Provincial GDP Rating</t>
  </si>
  <si>
    <t>Sum</t>
  </si>
  <si>
    <t>National Industry</t>
  </si>
  <si>
    <t>Provincial Industry</t>
  </si>
  <si>
    <t>KZN – GDPR by activity</t>
  </si>
  <si>
    <t>Structure Relationship</t>
  </si>
  <si>
    <t>National - Provincial Structure</t>
  </si>
  <si>
    <t>PA Change</t>
  </si>
  <si>
    <t xml:space="preserve">Quarterly Change </t>
  </si>
  <si>
    <t>2007g1</t>
  </si>
  <si>
    <t>2007g2</t>
  </si>
  <si>
    <t>2007g3</t>
  </si>
  <si>
    <t>2006g1</t>
  </si>
  <si>
    <t>2006g4</t>
  </si>
  <si>
    <t>2006g2</t>
  </si>
  <si>
    <t>2006g3</t>
  </si>
  <si>
    <t>2005g4</t>
  </si>
  <si>
    <t>2005g1</t>
  </si>
  <si>
    <t>2005g2</t>
  </si>
  <si>
    <t>2005g3</t>
  </si>
  <si>
    <t>2004g1</t>
  </si>
  <si>
    <t>2004g4</t>
  </si>
  <si>
    <t>2004g2</t>
  </si>
  <si>
    <t>2004g3</t>
  </si>
  <si>
    <t>2003g4</t>
  </si>
  <si>
    <t>2003g1</t>
  </si>
  <si>
    <t>2003g2</t>
  </si>
  <si>
    <t>2003g3</t>
  </si>
  <si>
    <t>2002g4</t>
  </si>
  <si>
    <t>2002g1</t>
  </si>
  <si>
    <t>2002g2</t>
  </si>
  <si>
    <t>2002g3</t>
  </si>
  <si>
    <t>2001g4</t>
  </si>
  <si>
    <t>2001g1</t>
  </si>
  <si>
    <t>2001g2</t>
  </si>
  <si>
    <t>2001g3</t>
  </si>
  <si>
    <t xml:space="preserve">Annual Change </t>
  </si>
  <si>
    <t xml:space="preserve">Seasonally adjusted and annualised quarterly  - Rand million </t>
  </si>
  <si>
    <t>Seasonally adjusted and annualised quarterly Rates per Sector</t>
  </si>
  <si>
    <t xml:space="preserve"> Yearly Provincial Contribution Rates per Sector</t>
  </si>
  <si>
    <t>Seasonally adjusted and annualised quarterly GDP and GDPR</t>
  </si>
  <si>
    <t>Quarterly GDP and GDPR</t>
  </si>
  <si>
    <t>Annual GDP and GDPR</t>
  </si>
  <si>
    <t>Per Annum Change %</t>
  </si>
  <si>
    <t>General government services GDP</t>
  </si>
  <si>
    <t>Real KZN Budget</t>
  </si>
  <si>
    <t>Real KZN GDP</t>
  </si>
  <si>
    <t>SA – GDP by activity</t>
  </si>
  <si>
    <t>KZN Fuel Consumption</t>
  </si>
  <si>
    <t>SA Fuel Consumption</t>
  </si>
  <si>
    <t>SA GDP</t>
  </si>
  <si>
    <t>KZN GDP Ratio</t>
  </si>
  <si>
    <t>KZN Fuel Ratio</t>
  </si>
  <si>
    <t>SA Usage</t>
  </si>
  <si>
    <t>KZN Usage</t>
  </si>
  <si>
    <t>Durban Fuel Usage</t>
  </si>
  <si>
    <t>Durban Quarterly GDP</t>
  </si>
  <si>
    <t>Durban Quarterly Rate</t>
  </si>
  <si>
    <t>Durban Annual Rate</t>
  </si>
  <si>
    <t>KZN Quarterly GDP</t>
  </si>
  <si>
    <t>2009q1</t>
  </si>
  <si>
    <t>2009q2</t>
  </si>
  <si>
    <t>2009q3</t>
  </si>
  <si>
    <t>2008q1</t>
  </si>
  <si>
    <t>2008q2</t>
  </si>
  <si>
    <t>2008q3</t>
  </si>
  <si>
    <t>2008q4</t>
  </si>
  <si>
    <t>SA Quarterly GDP</t>
  </si>
  <si>
    <t>Ethekwini Municipal Area</t>
  </si>
  <si>
    <t>Msunduzi Municipal Area</t>
  </si>
  <si>
    <t>Pietermaritzburg Quarterly GDP</t>
  </si>
  <si>
    <t>PMB Quarterly Rate</t>
  </si>
  <si>
    <t>PMB Annual Rate</t>
  </si>
  <si>
    <t>PMB Fuel Usage</t>
  </si>
  <si>
    <t>Mthlatuze Municipal Area</t>
  </si>
  <si>
    <t>Richards Bay Quarterly GDP</t>
  </si>
  <si>
    <t>RBay Quarterly Rate</t>
  </si>
  <si>
    <t>RBay Annual Rate</t>
  </si>
  <si>
    <t>RBay Fuel Usage</t>
  </si>
  <si>
    <t>Hibiscus Coast Municipal Area</t>
  </si>
  <si>
    <t>Port Shepstone Annual Rate</t>
  </si>
  <si>
    <t>PS Fuel Usage</t>
  </si>
  <si>
    <t>Port Shepstone Quarterly GDP</t>
  </si>
  <si>
    <t>Port Shepstone Quarterly Rate</t>
  </si>
  <si>
    <t>Newcastle Quarterly GDP</t>
  </si>
  <si>
    <t>Newcastle Quarterly Rate</t>
  </si>
  <si>
    <t>Newcastle Annual Rate</t>
  </si>
  <si>
    <t>Newcastle Municipal Area</t>
  </si>
  <si>
    <t>SA</t>
  </si>
  <si>
    <t>KZN</t>
  </si>
  <si>
    <t>Durban</t>
  </si>
  <si>
    <t>Pietermaritzburg</t>
  </si>
  <si>
    <t>Richards Bay</t>
  </si>
  <si>
    <t>Port Shepstone</t>
  </si>
  <si>
    <t>Newcastle</t>
  </si>
  <si>
    <t>Ethekwini Municipal Area GDP</t>
  </si>
  <si>
    <t>Msunduzi Municipal Area GDP</t>
  </si>
  <si>
    <t>Mthlatuze Municipal Area GDP</t>
  </si>
  <si>
    <t>Hibiscus Coast Municipal GDP</t>
  </si>
  <si>
    <t>Newcastle Municipal GDP</t>
  </si>
  <si>
    <t>Comparitive Growth Rates</t>
  </si>
  <si>
    <t>KZN Socio Economic Analysis</t>
  </si>
  <si>
    <t>KZN GDP and Provincial Government Budget</t>
  </si>
  <si>
    <t>Yearly Provincial Contribution Rates per Sector</t>
  </si>
  <si>
    <t>Model Assumptions</t>
  </si>
  <si>
    <t>Stable relationship between GDP and Fuel Consumption</t>
  </si>
  <si>
    <t>Stable structural relationship between SA and KZN economy</t>
  </si>
  <si>
    <t>Fuel Consumption per R1 GDP are location insensitive</t>
  </si>
  <si>
    <t>SA KZN GDP Ratio</t>
  </si>
  <si>
    <t>SA KZN Fuel Ratio</t>
  </si>
  <si>
    <t>Comparitive Contribution Rates</t>
  </si>
  <si>
    <t>Urban</t>
  </si>
  <si>
    <t>1995</t>
  </si>
  <si>
    <t>1996</t>
  </si>
  <si>
    <t>1997</t>
  </si>
  <si>
    <t>1998</t>
  </si>
  <si>
    <t>1999</t>
  </si>
  <si>
    <t xml:space="preserve">Constant 2005 prices - Rand million </t>
  </si>
  <si>
    <t>KZN - GDPR at constant 2005 prices</t>
  </si>
  <si>
    <t>SA - GDP at constant 2005 prices</t>
  </si>
  <si>
    <t>1996q1</t>
  </si>
  <si>
    <t>1995q1</t>
  </si>
  <si>
    <t>1995q2</t>
  </si>
  <si>
    <t>1995q3</t>
  </si>
  <si>
    <t>1995q4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</si>
  <si>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</si>
  <si>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</si>
  <si>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</si>
  <si>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</si>
  <si>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</si>
  <si>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</si>
  <si>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</si>
  <si>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</si>
  <si>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</si>
  <si>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</si>
  <si>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</si>
  <si>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</si>
  <si>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</si>
  <si>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</si>
  <si>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</si>
  <si>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</si>
  <si>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</si>
  <si>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</si>
  <si>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</si>
  <si>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</si>
  <si>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</si>
  <si>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</si>
  <si>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</si>
  <si>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</si>
  <si>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</si>
  <si>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</si>
  <si>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</si>
  <si>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</si>
  <si>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</si>
  <si>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</si>
  <si>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</si>
  <si>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</si>
  <si>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</si>
  <si>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</si>
  <si>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</si>
  <si>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</si>
  <si>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</si>
  <si>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</si>
  <si>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</si>
  <si>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</si>
  <si>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</si>
  <si>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</si>
  <si>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</si>
  <si>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2000q1</t>
  </si>
  <si>
    <t>2000q2</t>
  </si>
  <si>
    <t>2000q3</t>
  </si>
  <si>
    <t>2000q4</t>
  </si>
  <si>
    <t>SUMMARY PAGE</t>
  </si>
  <si>
    <t>PLEASE TAKE NOTE</t>
  </si>
  <si>
    <t>BLACK = NON-SEASONAL ANNUAL RATE</t>
  </si>
  <si>
    <t>RED = SEASONAL ANNUAL RATE</t>
  </si>
  <si>
    <t>ECONOMIC RATINGS</t>
  </si>
  <si>
    <t>Change in Contribution</t>
  </si>
  <si>
    <t>Rating</t>
  </si>
  <si>
    <t>Correlation</t>
  </si>
  <si>
    <t>Sector Ratings</t>
  </si>
  <si>
    <t>\</t>
  </si>
  <si>
    <t>2009q4</t>
  </si>
  <si>
    <t>Yearly Growth Rate %</t>
  </si>
  <si>
    <t>2010q1</t>
  </si>
  <si>
    <t>2010q2</t>
  </si>
  <si>
    <t>2010q3</t>
  </si>
  <si>
    <t>Number of formally employed people</t>
  </si>
  <si>
    <t xml:space="preserve"> Agriculture</t>
  </si>
  <si>
    <t>Mining</t>
  </si>
  <si>
    <t xml:space="preserve"> Electricity</t>
  </si>
  <si>
    <t xml:space="preserve"> Construction</t>
  </si>
  <si>
    <t xml:space="preserve"> Trade</t>
  </si>
  <si>
    <t>Transport</t>
  </si>
  <si>
    <t>Finance</t>
  </si>
  <si>
    <t xml:space="preserve"> Community services</t>
  </si>
  <si>
    <t>Year-on-Year MA</t>
  </si>
  <si>
    <t>Total-Private Households</t>
  </si>
  <si>
    <t>MA</t>
  </si>
  <si>
    <t>2003</t>
  </si>
  <si>
    <t>2004</t>
  </si>
  <si>
    <t>2005</t>
  </si>
  <si>
    <t>2006</t>
  </si>
  <si>
    <t>2007</t>
  </si>
  <si>
    <t>2008</t>
  </si>
  <si>
    <t>Gross Value Added by Region (GVA-R)</t>
  </si>
  <si>
    <t>Location Quotients</t>
  </si>
  <si>
    <t>Personal and General Government Services</t>
  </si>
  <si>
    <t>Actual vs Necessary Employment</t>
  </si>
  <si>
    <t>Economic Structure</t>
  </si>
  <si>
    <t>Deviation</t>
  </si>
  <si>
    <t>Std Dev</t>
  </si>
  <si>
    <t>Diversity</t>
  </si>
  <si>
    <t>Gross Operating Surplus</t>
  </si>
  <si>
    <t>(Current prices, R 1000)</t>
  </si>
  <si>
    <t>Competition</t>
  </si>
  <si>
    <t xml:space="preserve">Growth in value added </t>
  </si>
  <si>
    <t xml:space="preserve">Labour productivity in the non-agricultural sectors </t>
  </si>
  <si>
    <t>Shift-share Analysis</t>
  </si>
  <si>
    <t>National Share</t>
  </si>
  <si>
    <t>Industry Mix</t>
  </si>
  <si>
    <t>Regional Shift</t>
  </si>
  <si>
    <t>Total Employment Change</t>
  </si>
  <si>
    <t>Model</t>
  </si>
  <si>
    <t>Y</t>
  </si>
  <si>
    <t>2009</t>
  </si>
  <si>
    <t>2010</t>
  </si>
  <si>
    <t>Primary</t>
  </si>
  <si>
    <t>Tertiary</t>
  </si>
  <si>
    <t xml:space="preserve">    Agriculture, forestry and fishing</t>
  </si>
  <si>
    <t xml:space="preserve">    Mining and quarrying</t>
  </si>
  <si>
    <t xml:space="preserve">    Manufacturing</t>
  </si>
  <si>
    <t xml:space="preserve">    Electricity, gas and water</t>
  </si>
  <si>
    <t xml:space="preserve">    Construction</t>
  </si>
  <si>
    <t xml:space="preserve">    Wholesale &amp; retail trade; hotels &amp; restaurants</t>
  </si>
  <si>
    <t xml:space="preserve">    Transport , storage and communication</t>
  </si>
  <si>
    <t xml:space="preserve">    Finance, real estate and business services</t>
  </si>
  <si>
    <t xml:space="preserve">    Personal and General Government Services</t>
  </si>
  <si>
    <t>Industry</t>
  </si>
  <si>
    <t>ECONOMIC ANALYSIS</t>
  </si>
  <si>
    <t>KZN Economic Analysis</t>
  </si>
  <si>
    <t>2010q4</t>
  </si>
  <si>
    <t>St Dev</t>
  </si>
  <si>
    <t>Range</t>
  </si>
  <si>
    <t>Median</t>
  </si>
  <si>
    <t>Contribution</t>
  </si>
  <si>
    <t>National GDP Rating</t>
  </si>
  <si>
    <t>Provincial Sector Contribution towards Provincial and National Sector GDP</t>
  </si>
  <si>
    <t>Provincial Sector Change in Contribution towards Provincial and National Sector GDP</t>
  </si>
  <si>
    <t>2011q1</t>
  </si>
  <si>
    <t>Constant 2005 prices (R 1000)</t>
  </si>
  <si>
    <t>2011q2</t>
  </si>
  <si>
    <t>Structure</t>
  </si>
  <si>
    <t>2011q3</t>
  </si>
  <si>
    <t>2011q4</t>
  </si>
  <si>
    <t>2012q1</t>
  </si>
  <si>
    <t>2012q2</t>
  </si>
  <si>
    <t>2011</t>
  </si>
  <si>
    <t>2012q3</t>
  </si>
  <si>
    <t>2012q4</t>
  </si>
  <si>
    <t>2013q1</t>
  </si>
  <si>
    <t>2013q2</t>
  </si>
  <si>
    <t>2013q3</t>
  </si>
  <si>
    <t>Potential GDP</t>
  </si>
  <si>
    <t>Targeted GDP</t>
  </si>
  <si>
    <t>2013q4</t>
  </si>
  <si>
    <t>people per km 2006</t>
  </si>
</sst>
</file>

<file path=xl/styles.xml><?xml version="1.0" encoding="utf-8"?>
<styleSheet xmlns="http://schemas.openxmlformats.org/spreadsheetml/2006/main">
  <numFmts count="10">
    <numFmt numFmtId="5" formatCode="&quot;R&quot;\ #,##0;&quot;R&quot;\ \-#,##0"/>
    <numFmt numFmtId="42" formatCode="_ &quot;R&quot;\ * #,##0_ ;_ &quot;R&quot;\ * \-#,##0_ ;_ &quot;R&quot;\ * &quot;-&quot;_ ;_ @_ "/>
    <numFmt numFmtId="43" formatCode="_ * #,##0.00_ ;_ * \-#,##0.00_ ;_ * &quot;-&quot;??_ ;_ @_ "/>
    <numFmt numFmtId="164" formatCode="#,##0_]"/>
    <numFmt numFmtId="165" formatCode="_ * #,##0_ ;_ * \-#,##0_ ;_ * &quot;-&quot;??_ ;_ @_ "/>
    <numFmt numFmtId="166" formatCode="&quot;R&quot;\ #,##0"/>
    <numFmt numFmtId="167" formatCode="&quot;R&quot;\ #,##0.00"/>
    <numFmt numFmtId="168" formatCode="0.0%"/>
    <numFmt numFmtId="169" formatCode="#,##0.000"/>
    <numFmt numFmtId="170" formatCode="#,##0.00000"/>
  </numFmts>
  <fonts count="44">
    <font>
      <sz val="10"/>
      <name val="Verdana"/>
    </font>
    <font>
      <sz val="10"/>
      <name val="Verdana"/>
      <family val="2"/>
    </font>
    <font>
      <sz val="10"/>
      <name val="Verdana"/>
      <family val="2"/>
    </font>
    <font>
      <b/>
      <sz val="9"/>
      <name val="Verdana"/>
      <family val="2"/>
    </font>
    <font>
      <sz val="10"/>
      <name val="Arial"/>
      <family val="2"/>
    </font>
    <font>
      <sz val="9"/>
      <name val="Verdana"/>
      <family val="2"/>
    </font>
    <font>
      <b/>
      <sz val="10"/>
      <name val="Verdana"/>
      <family val="2"/>
    </font>
    <font>
      <b/>
      <u/>
      <sz val="10"/>
      <name val="Verdana"/>
      <family val="2"/>
    </font>
    <font>
      <sz val="8"/>
      <name val="Verdana"/>
      <family val="2"/>
    </font>
    <font>
      <b/>
      <sz val="18"/>
      <name val="Arial"/>
      <family val="2"/>
    </font>
    <font>
      <b/>
      <sz val="18"/>
      <name val="Verdana"/>
      <family val="2"/>
    </font>
    <font>
      <sz val="9"/>
      <name val="Arial"/>
      <family val="2"/>
    </font>
    <font>
      <sz val="11"/>
      <name val="Arial"/>
      <family val="2"/>
    </font>
    <font>
      <b/>
      <sz val="10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u/>
      <sz val="14"/>
      <name val="Verdana"/>
      <family val="2"/>
    </font>
    <font>
      <sz val="20"/>
      <name val="Verdana"/>
      <family val="2"/>
    </font>
    <font>
      <b/>
      <sz val="11"/>
      <name val="Arial"/>
      <family val="2"/>
    </font>
    <font>
      <u/>
      <sz val="10"/>
      <name val="Verdana"/>
      <family val="2"/>
    </font>
    <font>
      <sz val="16"/>
      <name val="Verdana"/>
      <family val="2"/>
    </font>
    <font>
      <b/>
      <sz val="16"/>
      <name val="Verdana"/>
      <family val="2"/>
    </font>
    <font>
      <sz val="12"/>
      <name val="Verdana"/>
      <family val="2"/>
    </font>
    <font>
      <b/>
      <sz val="14"/>
      <name val="Verdana"/>
      <family val="2"/>
    </font>
    <font>
      <sz val="18"/>
      <name val="Verdana"/>
      <family val="2"/>
    </font>
    <font>
      <b/>
      <sz val="12"/>
      <name val="Verdana"/>
      <family val="2"/>
    </font>
    <font>
      <u/>
      <sz val="10"/>
      <color theme="10"/>
      <name val="Verdana"/>
      <family val="2"/>
    </font>
    <font>
      <sz val="10"/>
      <color theme="0"/>
      <name val="Verdana"/>
      <family val="2"/>
    </font>
    <font>
      <u/>
      <sz val="12"/>
      <color theme="1" tint="0.14999847407452621"/>
      <name val="Verdana"/>
      <family val="2"/>
    </font>
    <font>
      <b/>
      <sz val="12"/>
      <color theme="1" tint="0.14999847407452621"/>
      <name val="Verdana"/>
      <family val="2"/>
    </font>
    <font>
      <u/>
      <sz val="12"/>
      <color theme="1" tint="4.9989318521683403E-2"/>
      <name val="Verdana"/>
      <family val="2"/>
    </font>
    <font>
      <sz val="10"/>
      <color theme="1"/>
      <name val="Verdana"/>
      <family val="2"/>
    </font>
    <font>
      <sz val="1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0"/>
      <color rgb="FFFF0000"/>
      <name val="Verdana"/>
      <family val="2"/>
    </font>
    <font>
      <sz val="10"/>
      <color theme="1" tint="4.9989318521683403E-2"/>
      <name val="Verdana"/>
      <family val="2"/>
    </font>
    <font>
      <sz val="12"/>
      <color theme="0"/>
      <name val="Verdana"/>
      <family val="2"/>
    </font>
    <font>
      <sz val="11"/>
      <color theme="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67">
    <border>
      <left/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thin">
        <color indexed="9"/>
      </right>
      <top style="medium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medium">
        <color indexed="9"/>
      </top>
      <bottom style="thin">
        <color indexed="9"/>
      </bottom>
      <diagonal/>
    </border>
    <border>
      <left style="medium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thin">
        <color indexed="9"/>
      </right>
      <top style="thin">
        <color indexed="9"/>
      </top>
      <bottom style="medium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medium">
        <color indexed="9"/>
      </bottom>
      <diagonal/>
    </border>
    <border>
      <left/>
      <right style="thin">
        <color indexed="9"/>
      </right>
      <top style="medium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9"/>
      </bottom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thin">
        <color indexed="9"/>
      </left>
      <right/>
      <top style="medium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4" fillId="0" borderId="0"/>
    <xf numFmtId="9" fontId="1" fillId="0" borderId="0" applyFont="0" applyFill="0" applyBorder="0" applyAlignment="0" applyProtection="0"/>
    <xf numFmtId="0" fontId="34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</cellStyleXfs>
  <cellXfs count="453">
    <xf numFmtId="0" fontId="0" fillId="0" borderId="0" xfId="0"/>
    <xf numFmtId="0" fontId="7" fillId="0" borderId="0" xfId="0" applyFont="1"/>
    <xf numFmtId="0" fontId="6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6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6" fontId="12" fillId="0" borderId="0" xfId="0" applyNumberFormat="1" applyFont="1" applyAlignment="1">
      <alignment horizontal="center"/>
    </xf>
    <xf numFmtId="42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vertical="center"/>
    </xf>
    <xf numFmtId="2" fontId="14" fillId="2" borderId="0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7" fontId="15" fillId="3" borderId="2" xfId="0" applyNumberFormat="1" applyFont="1" applyFill="1" applyBorder="1" applyAlignment="1">
      <alignment horizontal="center" vertical="center"/>
    </xf>
    <xf numFmtId="167" fontId="15" fillId="3" borderId="3" xfId="0" applyNumberFormat="1" applyFont="1" applyFill="1" applyBorder="1" applyAlignment="1">
      <alignment horizontal="center" vertical="center"/>
    </xf>
    <xf numFmtId="167" fontId="15" fillId="3" borderId="4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10" fontId="15" fillId="4" borderId="5" xfId="0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3" fontId="4" fillId="2" borderId="12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15" fillId="2" borderId="13" xfId="0" applyFont="1" applyFill="1" applyBorder="1" applyAlignment="1">
      <alignment horizontal="center" vertical="center" wrapText="1"/>
    </xf>
    <xf numFmtId="3" fontId="15" fillId="2" borderId="14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1" fontId="4" fillId="2" borderId="0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 wrapText="1"/>
    </xf>
    <xf numFmtId="3" fontId="4" fillId="2" borderId="17" xfId="0" applyNumberFormat="1" applyFont="1" applyFill="1" applyBorder="1" applyAlignment="1">
      <alignment horizontal="center" vertical="center" wrapText="1"/>
    </xf>
    <xf numFmtId="3" fontId="4" fillId="2" borderId="18" xfId="0" applyNumberFormat="1" applyFont="1" applyFill="1" applyBorder="1" applyAlignment="1">
      <alignment horizontal="center" vertical="center"/>
    </xf>
    <xf numFmtId="2" fontId="16" fillId="2" borderId="0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3" fontId="16" fillId="2" borderId="0" xfId="0" applyNumberFormat="1" applyFont="1" applyFill="1" applyBorder="1" applyAlignment="1">
      <alignment horizontal="center" vertical="center" wrapText="1"/>
    </xf>
    <xf numFmtId="16" fontId="4" fillId="2" borderId="0" xfId="0" applyNumberFormat="1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3" fontId="4" fillId="2" borderId="19" xfId="0" applyNumberFormat="1" applyFont="1" applyFill="1" applyBorder="1" applyAlignment="1">
      <alignment horizontal="center" vertical="center" wrapText="1"/>
    </xf>
    <xf numFmtId="3" fontId="4" fillId="2" borderId="14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2" fontId="15" fillId="2" borderId="20" xfId="0" applyNumberFormat="1" applyFont="1" applyFill="1" applyBorder="1" applyAlignment="1">
      <alignment horizontal="center" vertical="center" wrapText="1"/>
    </xf>
    <xf numFmtId="2" fontId="15" fillId="2" borderId="0" xfId="0" applyNumberFormat="1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10" fontId="4" fillId="2" borderId="0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2" fontId="16" fillId="2" borderId="0" xfId="0" applyNumberFormat="1" applyFont="1" applyFill="1" applyBorder="1" applyAlignment="1">
      <alignment horizontal="center" vertical="center" wrapText="1"/>
    </xf>
    <xf numFmtId="3" fontId="16" fillId="2" borderId="0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3" fontId="15" fillId="2" borderId="0" xfId="0" applyNumberFormat="1" applyFont="1" applyFill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166" fontId="16" fillId="2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66" fontId="15" fillId="2" borderId="0" xfId="0" applyNumberFormat="1" applyFont="1" applyFill="1" applyBorder="1" applyAlignment="1">
      <alignment horizontal="center" vertical="center" wrapText="1"/>
    </xf>
    <xf numFmtId="166" fontId="15" fillId="2" borderId="0" xfId="0" applyNumberFormat="1" applyFont="1" applyFill="1" applyAlignment="1">
      <alignment horizontal="center" vertical="center"/>
    </xf>
    <xf numFmtId="166" fontId="15" fillId="2" borderId="0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4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Border="1" applyAlignment="1">
      <alignment horizontal="center" vertical="center" wrapText="1"/>
    </xf>
    <xf numFmtId="166" fontId="4" fillId="2" borderId="0" xfId="0" applyNumberFormat="1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166" fontId="17" fillId="2" borderId="0" xfId="0" applyNumberFormat="1" applyFont="1" applyFill="1" applyBorder="1" applyAlignment="1">
      <alignment horizontal="center" vertical="center"/>
    </xf>
    <xf numFmtId="3" fontId="17" fillId="2" borderId="0" xfId="0" applyNumberFormat="1" applyFont="1" applyFill="1" applyBorder="1" applyAlignment="1">
      <alignment horizontal="center" vertical="center" wrapText="1"/>
    </xf>
    <xf numFmtId="167" fontId="15" fillId="0" borderId="26" xfId="0" applyNumberFormat="1" applyFont="1" applyFill="1" applyBorder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2" fontId="0" fillId="0" borderId="0" xfId="0" applyNumberFormat="1" applyAlignment="1">
      <alignment horizontal="center"/>
    </xf>
    <xf numFmtId="0" fontId="6" fillId="0" borderId="0" xfId="0" applyFont="1"/>
    <xf numFmtId="164" fontId="11" fillId="5" borderId="27" xfId="0" applyNumberFormat="1" applyFont="1" applyFill="1" applyBorder="1" applyAlignment="1">
      <alignment horizontal="center"/>
    </xf>
    <xf numFmtId="164" fontId="11" fillId="5" borderId="0" xfId="0" applyNumberFormat="1" applyFont="1" applyFill="1" applyBorder="1" applyAlignment="1">
      <alignment horizontal="center"/>
    </xf>
    <xf numFmtId="164" fontId="11" fillId="5" borderId="29" xfId="0" applyNumberFormat="1" applyFont="1" applyFill="1" applyBorder="1" applyAlignment="1">
      <alignment horizontal="center"/>
    </xf>
    <xf numFmtId="164" fontId="11" fillId="5" borderId="30" xfId="0" applyNumberFormat="1" applyFont="1" applyFill="1" applyBorder="1" applyAlignment="1">
      <alignment horizontal="center"/>
    </xf>
    <xf numFmtId="164" fontId="3" fillId="5" borderId="32" xfId="3" applyNumberFormat="1" applyFont="1" applyFill="1" applyBorder="1" applyAlignment="1">
      <alignment horizontal="center" vertical="center"/>
    </xf>
    <xf numFmtId="164" fontId="3" fillId="5" borderId="33" xfId="3" applyNumberFormat="1" applyFont="1" applyFill="1" applyBorder="1" applyAlignment="1">
      <alignment horizontal="center"/>
    </xf>
    <xf numFmtId="164" fontId="3" fillId="5" borderId="34" xfId="3" applyNumberFormat="1" applyFont="1" applyFill="1" applyBorder="1" applyAlignment="1">
      <alignment horizontal="center"/>
    </xf>
    <xf numFmtId="164" fontId="3" fillId="5" borderId="36" xfId="3" applyNumberFormat="1" applyFont="1" applyFill="1" applyBorder="1" applyAlignment="1">
      <alignment horizontal="center" vertical="center"/>
    </xf>
    <xf numFmtId="164" fontId="3" fillId="5" borderId="37" xfId="3" applyNumberFormat="1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/>
    </xf>
    <xf numFmtId="164" fontId="3" fillId="5" borderId="39" xfId="3" applyNumberFormat="1" applyFont="1" applyFill="1" applyBorder="1" applyAlignment="1">
      <alignment horizontal="center" vertical="center"/>
    </xf>
    <xf numFmtId="0" fontId="6" fillId="2" borderId="41" xfId="0" applyFont="1" applyFill="1" applyBorder="1"/>
    <xf numFmtId="164" fontId="3" fillId="5" borderId="42" xfId="3" applyNumberFormat="1" applyFont="1" applyFill="1" applyBorder="1" applyAlignment="1">
      <alignment horizontal="center" vertical="center"/>
    </xf>
    <xf numFmtId="164" fontId="3" fillId="5" borderId="41" xfId="3" applyNumberFormat="1" applyFont="1" applyFill="1" applyBorder="1" applyAlignment="1">
      <alignment horizontal="center" vertical="center"/>
    </xf>
    <xf numFmtId="0" fontId="6" fillId="4" borderId="37" xfId="0" applyFont="1" applyFill="1" applyBorder="1"/>
    <xf numFmtId="0" fontId="3" fillId="5" borderId="37" xfId="0" applyFont="1" applyFill="1" applyBorder="1" applyAlignment="1">
      <alignment horizontal="center" vertical="center"/>
    </xf>
    <xf numFmtId="164" fontId="5" fillId="5" borderId="0" xfId="3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wrapText="1"/>
    </xf>
    <xf numFmtId="164" fontId="5" fillId="5" borderId="27" xfId="3" applyNumberFormat="1" applyFont="1" applyFill="1" applyBorder="1" applyAlignment="1">
      <alignment horizontal="center"/>
    </xf>
    <xf numFmtId="164" fontId="5" fillId="5" borderId="29" xfId="3" applyNumberFormat="1" applyFont="1" applyFill="1" applyBorder="1" applyAlignment="1">
      <alignment horizontal="center"/>
    </xf>
    <xf numFmtId="164" fontId="5" fillId="5" borderId="30" xfId="3" applyNumberFormat="1" applyFont="1" applyFill="1" applyBorder="1" applyAlignment="1">
      <alignment horizontal="center"/>
    </xf>
    <xf numFmtId="164" fontId="3" fillId="5" borderId="27" xfId="3" applyNumberFormat="1" applyFont="1" applyFill="1" applyBorder="1" applyAlignment="1">
      <alignment horizontal="center"/>
    </xf>
    <xf numFmtId="164" fontId="3" fillId="5" borderId="0" xfId="3" applyNumberFormat="1" applyFont="1" applyFill="1" applyBorder="1" applyAlignment="1">
      <alignment horizontal="center"/>
    </xf>
    <xf numFmtId="164" fontId="3" fillId="5" borderId="0" xfId="0" applyNumberFormat="1" applyFont="1" applyFill="1" applyBorder="1" applyAlignment="1">
      <alignment horizontal="center"/>
    </xf>
    <xf numFmtId="165" fontId="3" fillId="5" borderId="0" xfId="1" applyNumberFormat="1" applyFont="1" applyFill="1" applyBorder="1" applyAlignment="1">
      <alignment horizontal="center"/>
    </xf>
    <xf numFmtId="165" fontId="3" fillId="5" borderId="0" xfId="0" applyNumberFormat="1" applyFont="1" applyFill="1" applyBorder="1" applyAlignment="1">
      <alignment horizontal="center"/>
    </xf>
    <xf numFmtId="165" fontId="3" fillId="5" borderId="41" xfId="0" applyNumberFormat="1" applyFont="1" applyFill="1" applyBorder="1" applyAlignment="1">
      <alignment horizontal="center"/>
    </xf>
    <xf numFmtId="164" fontId="11" fillId="5" borderId="27" xfId="4" applyNumberFormat="1" applyFont="1" applyFill="1" applyBorder="1" applyAlignment="1">
      <alignment horizontal="center"/>
    </xf>
    <xf numFmtId="164" fontId="11" fillId="5" borderId="0" xfId="4" applyNumberFormat="1" applyFont="1" applyFill="1" applyBorder="1" applyAlignment="1">
      <alignment horizontal="center"/>
    </xf>
    <xf numFmtId="164" fontId="11" fillId="5" borderId="29" xfId="4" applyNumberFormat="1" applyFont="1" applyFill="1" applyBorder="1" applyAlignment="1">
      <alignment horizontal="center"/>
    </xf>
    <xf numFmtId="164" fontId="11" fillId="5" borderId="30" xfId="4" applyNumberFormat="1" applyFont="1" applyFill="1" applyBorder="1" applyAlignment="1">
      <alignment horizontal="center"/>
    </xf>
    <xf numFmtId="164" fontId="3" fillId="5" borderId="27" xfId="3" applyNumberFormat="1" applyFont="1" applyFill="1" applyBorder="1" applyAlignment="1">
      <alignment horizontal="center" vertical="center"/>
    </xf>
    <xf numFmtId="164" fontId="3" fillId="5" borderId="0" xfId="3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164" fontId="3" fillId="5" borderId="41" xfId="0" applyNumberFormat="1" applyFont="1" applyFill="1" applyBorder="1" applyAlignment="1">
      <alignment horizontal="center"/>
    </xf>
    <xf numFmtId="0" fontId="6" fillId="4" borderId="44" xfId="0" applyFont="1" applyFill="1" applyBorder="1"/>
    <xf numFmtId="0" fontId="6" fillId="2" borderId="45" xfId="0" applyFont="1" applyFill="1" applyBorder="1"/>
    <xf numFmtId="0" fontId="2" fillId="2" borderId="45" xfId="0" applyFont="1" applyFill="1" applyBorder="1"/>
    <xf numFmtId="0" fontId="2" fillId="2" borderId="46" xfId="0" applyFont="1" applyFill="1" applyBorder="1"/>
    <xf numFmtId="2" fontId="0" fillId="7" borderId="27" xfId="0" applyNumberFormat="1" applyFill="1" applyBorder="1" applyAlignment="1">
      <alignment horizontal="center"/>
    </xf>
    <xf numFmtId="2" fontId="0" fillId="7" borderId="0" xfId="0" applyNumberFormat="1" applyFill="1" applyBorder="1" applyAlignment="1">
      <alignment horizontal="center"/>
    </xf>
    <xf numFmtId="2" fontId="0" fillId="7" borderId="29" xfId="0" applyNumberFormat="1" applyFill="1" applyBorder="1" applyAlignment="1">
      <alignment horizontal="center"/>
    </xf>
    <xf numFmtId="2" fontId="0" fillId="7" borderId="30" xfId="0" applyNumberFormat="1" applyFill="1" applyBorder="1" applyAlignment="1">
      <alignment horizontal="center"/>
    </xf>
    <xf numFmtId="2" fontId="6" fillId="7" borderId="33" xfId="0" applyNumberFormat="1" applyFont="1" applyFill="1" applyBorder="1" applyAlignment="1">
      <alignment horizontal="center"/>
    </xf>
    <xf numFmtId="2" fontId="6" fillId="7" borderId="34" xfId="0" applyNumberFormat="1" applyFont="1" applyFill="1" applyBorder="1" applyAlignment="1">
      <alignment horizontal="center"/>
    </xf>
    <xf numFmtId="2" fontId="6" fillId="7" borderId="39" xfId="0" applyNumberFormat="1" applyFont="1" applyFill="1" applyBorder="1" applyAlignment="1">
      <alignment horizontal="center"/>
    </xf>
    <xf numFmtId="2" fontId="6" fillId="7" borderId="32" xfId="0" applyNumberFormat="1" applyFont="1" applyFill="1" applyBorder="1" applyAlignment="1">
      <alignment horizontal="center"/>
    </xf>
    <xf numFmtId="2" fontId="6" fillId="7" borderId="29" xfId="0" applyNumberFormat="1" applyFont="1" applyFill="1" applyBorder="1" applyAlignment="1">
      <alignment horizontal="center"/>
    </xf>
    <xf numFmtId="2" fontId="6" fillId="7" borderId="30" xfId="0" applyNumberFormat="1" applyFont="1" applyFill="1" applyBorder="1" applyAlignment="1">
      <alignment horizontal="center"/>
    </xf>
    <xf numFmtId="0" fontId="6" fillId="4" borderId="37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3" fontId="0" fillId="5" borderId="27" xfId="0" applyNumberFormat="1" applyFill="1" applyBorder="1" applyAlignment="1">
      <alignment horizontal="center" vertical="center"/>
    </xf>
    <xf numFmtId="3" fontId="0" fillId="5" borderId="0" xfId="0" applyNumberFormat="1" applyFill="1" applyBorder="1" applyAlignment="1">
      <alignment horizontal="center" vertical="center"/>
    </xf>
    <xf numFmtId="0" fontId="2" fillId="2" borderId="30" xfId="0" applyFont="1" applyFill="1" applyBorder="1" applyAlignment="1">
      <alignment vertical="center" wrapText="1"/>
    </xf>
    <xf numFmtId="3" fontId="0" fillId="5" borderId="29" xfId="0" applyNumberFormat="1" applyFill="1" applyBorder="1" applyAlignment="1">
      <alignment horizontal="center" vertical="center"/>
    </xf>
    <xf numFmtId="3" fontId="0" fillId="5" borderId="30" xfId="0" applyNumberForma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45" xfId="0" applyFont="1" applyFill="1" applyBorder="1" applyAlignment="1">
      <alignment vertical="center"/>
    </xf>
    <xf numFmtId="4" fontId="3" fillId="5" borderId="32" xfId="3" applyNumberFormat="1" applyFont="1" applyFill="1" applyBorder="1" applyAlignment="1">
      <alignment horizontal="center" vertical="center"/>
    </xf>
    <xf numFmtId="4" fontId="3" fillId="5" borderId="0" xfId="3" applyNumberFormat="1" applyFont="1" applyFill="1" applyBorder="1" applyAlignment="1">
      <alignment horizontal="center" vertical="center"/>
    </xf>
    <xf numFmtId="4" fontId="5" fillId="5" borderId="0" xfId="3" applyNumberFormat="1" applyFont="1" applyFill="1" applyBorder="1" applyAlignment="1">
      <alignment horizontal="center" vertical="center"/>
    </xf>
    <xf numFmtId="4" fontId="5" fillId="5" borderId="30" xfId="3" applyNumberFormat="1" applyFont="1" applyFill="1" applyBorder="1" applyAlignment="1">
      <alignment horizontal="center" vertical="center"/>
    </xf>
    <xf numFmtId="4" fontId="3" fillId="5" borderId="41" xfId="3" applyNumberFormat="1" applyFont="1" applyFill="1" applyBorder="1" applyAlignment="1">
      <alignment horizontal="center" vertical="center"/>
    </xf>
    <xf numFmtId="4" fontId="3" fillId="5" borderId="34" xfId="3" applyNumberFormat="1" applyFont="1" applyFill="1" applyBorder="1" applyAlignment="1">
      <alignment horizontal="center" vertical="center"/>
    </xf>
    <xf numFmtId="0" fontId="6" fillId="4" borderId="38" xfId="0" applyFont="1" applyFill="1" applyBorder="1"/>
    <xf numFmtId="0" fontId="6" fillId="2" borderId="28" xfId="0" applyFont="1" applyFill="1" applyBorder="1"/>
    <xf numFmtId="0" fontId="2" fillId="2" borderId="28" xfId="0" applyFont="1" applyFill="1" applyBorder="1"/>
    <xf numFmtId="0" fontId="2" fillId="2" borderId="31" xfId="0" applyFont="1" applyFill="1" applyBorder="1"/>
    <xf numFmtId="0" fontId="6" fillId="2" borderId="43" xfId="0" applyFont="1" applyFill="1" applyBorder="1"/>
    <xf numFmtId="0" fontId="6" fillId="2" borderId="40" xfId="0" applyFont="1" applyFill="1" applyBorder="1" applyAlignment="1">
      <alignment vertical="center" wrapText="1"/>
    </xf>
    <xf numFmtId="0" fontId="2" fillId="2" borderId="28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vertical="center" wrapText="1"/>
    </xf>
    <xf numFmtId="0" fontId="2" fillId="2" borderId="28" xfId="0" applyFont="1" applyFill="1" applyBorder="1" applyAlignment="1">
      <alignment vertical="center"/>
    </xf>
    <xf numFmtId="0" fontId="2" fillId="2" borderId="30" xfId="0" applyFont="1" applyFill="1" applyBorder="1"/>
    <xf numFmtId="0" fontId="2" fillId="2" borderId="27" xfId="0" applyFont="1" applyFill="1" applyBorder="1" applyAlignment="1">
      <alignment vertical="center"/>
    </xf>
    <xf numFmtId="0" fontId="6" fillId="2" borderId="41" xfId="0" applyFont="1" applyFill="1" applyBorder="1" applyAlignment="1">
      <alignment vertical="center"/>
    </xf>
    <xf numFmtId="0" fontId="6" fillId="2" borderId="43" xfId="0" applyFont="1" applyFill="1" applyBorder="1" applyAlignment="1">
      <alignment vertical="center"/>
    </xf>
    <xf numFmtId="0" fontId="0" fillId="7" borderId="2" xfId="0" applyFill="1" applyBorder="1"/>
    <xf numFmtId="2" fontId="6" fillId="8" borderId="47" xfId="0" applyNumberFormat="1" applyFont="1" applyFill="1" applyBorder="1" applyAlignment="1">
      <alignment horizontal="center"/>
    </xf>
    <xf numFmtId="2" fontId="6" fillId="8" borderId="0" xfId="0" applyNumberFormat="1" applyFont="1" applyFill="1" applyBorder="1" applyAlignment="1">
      <alignment horizontal="center"/>
    </xf>
    <xf numFmtId="2" fontId="6" fillId="8" borderId="48" xfId="0" applyNumberFormat="1" applyFont="1" applyFill="1" applyBorder="1" applyAlignment="1">
      <alignment horizontal="center"/>
    </xf>
    <xf numFmtId="0" fontId="6" fillId="8" borderId="0" xfId="0" applyFont="1" applyFill="1" applyBorder="1" applyAlignment="1">
      <alignment horizontal="center" wrapText="1"/>
    </xf>
    <xf numFmtId="0" fontId="0" fillId="9" borderId="2" xfId="0" applyFill="1" applyBorder="1"/>
    <xf numFmtId="2" fontId="6" fillId="10" borderId="49" xfId="0" applyNumberFormat="1" applyFont="1" applyFill="1" applyBorder="1" applyAlignment="1">
      <alignment horizontal="center"/>
    </xf>
    <xf numFmtId="2" fontId="6" fillId="10" borderId="50" xfId="0" applyNumberFormat="1" applyFont="1" applyFill="1" applyBorder="1" applyAlignment="1">
      <alignment horizontal="center"/>
    </xf>
    <xf numFmtId="0" fontId="6" fillId="10" borderId="47" xfId="0" applyFont="1" applyFill="1" applyBorder="1" applyAlignment="1">
      <alignment horizontal="center" wrapText="1"/>
    </xf>
    <xf numFmtId="2" fontId="6" fillId="10" borderId="47" xfId="0" applyNumberFormat="1" applyFont="1" applyFill="1" applyBorder="1" applyAlignment="1">
      <alignment horizontal="center"/>
    </xf>
    <xf numFmtId="2" fontId="6" fillId="1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>
      <alignment wrapText="1"/>
    </xf>
    <xf numFmtId="0" fontId="0" fillId="0" borderId="47" xfId="0" applyFill="1" applyBorder="1"/>
    <xf numFmtId="0" fontId="6" fillId="0" borderId="47" xfId="0" applyFont="1" applyFill="1" applyBorder="1" applyAlignment="1">
      <alignment wrapText="1"/>
    </xf>
    <xf numFmtId="2" fontId="2" fillId="8" borderId="0" xfId="0" applyNumberFormat="1" applyFont="1" applyFill="1" applyBorder="1" applyAlignment="1">
      <alignment horizontal="center"/>
    </xf>
    <xf numFmtId="0" fontId="6" fillId="8" borderId="0" xfId="0" applyFont="1" applyFill="1" applyBorder="1" applyAlignment="1">
      <alignment horizontal="center" vertical="center" wrapText="1"/>
    </xf>
    <xf numFmtId="2" fontId="6" fillId="8" borderId="51" xfId="0" applyNumberFormat="1" applyFont="1" applyFill="1" applyBorder="1" applyAlignment="1">
      <alignment horizontal="center" vertical="center"/>
    </xf>
    <xf numFmtId="2" fontId="6" fillId="8" borderId="41" xfId="0" applyNumberFormat="1" applyFont="1" applyFill="1" applyBorder="1" applyAlignment="1">
      <alignment horizontal="center" vertical="center"/>
    </xf>
    <xf numFmtId="2" fontId="6" fillId="8" borderId="52" xfId="0" applyNumberFormat="1" applyFont="1" applyFill="1" applyBorder="1" applyAlignment="1">
      <alignment horizontal="center" vertical="center"/>
    </xf>
    <xf numFmtId="0" fontId="6" fillId="10" borderId="51" xfId="0" applyFont="1" applyFill="1" applyBorder="1" applyAlignment="1">
      <alignment horizontal="center" vertical="center" wrapText="1"/>
    </xf>
    <xf numFmtId="2" fontId="6" fillId="10" borderId="51" xfId="0" applyNumberFormat="1" applyFont="1" applyFill="1" applyBorder="1" applyAlignment="1">
      <alignment horizontal="center" vertical="center"/>
    </xf>
    <xf numFmtId="2" fontId="6" fillId="10" borderId="41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/>
    </xf>
    <xf numFmtId="0" fontId="6" fillId="11" borderId="3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vertical="center" wrapText="1"/>
    </xf>
    <xf numFmtId="0" fontId="0" fillId="11" borderId="3" xfId="0" applyFill="1" applyBorder="1" applyAlignment="1">
      <alignment vertical="center"/>
    </xf>
    <xf numFmtId="0" fontId="6" fillId="12" borderId="0" xfId="0" applyFont="1" applyFill="1" applyBorder="1" applyAlignment="1">
      <alignment horizontal="center" vertical="center" wrapText="1"/>
    </xf>
    <xf numFmtId="2" fontId="6" fillId="12" borderId="47" xfId="0" applyNumberFormat="1" applyFont="1" applyFill="1" applyBorder="1" applyAlignment="1">
      <alignment horizontal="center" vertical="center"/>
    </xf>
    <xf numFmtId="2" fontId="6" fillId="12" borderId="0" xfId="0" applyNumberFormat="1" applyFont="1" applyFill="1" applyBorder="1" applyAlignment="1">
      <alignment horizontal="center" vertical="center"/>
    </xf>
    <xf numFmtId="2" fontId="6" fillId="12" borderId="51" xfId="0" applyNumberFormat="1" applyFont="1" applyFill="1" applyBorder="1" applyAlignment="1">
      <alignment horizontal="center" vertical="center"/>
    </xf>
    <xf numFmtId="2" fontId="6" fillId="12" borderId="41" xfId="0" applyNumberFormat="1" applyFont="1" applyFill="1" applyBorder="1" applyAlignment="1">
      <alignment horizontal="center" vertical="center"/>
    </xf>
    <xf numFmtId="2" fontId="2" fillId="12" borderId="0" xfId="0" applyNumberFormat="1" applyFont="1" applyFill="1" applyBorder="1" applyAlignment="1">
      <alignment horizontal="center" vertical="center"/>
    </xf>
    <xf numFmtId="2" fontId="2" fillId="10" borderId="50" xfId="0" applyNumberFormat="1" applyFont="1" applyFill="1" applyBorder="1" applyAlignment="1">
      <alignment horizontal="center"/>
    </xf>
    <xf numFmtId="2" fontId="2" fillId="10" borderId="0" xfId="0" applyNumberFormat="1" applyFont="1" applyFill="1" applyBorder="1" applyAlignment="1">
      <alignment horizontal="center"/>
    </xf>
    <xf numFmtId="2" fontId="2" fillId="10" borderId="48" xfId="0" applyNumberFormat="1" applyFont="1" applyFill="1" applyBorder="1" applyAlignment="1">
      <alignment horizontal="center"/>
    </xf>
    <xf numFmtId="2" fontId="2" fillId="12" borderId="48" xfId="0" applyNumberFormat="1" applyFont="1" applyFill="1" applyBorder="1" applyAlignment="1">
      <alignment horizontal="center" vertical="center"/>
    </xf>
    <xf numFmtId="0" fontId="0" fillId="13" borderId="0" xfId="0" applyFill="1" applyBorder="1"/>
    <xf numFmtId="0" fontId="6" fillId="13" borderId="0" xfId="0" applyFont="1" applyFill="1" applyBorder="1" applyAlignment="1">
      <alignment vertical="center" wrapText="1"/>
    </xf>
    <xf numFmtId="0" fontId="2" fillId="13" borderId="0" xfId="0" applyFont="1" applyFill="1" applyBorder="1" applyAlignment="1">
      <alignment vertical="center" wrapText="1"/>
    </xf>
    <xf numFmtId="0" fontId="0" fillId="13" borderId="0" xfId="0" applyFill="1" applyBorder="1" applyAlignment="1">
      <alignment vertical="center"/>
    </xf>
    <xf numFmtId="0" fontId="2" fillId="11" borderId="4" xfId="0" applyFont="1" applyFill="1" applyBorder="1" applyAlignment="1">
      <alignment vertical="center" wrapText="1"/>
    </xf>
    <xf numFmtId="2" fontId="12" fillId="14" borderId="2" xfId="0" applyNumberFormat="1" applyFont="1" applyFill="1" applyBorder="1" applyAlignment="1">
      <alignment horizontal="center" vertical="center" wrapText="1"/>
    </xf>
    <xf numFmtId="2" fontId="12" fillId="14" borderId="3" xfId="0" applyNumberFormat="1" applyFont="1" applyFill="1" applyBorder="1" applyAlignment="1">
      <alignment horizontal="center" vertical="center" wrapText="1"/>
    </xf>
    <xf numFmtId="2" fontId="12" fillId="14" borderId="4" xfId="0" applyNumberFormat="1" applyFont="1" applyFill="1" applyBorder="1" applyAlignment="1">
      <alignment horizontal="center" vertical="center" wrapText="1"/>
    </xf>
    <xf numFmtId="0" fontId="12" fillId="14" borderId="49" xfId="0" applyFont="1" applyFill="1" applyBorder="1" applyAlignment="1">
      <alignment horizontal="center"/>
    </xf>
    <xf numFmtId="0" fontId="12" fillId="14" borderId="47" xfId="0" applyFont="1" applyFill="1" applyBorder="1" applyAlignment="1">
      <alignment horizontal="center"/>
    </xf>
    <xf numFmtId="2" fontId="12" fillId="14" borderId="0" xfId="0" applyNumberFormat="1" applyFont="1" applyFill="1" applyBorder="1" applyAlignment="1">
      <alignment horizontal="center"/>
    </xf>
    <xf numFmtId="2" fontId="12" fillId="14" borderId="48" xfId="0" applyNumberFormat="1" applyFont="1" applyFill="1" applyBorder="1" applyAlignment="1">
      <alignment horizontal="center"/>
    </xf>
    <xf numFmtId="0" fontId="12" fillId="14" borderId="51" xfId="0" applyFont="1" applyFill="1" applyBorder="1" applyAlignment="1">
      <alignment horizontal="center"/>
    </xf>
    <xf numFmtId="2" fontId="12" fillId="14" borderId="41" xfId="0" applyNumberFormat="1" applyFont="1" applyFill="1" applyBorder="1" applyAlignment="1">
      <alignment horizontal="center"/>
    </xf>
    <xf numFmtId="2" fontId="12" fillId="14" borderId="52" xfId="0" applyNumberFormat="1" applyFont="1" applyFill="1" applyBorder="1" applyAlignment="1">
      <alignment horizontal="center"/>
    </xf>
    <xf numFmtId="0" fontId="20" fillId="14" borderId="50" xfId="0" applyFont="1" applyFill="1" applyBorder="1" applyAlignment="1">
      <alignment horizontal="center"/>
    </xf>
    <xf numFmtId="0" fontId="20" fillId="14" borderId="53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10" fontId="12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/>
    <xf numFmtId="3" fontId="0" fillId="0" borderId="0" xfId="0" applyNumberFormat="1"/>
    <xf numFmtId="0" fontId="2" fillId="0" borderId="0" xfId="0" applyFont="1" applyAlignment="1">
      <alignment horizontal="left"/>
    </xf>
    <xf numFmtId="2" fontId="6" fillId="8" borderId="3" xfId="0" applyNumberFormat="1" applyFont="1" applyFill="1" applyBorder="1" applyAlignment="1">
      <alignment horizontal="center" vertical="center" wrapText="1"/>
    </xf>
    <xf numFmtId="2" fontId="6" fillId="8" borderId="4" xfId="0" applyNumberFormat="1" applyFont="1" applyFill="1" applyBorder="1" applyAlignment="1">
      <alignment horizontal="center" vertical="center" wrapText="1"/>
    </xf>
    <xf numFmtId="2" fontId="6" fillId="8" borderId="2" xfId="0" applyNumberFormat="1" applyFont="1" applyFill="1" applyBorder="1" applyAlignment="1">
      <alignment horizontal="center" vertical="center" wrapText="1"/>
    </xf>
    <xf numFmtId="2" fontId="29" fillId="0" borderId="0" xfId="0" applyNumberFormat="1" applyFont="1" applyAlignment="1">
      <alignment horizontal="center"/>
    </xf>
    <xf numFmtId="0" fontId="31" fillId="16" borderId="54" xfId="0" applyFont="1" applyFill="1" applyBorder="1"/>
    <xf numFmtId="0" fontId="30" fillId="16" borderId="54" xfId="2" applyFont="1" applyFill="1" applyBorder="1" applyAlignment="1" applyProtection="1"/>
    <xf numFmtId="167" fontId="0" fillId="0" borderId="0" xfId="0" applyNumberFormat="1"/>
    <xf numFmtId="164" fontId="3" fillId="5" borderId="42" xfId="0" applyNumberFormat="1" applyFont="1" applyFill="1" applyBorder="1" applyAlignment="1">
      <alignment horizontal="center"/>
    </xf>
    <xf numFmtId="164" fontId="3" fillId="5" borderId="27" xfId="0" applyNumberFormat="1" applyFont="1" applyFill="1" applyBorder="1" applyAlignment="1">
      <alignment horizontal="center"/>
    </xf>
    <xf numFmtId="0" fontId="3" fillId="17" borderId="55" xfId="0" applyFont="1" applyFill="1" applyBorder="1" applyAlignment="1">
      <alignment horizontal="center"/>
    </xf>
    <xf numFmtId="0" fontId="3" fillId="17" borderId="56" xfId="0" applyFont="1" applyFill="1" applyBorder="1" applyAlignment="1">
      <alignment horizontal="center"/>
    </xf>
    <xf numFmtId="2" fontId="6" fillId="7" borderId="0" xfId="0" applyNumberFormat="1" applyFont="1" applyFill="1" applyBorder="1" applyAlignment="1">
      <alignment horizontal="center"/>
    </xf>
    <xf numFmtId="4" fontId="3" fillId="5" borderId="39" xfId="3" applyNumberFormat="1" applyFont="1" applyFill="1" applyBorder="1" applyAlignment="1">
      <alignment horizontal="center" vertical="center"/>
    </xf>
    <xf numFmtId="4" fontId="5" fillId="5" borderId="27" xfId="3" applyNumberFormat="1" applyFont="1" applyFill="1" applyBorder="1" applyAlignment="1">
      <alignment horizontal="center" vertical="center"/>
    </xf>
    <xf numFmtId="4" fontId="5" fillId="5" borderId="29" xfId="3" applyNumberFormat="1" applyFont="1" applyFill="1" applyBorder="1" applyAlignment="1">
      <alignment horizontal="center" vertical="center"/>
    </xf>
    <xf numFmtId="4" fontId="3" fillId="5" borderId="33" xfId="3" applyNumberFormat="1" applyFont="1" applyFill="1" applyBorder="1" applyAlignment="1">
      <alignment horizontal="center" vertical="center"/>
    </xf>
    <xf numFmtId="4" fontId="3" fillId="5" borderId="42" xfId="3" applyNumberFormat="1" applyFont="1" applyFill="1" applyBorder="1" applyAlignment="1">
      <alignment horizontal="center" vertical="center"/>
    </xf>
    <xf numFmtId="4" fontId="3" fillId="5" borderId="27" xfId="3" applyNumberFormat="1" applyFont="1" applyFill="1" applyBorder="1" applyAlignment="1">
      <alignment horizontal="center" vertical="center"/>
    </xf>
    <xf numFmtId="2" fontId="1" fillId="8" borderId="41" xfId="0" applyNumberFormat="1" applyFont="1" applyFill="1" applyBorder="1" applyAlignment="1">
      <alignment horizontal="center" vertical="center"/>
    </xf>
    <xf numFmtId="2" fontId="1" fillId="10" borderId="41" xfId="0" applyNumberFormat="1" applyFont="1" applyFill="1" applyBorder="1" applyAlignment="1">
      <alignment horizontal="center" vertical="center"/>
    </xf>
    <xf numFmtId="2" fontId="1" fillId="10" borderId="52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26" fillId="18" borderId="5" xfId="0" applyFont="1" applyFill="1" applyBorder="1"/>
    <xf numFmtId="0" fontId="26" fillId="18" borderId="5" xfId="0" applyFont="1" applyFill="1" applyBorder="1" applyAlignment="1"/>
    <xf numFmtId="0" fontId="0" fillId="0" borderId="0" xfId="0" applyBorder="1" applyAlignment="1"/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3" fontId="29" fillId="0" borderId="0" xfId="0" applyNumberFormat="1" applyFont="1" applyFill="1" applyBorder="1" applyAlignment="1">
      <alignment horizontal="center" vertical="center"/>
    </xf>
    <xf numFmtId="4" fontId="29" fillId="0" borderId="0" xfId="0" applyNumberFormat="1" applyFont="1" applyFill="1" applyBorder="1" applyAlignment="1">
      <alignment horizontal="center" vertical="center"/>
    </xf>
    <xf numFmtId="0" fontId="27" fillId="19" borderId="57" xfId="0" applyFont="1" applyFill="1" applyBorder="1"/>
    <xf numFmtId="0" fontId="27" fillId="19" borderId="26" xfId="0" applyFont="1" applyFill="1" applyBorder="1"/>
    <xf numFmtId="0" fontId="27" fillId="19" borderId="58" xfId="0" applyFont="1" applyFill="1" applyBorder="1"/>
    <xf numFmtId="2" fontId="0" fillId="0" borderId="0" xfId="0" applyNumberFormat="1"/>
    <xf numFmtId="0" fontId="0" fillId="0" borderId="0" xfId="0" applyFill="1" applyBorder="1" applyAlignment="1">
      <alignment horizontal="center"/>
    </xf>
    <xf numFmtId="0" fontId="6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center"/>
    </xf>
    <xf numFmtId="2" fontId="0" fillId="13" borderId="0" xfId="0" applyNumberFormat="1" applyFill="1" applyBorder="1"/>
    <xf numFmtId="2" fontId="6" fillId="0" borderId="2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2" fontId="6" fillId="12" borderId="52" xfId="0" applyNumberFormat="1" applyFont="1" applyFill="1" applyBorder="1" applyAlignment="1">
      <alignment horizontal="center" vertical="center"/>
    </xf>
    <xf numFmtId="5" fontId="12" fillId="0" borderId="0" xfId="0" applyNumberFormat="1" applyFont="1" applyAlignment="1">
      <alignment horizontal="center"/>
    </xf>
    <xf numFmtId="166" fontId="0" fillId="0" borderId="0" xfId="0" applyNumberFormat="1"/>
    <xf numFmtId="0" fontId="1" fillId="2" borderId="0" xfId="0" applyFont="1" applyFill="1"/>
    <xf numFmtId="3" fontId="0" fillId="0" borderId="0" xfId="0" applyNumberFormat="1" applyAlignment="1">
      <alignment horizontal="center" vertical="center"/>
    </xf>
    <xf numFmtId="0" fontId="1" fillId="0" borderId="0" xfId="0" applyFont="1"/>
    <xf numFmtId="166" fontId="1" fillId="0" borderId="0" xfId="0" applyNumberFormat="1" applyFont="1" applyAlignment="1">
      <alignment horizontal="center"/>
    </xf>
    <xf numFmtId="0" fontId="29" fillId="0" borderId="0" xfId="0" applyFont="1" applyFill="1"/>
    <xf numFmtId="0" fontId="29" fillId="0" borderId="0" xfId="0" applyFont="1"/>
    <xf numFmtId="0" fontId="33" fillId="0" borderId="0" xfId="0" applyFont="1"/>
    <xf numFmtId="0" fontId="34" fillId="0" borderId="0" xfId="5" applyAlignment="1">
      <alignment horizontal="center"/>
    </xf>
    <xf numFmtId="0" fontId="15" fillId="24" borderId="5" xfId="5" applyFont="1" applyFill="1" applyBorder="1" applyAlignment="1">
      <alignment horizontal="center" vertical="center" wrapText="1"/>
    </xf>
    <xf numFmtId="0" fontId="34" fillId="0" borderId="0" xfId="5" applyAlignment="1">
      <alignment horizontal="center" vertical="center" wrapText="1"/>
    </xf>
    <xf numFmtId="0" fontId="34" fillId="0" borderId="0" xfId="5" applyAlignment="1">
      <alignment horizontal="center" vertical="center"/>
    </xf>
    <xf numFmtId="0" fontId="34" fillId="0" borderId="0" xfId="5" applyFill="1" applyAlignment="1">
      <alignment horizontal="center"/>
    </xf>
    <xf numFmtId="0" fontId="4" fillId="0" borderId="0" xfId="5" applyFont="1" applyFill="1" applyAlignment="1">
      <alignment horizontal="center"/>
    </xf>
    <xf numFmtId="3" fontId="34" fillId="0" borderId="0" xfId="5" applyNumberFormat="1" applyFill="1" applyAlignment="1">
      <alignment horizontal="center"/>
    </xf>
    <xf numFmtId="3" fontId="34" fillId="0" borderId="0" xfId="5" applyNumberFormat="1" applyAlignment="1">
      <alignment horizontal="center"/>
    </xf>
    <xf numFmtId="168" fontId="34" fillId="0" borderId="0" xfId="5" applyNumberFormat="1" applyFill="1" applyAlignment="1">
      <alignment horizontal="center"/>
    </xf>
    <xf numFmtId="2" fontId="34" fillId="0" borderId="0" xfId="5" applyNumberFormat="1" applyAlignment="1">
      <alignment horizontal="center"/>
    </xf>
    <xf numFmtId="0" fontId="34" fillId="0" borderId="0" xfId="5" applyFill="1" applyAlignment="1">
      <alignment horizontal="center" vertical="center"/>
    </xf>
    <xf numFmtId="0" fontId="15" fillId="0" borderId="0" xfId="5" applyFont="1" applyFill="1" applyAlignment="1">
      <alignment horizontal="center" vertical="center" wrapText="1"/>
    </xf>
    <xf numFmtId="0" fontId="4" fillId="0" borderId="0" xfId="5" applyFont="1" applyFill="1" applyAlignment="1">
      <alignment horizontal="center" vertical="center"/>
    </xf>
    <xf numFmtId="0" fontId="4" fillId="0" borderId="0" xfId="5" applyFont="1" applyAlignment="1">
      <alignment horizontal="center" vertical="center" wrapText="1"/>
    </xf>
    <xf numFmtId="4" fontId="34" fillId="0" borderId="0" xfId="5" applyNumberFormat="1" applyAlignment="1">
      <alignment horizontal="center"/>
    </xf>
    <xf numFmtId="169" fontId="34" fillId="0" borderId="0" xfId="5" applyNumberFormat="1" applyAlignment="1">
      <alignment horizontal="center"/>
    </xf>
    <xf numFmtId="0" fontId="4" fillId="27" borderId="57" xfId="5" applyFont="1" applyFill="1" applyBorder="1" applyAlignment="1">
      <alignment horizontal="center" vertical="center" wrapText="1"/>
    </xf>
    <xf numFmtId="4" fontId="34" fillId="27" borderId="26" xfId="5" applyNumberFormat="1" applyFill="1" applyBorder="1" applyAlignment="1">
      <alignment horizontal="center"/>
    </xf>
    <xf numFmtId="4" fontId="34" fillId="27" borderId="58" xfId="5" applyNumberFormat="1" applyFill="1" applyBorder="1" applyAlignment="1">
      <alignment horizontal="center"/>
    </xf>
    <xf numFmtId="0" fontId="4" fillId="0" borderId="0" xfId="5" applyFont="1" applyAlignment="1">
      <alignment horizontal="center"/>
    </xf>
    <xf numFmtId="1" fontId="34" fillId="0" borderId="0" xfId="5" applyNumberFormat="1" applyAlignment="1">
      <alignment horizontal="center"/>
    </xf>
    <xf numFmtId="3" fontId="34" fillId="27" borderId="26" xfId="5" applyNumberFormat="1" applyFill="1" applyBorder="1" applyAlignment="1">
      <alignment horizontal="center"/>
    </xf>
    <xf numFmtId="3" fontId="34" fillId="27" borderId="58" xfId="5" applyNumberFormat="1" applyFill="1" applyBorder="1" applyAlignment="1">
      <alignment horizontal="center"/>
    </xf>
    <xf numFmtId="170" fontId="34" fillId="27" borderId="26" xfId="5" applyNumberFormat="1" applyFill="1" applyBorder="1" applyAlignment="1">
      <alignment horizontal="center"/>
    </xf>
    <xf numFmtId="170" fontId="34" fillId="27" borderId="58" xfId="5" applyNumberFormat="1" applyFill="1" applyBorder="1" applyAlignment="1">
      <alignment horizontal="center"/>
    </xf>
    <xf numFmtId="0" fontId="34" fillId="0" borderId="59" xfId="5" applyBorder="1" applyAlignment="1">
      <alignment horizontal="center"/>
    </xf>
    <xf numFmtId="0" fontId="34" fillId="0" borderId="0" xfId="5" applyBorder="1" applyAlignment="1">
      <alignment horizontal="center"/>
    </xf>
    <xf numFmtId="0" fontId="34" fillId="0" borderId="0" xfId="5" applyAlignment="1">
      <alignment horizontal="left"/>
    </xf>
    <xf numFmtId="0" fontId="4" fillId="0" borderId="28" xfId="5" applyFont="1" applyBorder="1" applyAlignment="1">
      <alignment horizontal="left"/>
    </xf>
    <xf numFmtId="0" fontId="4" fillId="0" borderId="62" xfId="5" applyFont="1" applyBorder="1" applyAlignment="1">
      <alignment horizontal="left"/>
    </xf>
    <xf numFmtId="2" fontId="34" fillId="0" borderId="61" xfId="5" applyNumberFormat="1" applyBorder="1" applyAlignment="1">
      <alignment horizontal="center"/>
    </xf>
    <xf numFmtId="0" fontId="4" fillId="0" borderId="35" xfId="5" applyFont="1" applyBorder="1" applyAlignment="1">
      <alignment horizontal="left"/>
    </xf>
    <xf numFmtId="0" fontId="4" fillId="0" borderId="60" xfId="5" applyFont="1" applyBorder="1" applyAlignment="1">
      <alignment horizontal="left"/>
    </xf>
    <xf numFmtId="2" fontId="34" fillId="0" borderId="0" xfId="5" applyNumberFormat="1" applyBorder="1" applyAlignment="1">
      <alignment horizontal="center"/>
    </xf>
    <xf numFmtId="0" fontId="15" fillId="24" borderId="58" xfId="5" applyFont="1" applyFill="1" applyBorder="1" applyAlignment="1">
      <alignment horizontal="center" vertical="center" wrapText="1"/>
    </xf>
    <xf numFmtId="0" fontId="30" fillId="16" borderId="0" xfId="2" applyFont="1" applyFill="1" applyBorder="1" applyAlignment="1" applyProtection="1"/>
    <xf numFmtId="0" fontId="31" fillId="16" borderId="63" xfId="0" applyFont="1" applyFill="1" applyBorder="1"/>
    <xf numFmtId="0" fontId="30" fillId="16" borderId="63" xfId="2" applyFont="1" applyFill="1" applyBorder="1" applyAlignment="1" applyProtection="1"/>
    <xf numFmtId="0" fontId="30" fillId="16" borderId="64" xfId="2" applyFont="1" applyFill="1" applyBorder="1" applyAlignment="1" applyProtection="1"/>
    <xf numFmtId="0" fontId="4" fillId="11" borderId="47" xfId="5" applyFont="1" applyFill="1" applyBorder="1" applyAlignment="1">
      <alignment horizontal="center"/>
    </xf>
    <xf numFmtId="0" fontId="4" fillId="11" borderId="48" xfId="5" applyFont="1" applyFill="1" applyBorder="1" applyAlignment="1">
      <alignment horizontal="center"/>
    </xf>
    <xf numFmtId="3" fontId="34" fillId="11" borderId="47" xfId="5" applyNumberFormat="1" applyFill="1" applyBorder="1" applyAlignment="1">
      <alignment horizontal="center"/>
    </xf>
    <xf numFmtId="3" fontId="34" fillId="11" borderId="48" xfId="5" applyNumberFormat="1" applyFill="1" applyBorder="1" applyAlignment="1">
      <alignment horizontal="center"/>
    </xf>
    <xf numFmtId="3" fontId="34" fillId="11" borderId="51" xfId="5" applyNumberFormat="1" applyFill="1" applyBorder="1" applyAlignment="1">
      <alignment horizontal="center"/>
    </xf>
    <xf numFmtId="3" fontId="34" fillId="11" borderId="52" xfId="5" applyNumberFormat="1" applyFill="1" applyBorder="1" applyAlignment="1">
      <alignment horizontal="center"/>
    </xf>
    <xf numFmtId="0" fontId="34" fillId="0" borderId="49" xfId="5" applyBorder="1" applyAlignment="1">
      <alignment horizontal="center"/>
    </xf>
    <xf numFmtId="0" fontId="34" fillId="0" borderId="50" xfId="5" applyBorder="1" applyAlignment="1">
      <alignment horizontal="center"/>
    </xf>
    <xf numFmtId="0" fontId="34" fillId="0" borderId="53" xfId="5" applyBorder="1" applyAlignment="1">
      <alignment horizontal="center"/>
    </xf>
    <xf numFmtId="2" fontId="34" fillId="0" borderId="47" xfId="5" applyNumberFormat="1" applyBorder="1" applyAlignment="1">
      <alignment horizontal="center"/>
    </xf>
    <xf numFmtId="2" fontId="34" fillId="0" borderId="48" xfId="5" applyNumberFormat="1" applyBorder="1" applyAlignment="1">
      <alignment horizontal="center"/>
    </xf>
    <xf numFmtId="2" fontId="34" fillId="0" borderId="51" xfId="5" applyNumberFormat="1" applyBorder="1" applyAlignment="1">
      <alignment horizontal="center"/>
    </xf>
    <xf numFmtId="2" fontId="34" fillId="0" borderId="41" xfId="5" applyNumberFormat="1" applyBorder="1" applyAlignment="1">
      <alignment horizontal="center"/>
    </xf>
    <xf numFmtId="2" fontId="34" fillId="0" borderId="52" xfId="5" applyNumberFormat="1" applyBorder="1" applyAlignment="1">
      <alignment horizontal="center"/>
    </xf>
    <xf numFmtId="164" fontId="11" fillId="5" borderId="61" xfId="0" applyNumberFormat="1" applyFont="1" applyFill="1" applyBorder="1" applyAlignment="1">
      <alignment horizontal="center"/>
    </xf>
    <xf numFmtId="164" fontId="5" fillId="5" borderId="61" xfId="3" applyNumberFormat="1" applyFont="1" applyFill="1" applyBorder="1" applyAlignment="1">
      <alignment horizontal="center"/>
    </xf>
    <xf numFmtId="164" fontId="3" fillId="5" borderId="34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vertical="center"/>
    </xf>
    <xf numFmtId="0" fontId="19" fillId="0" borderId="2" xfId="0" applyFont="1" applyFill="1" applyBorder="1" applyAlignment="1">
      <alignment vertical="center"/>
    </xf>
    <xf numFmtId="164" fontId="3" fillId="5" borderId="34" xfId="3" applyNumberFormat="1" applyFont="1" applyFill="1" applyBorder="1" applyAlignment="1">
      <alignment horizontal="center" vertical="center"/>
    </xf>
    <xf numFmtId="2" fontId="1" fillId="8" borderId="0" xfId="0" applyNumberFormat="1" applyFont="1" applyFill="1" applyBorder="1" applyAlignment="1">
      <alignment horizontal="center"/>
    </xf>
    <xf numFmtId="4" fontId="5" fillId="5" borderId="61" xfId="3" applyNumberFormat="1" applyFont="1" applyFill="1" applyBorder="1" applyAlignment="1">
      <alignment horizontal="center" vertical="center"/>
    </xf>
    <xf numFmtId="0" fontId="38" fillId="0" borderId="0" xfId="0" applyFont="1"/>
    <xf numFmtId="0" fontId="39" fillId="29" borderId="2" xfId="0" applyFont="1" applyFill="1" applyBorder="1" applyAlignment="1">
      <alignment horizontal="center" vertical="center"/>
    </xf>
    <xf numFmtId="0" fontId="39" fillId="29" borderId="3" xfId="0" applyFont="1" applyFill="1" applyBorder="1" applyAlignment="1">
      <alignment horizontal="center" vertical="center"/>
    </xf>
    <xf numFmtId="0" fontId="39" fillId="29" borderId="4" xfId="0" applyFont="1" applyFill="1" applyBorder="1" applyAlignment="1">
      <alignment horizontal="center" vertical="center"/>
    </xf>
    <xf numFmtId="0" fontId="1" fillId="30" borderId="0" xfId="0" applyFont="1" applyFill="1"/>
    <xf numFmtId="2" fontId="0" fillId="30" borderId="0" xfId="0" applyNumberFormat="1" applyFill="1" applyAlignment="1">
      <alignment horizontal="center"/>
    </xf>
    <xf numFmtId="0" fontId="40" fillId="0" borderId="0" xfId="0" applyFont="1" applyAlignment="1">
      <alignment horizontal="center"/>
    </xf>
    <xf numFmtId="0" fontId="12" fillId="30" borderId="0" xfId="0" applyFont="1" applyFill="1"/>
    <xf numFmtId="2" fontId="12" fillId="30" borderId="0" xfId="0" applyNumberFormat="1" applyFont="1" applyFill="1" applyAlignment="1">
      <alignment horizontal="center"/>
    </xf>
    <xf numFmtId="1" fontId="0" fillId="0" borderId="0" xfId="0" applyNumberFormat="1" applyBorder="1" applyAlignment="1">
      <alignment horizontal="center" wrapText="1"/>
    </xf>
    <xf numFmtId="0" fontId="37" fillId="0" borderId="0" xfId="0" applyFont="1"/>
    <xf numFmtId="0" fontId="29" fillId="13" borderId="63" xfId="0" applyFont="1" applyFill="1" applyBorder="1"/>
    <xf numFmtId="0" fontId="30" fillId="16" borderId="65" xfId="2" applyFont="1" applyFill="1" applyBorder="1" applyAlignment="1" applyProtection="1"/>
    <xf numFmtId="0" fontId="29" fillId="13" borderId="50" xfId="0" applyFont="1" applyFill="1" applyBorder="1"/>
    <xf numFmtId="0" fontId="0" fillId="15" borderId="50" xfId="0" applyFill="1" applyBorder="1"/>
    <xf numFmtId="0" fontId="29" fillId="13" borderId="53" xfId="0" applyFont="1" applyFill="1" applyBorder="1"/>
    <xf numFmtId="0" fontId="29" fillId="13" borderId="0" xfId="0" applyFont="1" applyFill="1" applyBorder="1"/>
    <xf numFmtId="0" fontId="0" fillId="15" borderId="0" xfId="0" applyFill="1" applyBorder="1"/>
    <xf numFmtId="0" fontId="29" fillId="13" borderId="48" xfId="0" applyFont="1" applyFill="1" applyBorder="1"/>
    <xf numFmtId="0" fontId="0" fillId="15" borderId="61" xfId="0" applyFill="1" applyBorder="1"/>
    <xf numFmtId="0" fontId="0" fillId="13" borderId="41" xfId="0" applyFill="1" applyBorder="1"/>
    <xf numFmtId="0" fontId="0" fillId="15" borderId="41" xfId="0" applyFill="1" applyBorder="1"/>
    <xf numFmtId="0" fontId="29" fillId="13" borderId="52" xfId="0" applyFont="1" applyFill="1" applyBorder="1"/>
    <xf numFmtId="164" fontId="3" fillId="5" borderId="66" xfId="3" applyNumberFormat="1" applyFont="1" applyFill="1" applyBorder="1" applyAlignment="1">
      <alignment horizontal="center" vertical="center"/>
    </xf>
    <xf numFmtId="3" fontId="0" fillId="5" borderId="61" xfId="0" applyNumberFormat="1" applyFill="1" applyBorder="1" applyAlignment="1">
      <alignment horizontal="center" vertical="center"/>
    </xf>
    <xf numFmtId="2" fontId="4" fillId="0" borderId="0" xfId="5" applyNumberFormat="1" applyFont="1" applyBorder="1" applyAlignment="1">
      <alignment horizontal="center"/>
    </xf>
    <xf numFmtId="2" fontId="0" fillId="7" borderId="61" xfId="0" applyNumberFormat="1" applyFill="1" applyBorder="1" applyAlignment="1">
      <alignment horizontal="center"/>
    </xf>
    <xf numFmtId="0" fontId="37" fillId="0" borderId="0" xfId="0" applyFont="1" applyFill="1"/>
    <xf numFmtId="2" fontId="29" fillId="0" borderId="0" xfId="0" applyNumberFormat="1" applyFont="1" applyFill="1"/>
    <xf numFmtId="3" fontId="43" fillId="0" borderId="0" xfId="0" applyNumberFormat="1" applyFont="1" applyFill="1" applyBorder="1" applyAlignment="1">
      <alignment horizontal="center"/>
    </xf>
    <xf numFmtId="0" fontId="6" fillId="19" borderId="0" xfId="0" applyFont="1" applyFill="1" applyAlignment="1">
      <alignment horizontal="center"/>
    </xf>
    <xf numFmtId="3" fontId="37" fillId="0" borderId="0" xfId="0" applyNumberFormat="1" applyFont="1" applyFill="1"/>
    <xf numFmtId="2" fontId="12" fillId="14" borderId="50" xfId="0" applyNumberFormat="1" applyFont="1" applyFill="1" applyBorder="1" applyAlignment="1">
      <alignment horizontal="center"/>
    </xf>
    <xf numFmtId="2" fontId="12" fillId="14" borderId="53" xfId="0" applyNumberFormat="1" applyFont="1" applyFill="1" applyBorder="1" applyAlignment="1">
      <alignment horizontal="center"/>
    </xf>
    <xf numFmtId="0" fontId="25" fillId="20" borderId="49" xfId="0" applyFont="1" applyFill="1" applyBorder="1" applyAlignment="1">
      <alignment horizontal="center" vertical="center" textRotation="90"/>
    </xf>
    <xf numFmtId="0" fontId="25" fillId="20" borderId="47" xfId="0" applyFont="1" applyFill="1" applyBorder="1" applyAlignment="1">
      <alignment horizontal="center" vertical="center" textRotation="90"/>
    </xf>
    <xf numFmtId="0" fontId="25" fillId="20" borderId="51" xfId="0" applyFont="1" applyFill="1" applyBorder="1" applyAlignment="1">
      <alignment horizontal="center" vertical="center" textRotation="90"/>
    </xf>
    <xf numFmtId="0" fontId="32" fillId="19" borderId="2" xfId="2" applyFont="1" applyFill="1" applyBorder="1" applyAlignment="1" applyProtection="1"/>
    <xf numFmtId="0" fontId="32" fillId="19" borderId="4" xfId="2" applyFont="1" applyFill="1" applyBorder="1" applyAlignment="1" applyProtection="1"/>
    <xf numFmtId="0" fontId="26" fillId="18" borderId="2" xfId="0" applyFont="1" applyFill="1" applyBorder="1" applyAlignment="1"/>
    <xf numFmtId="0" fontId="0" fillId="0" borderId="3" xfId="0" applyBorder="1" applyAlignment="1"/>
    <xf numFmtId="0" fontId="0" fillId="0" borderId="4" xfId="0" applyBorder="1" applyAlignment="1"/>
    <xf numFmtId="2" fontId="10" fillId="21" borderId="2" xfId="0" applyNumberFormat="1" applyFont="1" applyFill="1" applyBorder="1" applyAlignment="1">
      <alignment horizontal="center" vertical="center"/>
    </xf>
    <xf numFmtId="2" fontId="10" fillId="21" borderId="3" xfId="0" applyNumberFormat="1" applyFont="1" applyFill="1" applyBorder="1" applyAlignment="1">
      <alignment horizontal="center" vertical="center"/>
    </xf>
    <xf numFmtId="2" fontId="10" fillId="21" borderId="4" xfId="0" applyNumberFormat="1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left" vertical="center"/>
    </xf>
    <xf numFmtId="0" fontId="19" fillId="16" borderId="3" xfId="0" applyFont="1" applyFill="1" applyBorder="1" applyAlignment="1">
      <alignment horizontal="left" vertical="center"/>
    </xf>
    <xf numFmtId="0" fontId="19" fillId="16" borderId="4" xfId="0" applyFont="1" applyFill="1" applyBorder="1" applyAlignment="1">
      <alignment horizontal="left" vertical="center"/>
    </xf>
    <xf numFmtId="2" fontId="18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 applyAlignment="1"/>
    <xf numFmtId="0" fontId="19" fillId="14" borderId="2" xfId="0" applyFont="1" applyFill="1" applyBorder="1" applyAlignment="1">
      <alignment horizontal="left" vertical="center"/>
    </xf>
    <xf numFmtId="0" fontId="19" fillId="14" borderId="3" xfId="0" applyFont="1" applyFill="1" applyBorder="1" applyAlignment="1">
      <alignment horizontal="left" vertical="center"/>
    </xf>
    <xf numFmtId="0" fontId="19" fillId="14" borderId="4" xfId="0" applyFont="1" applyFill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0" fillId="8" borderId="3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9" fillId="7" borderId="49" xfId="0" applyFont="1" applyFill="1" applyBorder="1" applyAlignment="1">
      <alignment horizontal="center" vertical="center"/>
    </xf>
    <xf numFmtId="0" fontId="10" fillId="7" borderId="50" xfId="0" applyFont="1" applyFill="1" applyBorder="1" applyAlignment="1">
      <alignment horizontal="center" vertical="center"/>
    </xf>
    <xf numFmtId="0" fontId="0" fillId="0" borderId="50" xfId="0" applyBorder="1" applyAlignment="1">
      <alignment vertical="center"/>
    </xf>
    <xf numFmtId="0" fontId="0" fillId="0" borderId="53" xfId="0" applyBorder="1" applyAlignment="1">
      <alignment vertical="center"/>
    </xf>
    <xf numFmtId="0" fontId="22" fillId="22" borderId="2" xfId="0" applyFont="1" applyFill="1" applyBorder="1" applyAlignment="1">
      <alignment horizontal="center" vertical="center"/>
    </xf>
    <xf numFmtId="0" fontId="22" fillId="22" borderId="3" xfId="0" applyFont="1" applyFill="1" applyBorder="1" applyAlignment="1">
      <alignment vertical="center"/>
    </xf>
    <xf numFmtId="0" fontId="22" fillId="22" borderId="4" xfId="0" applyFont="1" applyFill="1" applyBorder="1" applyAlignment="1">
      <alignment vertical="center"/>
    </xf>
    <xf numFmtId="0" fontId="24" fillId="23" borderId="2" xfId="0" applyFont="1" applyFill="1" applyBorder="1" applyAlignment="1">
      <alignment horizontal="center"/>
    </xf>
    <xf numFmtId="0" fontId="24" fillId="23" borderId="3" xfId="0" applyFont="1" applyFill="1" applyBorder="1" applyAlignment="1">
      <alignment horizontal="center"/>
    </xf>
    <xf numFmtId="0" fontId="24" fillId="23" borderId="4" xfId="0" applyFont="1" applyFill="1" applyBorder="1" applyAlignment="1">
      <alignment horizontal="center"/>
    </xf>
    <xf numFmtId="0" fontId="23" fillId="24" borderId="2" xfId="0" applyFont="1" applyFill="1" applyBorder="1" applyAlignment="1">
      <alignment horizontal="center" vertical="center"/>
    </xf>
    <xf numFmtId="0" fontId="23" fillId="24" borderId="3" xfId="0" applyFont="1" applyFill="1" applyBorder="1" applyAlignment="1">
      <alignment horizontal="center" vertical="center"/>
    </xf>
    <xf numFmtId="0" fontId="23" fillId="24" borderId="4" xfId="0" applyFont="1" applyFill="1" applyBorder="1" applyAlignment="1">
      <alignment horizontal="center" vertical="center"/>
    </xf>
    <xf numFmtId="2" fontId="23" fillId="24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12" fillId="14" borderId="2" xfId="0" applyNumberFormat="1" applyFont="1" applyFill="1" applyBorder="1" applyAlignment="1">
      <alignment horizontal="center"/>
    </xf>
    <xf numFmtId="2" fontId="12" fillId="14" borderId="3" xfId="0" applyNumberFormat="1" applyFont="1" applyFill="1" applyBorder="1" applyAlignment="1">
      <alignment horizontal="center"/>
    </xf>
    <xf numFmtId="2" fontId="12" fillId="14" borderId="4" xfId="0" applyNumberFormat="1" applyFont="1" applyFill="1" applyBorder="1" applyAlignment="1">
      <alignment horizontal="center"/>
    </xf>
    <xf numFmtId="0" fontId="21" fillId="14" borderId="2" xfId="0" applyFont="1" applyFill="1" applyBorder="1" applyAlignment="1">
      <alignment horizontal="center" wrapText="1"/>
    </xf>
    <xf numFmtId="0" fontId="21" fillId="14" borderId="4" xfId="0" applyFont="1" applyFill="1" applyBorder="1" applyAlignment="1">
      <alignment horizontal="center" wrapText="1"/>
    </xf>
    <xf numFmtId="2" fontId="14" fillId="6" borderId="2" xfId="0" applyNumberFormat="1" applyFont="1" applyFill="1" applyBorder="1" applyAlignment="1">
      <alignment horizontal="center" vertical="center"/>
    </xf>
    <xf numFmtId="2" fontId="14" fillId="6" borderId="3" xfId="0" applyNumberFormat="1" applyFont="1" applyFill="1" applyBorder="1" applyAlignment="1">
      <alignment horizontal="center" vertical="center"/>
    </xf>
    <xf numFmtId="0" fontId="26" fillId="25" borderId="2" xfId="0" applyFont="1" applyFill="1" applyBorder="1" applyAlignment="1">
      <alignment horizontal="center" vertical="center"/>
    </xf>
    <xf numFmtId="0" fontId="26" fillId="25" borderId="3" xfId="0" applyFont="1" applyFill="1" applyBorder="1" applyAlignment="1">
      <alignment horizontal="center" vertical="center"/>
    </xf>
    <xf numFmtId="0" fontId="26" fillId="25" borderId="4" xfId="0" applyFont="1" applyFill="1" applyBorder="1" applyAlignment="1">
      <alignment horizontal="center" vertical="center"/>
    </xf>
    <xf numFmtId="0" fontId="24" fillId="26" borderId="2" xfId="0" applyFont="1" applyFill="1" applyBorder="1" applyAlignment="1">
      <alignment horizontal="center"/>
    </xf>
    <xf numFmtId="0" fontId="24" fillId="26" borderId="3" xfId="0" applyFont="1" applyFill="1" applyBorder="1" applyAlignment="1">
      <alignment horizontal="center"/>
    </xf>
    <xf numFmtId="0" fontId="24" fillId="26" borderId="4" xfId="0" applyFont="1" applyFill="1" applyBorder="1" applyAlignment="1">
      <alignment horizontal="center"/>
    </xf>
    <xf numFmtId="0" fontId="36" fillId="8" borderId="2" xfId="5" applyFont="1" applyFill="1" applyBorder="1" applyAlignment="1">
      <alignment horizontal="center" vertical="center"/>
    </xf>
    <xf numFmtId="0" fontId="36" fillId="8" borderId="3" xfId="5" applyFont="1" applyFill="1" applyBorder="1" applyAlignment="1">
      <alignment horizontal="center" vertical="center"/>
    </xf>
    <xf numFmtId="0" fontId="36" fillId="8" borderId="4" xfId="5" applyFont="1" applyFill="1" applyBorder="1" applyAlignment="1">
      <alignment horizontal="center" vertical="center"/>
    </xf>
    <xf numFmtId="0" fontId="34" fillId="0" borderId="0" xfId="5" applyFill="1" applyAlignment="1">
      <alignment horizontal="center" vertical="center"/>
    </xf>
    <xf numFmtId="0" fontId="4" fillId="0" borderId="0" xfId="5" applyFont="1" applyFill="1" applyAlignment="1">
      <alignment horizontal="center" vertical="center"/>
    </xf>
    <xf numFmtId="0" fontId="35" fillId="28" borderId="2" xfId="5" applyNumberFormat="1" applyFont="1" applyFill="1" applyBorder="1" applyAlignment="1">
      <alignment horizontal="center"/>
    </xf>
    <xf numFmtId="0" fontId="35" fillId="28" borderId="3" xfId="5" applyNumberFormat="1" applyFont="1" applyFill="1" applyBorder="1" applyAlignment="1">
      <alignment horizontal="center"/>
    </xf>
    <xf numFmtId="0" fontId="35" fillId="28" borderId="4" xfId="5" applyNumberFormat="1" applyFont="1" applyFill="1" applyBorder="1" applyAlignment="1">
      <alignment horizontal="center"/>
    </xf>
    <xf numFmtId="0" fontId="4" fillId="11" borderId="49" xfId="5" applyFont="1" applyFill="1" applyBorder="1" applyAlignment="1">
      <alignment horizontal="center" vertical="center"/>
    </xf>
    <xf numFmtId="0" fontId="34" fillId="11" borderId="53" xfId="5" applyFill="1" applyBorder="1" applyAlignment="1">
      <alignment horizontal="center" vertical="center"/>
    </xf>
  </cellXfs>
  <cellStyles count="9">
    <cellStyle name="Comma" xfId="1" builtinId="3"/>
    <cellStyle name="Comma 2" xfId="6"/>
    <cellStyle name="Hyperlink" xfId="2" builtinId="8"/>
    <cellStyle name="Normal" xfId="0" builtinId="0"/>
    <cellStyle name="Normal 2" xfId="5"/>
    <cellStyle name="Normal 3" xfId="7"/>
    <cellStyle name="Normal 4" xfId="8"/>
    <cellStyle name="Normal_Sheet1" xfId="3"/>
    <cellStyle name="Percent" xfId="4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7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4.8872757829090133E-2"/>
          <c:y val="3.071236427396783E-2"/>
          <c:w val="0.94639564461386505"/>
          <c:h val="0.87943738360505752"/>
        </c:manualLayout>
      </c:layout>
      <c:lineChart>
        <c:grouping val="standard"/>
        <c:ser>
          <c:idx val="0"/>
          <c:order val="0"/>
          <c:tx>
            <c:strRef>
              <c:f>Annual!$A$80</c:f>
              <c:strCache>
                <c:ptCount val="1"/>
                <c:pt idx="0">
                  <c:v>SA - GDP at constant 2005 prices</c:v>
                </c:pt>
              </c:strCache>
            </c:strRef>
          </c:tx>
          <c:cat>
            <c:strRef>
              <c:f>Annual!$B$84:$S$84</c:f>
              <c:strCache>
                <c:ptCount val="18"/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</c:strCache>
            </c:strRef>
          </c:cat>
          <c:val>
            <c:numRef>
              <c:f>Annual!$B$80:$S$80</c:f>
              <c:numCache>
                <c:formatCode>#,##0.00</c:formatCode>
                <c:ptCount val="18"/>
                <c:pt idx="1">
                  <c:v>3.9124055015246211</c:v>
                </c:pt>
                <c:pt idx="2">
                  <c:v>2.5526741402699931</c:v>
                </c:pt>
                <c:pt idx="3">
                  <c:v>0.50941483769572682</c:v>
                </c:pt>
                <c:pt idx="4">
                  <c:v>2.1993604303941741</c:v>
                </c:pt>
                <c:pt idx="5">
                  <c:v>3.988589800332127</c:v>
                </c:pt>
                <c:pt idx="6">
                  <c:v>2.6804149810827269</c:v>
                </c:pt>
                <c:pt idx="7">
                  <c:v>3.5643215754646991</c:v>
                </c:pt>
                <c:pt idx="8">
                  <c:v>2.949075466902547</c:v>
                </c:pt>
                <c:pt idx="9">
                  <c:v>4.5545599068036751</c:v>
                </c:pt>
                <c:pt idx="10">
                  <c:v>5.2770519743303756</c:v>
                </c:pt>
                <c:pt idx="11">
                  <c:v>5.603806457840629</c:v>
                </c:pt>
                <c:pt idx="12">
                  <c:v>5.5476910828714514</c:v>
                </c:pt>
                <c:pt idx="13">
                  <c:v>3.6221140668034093</c:v>
                </c:pt>
                <c:pt idx="14">
                  <c:v>-1.5262364128473747</c:v>
                </c:pt>
                <c:pt idx="15">
                  <c:v>3.1400511386969949</c:v>
                </c:pt>
                <c:pt idx="16">
                  <c:v>3.5992796050564131</c:v>
                </c:pt>
                <c:pt idx="17">
                  <c:v>2.466829296789093</c:v>
                </c:pt>
              </c:numCache>
            </c:numRef>
          </c:val>
        </c:ser>
        <c:ser>
          <c:idx val="1"/>
          <c:order val="1"/>
          <c:tx>
            <c:strRef>
              <c:f>Annual!$A$100</c:f>
              <c:strCache>
                <c:ptCount val="1"/>
                <c:pt idx="0">
                  <c:v>KZN - GDPR at constant 2005 prices</c:v>
                </c:pt>
              </c:strCache>
            </c:strRef>
          </c:tx>
          <c:cat>
            <c:strRef>
              <c:f>Annual!$B$84:$S$84</c:f>
              <c:strCache>
                <c:ptCount val="18"/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</c:strCache>
            </c:strRef>
          </c:cat>
          <c:val>
            <c:numRef>
              <c:f>Annual!$B$100:$S$100</c:f>
              <c:numCache>
                <c:formatCode>#,##0.00</c:formatCode>
                <c:ptCount val="18"/>
                <c:pt idx="1">
                  <c:v>5.175490589482723</c:v>
                </c:pt>
                <c:pt idx="2">
                  <c:v>1.9480759691223581</c:v>
                </c:pt>
                <c:pt idx="3">
                  <c:v>0.87285779483851178</c:v>
                </c:pt>
                <c:pt idx="4">
                  <c:v>0.76800943160552615</c:v>
                </c:pt>
                <c:pt idx="5">
                  <c:v>4.6799296586110222</c:v>
                </c:pt>
                <c:pt idx="6">
                  <c:v>4.4541099648747133</c:v>
                </c:pt>
                <c:pt idx="7">
                  <c:v>2.4874919405530238</c:v>
                </c:pt>
                <c:pt idx="8">
                  <c:v>2.7432639906487406</c:v>
                </c:pt>
                <c:pt idx="9">
                  <c:v>4.4967464894428772</c:v>
                </c:pt>
                <c:pt idx="10">
                  <c:v>5.7593018540806664</c:v>
                </c:pt>
                <c:pt idx="11">
                  <c:v>5.5333278654310973</c:v>
                </c:pt>
                <c:pt idx="12">
                  <c:v>5.8948084570002708</c:v>
                </c:pt>
                <c:pt idx="13">
                  <c:v>3.9731293461308819</c:v>
                </c:pt>
                <c:pt idx="14">
                  <c:v>-1.781471351225947</c:v>
                </c:pt>
                <c:pt idx="15">
                  <c:v>4.0111945616728821</c:v>
                </c:pt>
                <c:pt idx="16">
                  <c:v>3.5589624319056061</c:v>
                </c:pt>
                <c:pt idx="17">
                  <c:v>2.8062301206934368</c:v>
                </c:pt>
              </c:numCache>
            </c:numRef>
          </c:val>
        </c:ser>
        <c:marker val="1"/>
        <c:axId val="219788416"/>
        <c:axId val="219789952"/>
      </c:lineChart>
      <c:catAx>
        <c:axId val="21978841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19789952"/>
        <c:crosses val="autoZero"/>
        <c:auto val="1"/>
        <c:lblAlgn val="ctr"/>
        <c:lblOffset val="100"/>
      </c:catAx>
      <c:valAx>
        <c:axId val="219789952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1978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6859979459089381"/>
          <c:y val="3.5040350246675601E-2"/>
          <c:w val="0.28677363155692509"/>
          <c:h val="0.15769595190642893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chemeClr val="accent3">
        <a:lumMod val="40000"/>
        <a:lumOff val="60000"/>
      </a:schemeClr>
    </a:solidFill>
  </c:spPr>
  <c:printSettings>
    <c:headerFooter/>
    <c:pageMargins b="0.75000000000000788" l="0.70000000000000062" r="0.70000000000000062" t="0.75000000000000788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2219742890444877E-2"/>
          <c:y val="2.1111287263588688E-2"/>
          <c:w val="0.94509471332371531"/>
          <c:h val="0.94875442583099945"/>
        </c:manualLayout>
      </c:layout>
      <c:lineChart>
        <c:grouping val="standard"/>
        <c:ser>
          <c:idx val="0"/>
          <c:order val="0"/>
          <c:tx>
            <c:strRef>
              <c:f>Quarterly!$A$61</c:f>
              <c:strCache>
                <c:ptCount val="1"/>
                <c:pt idx="0">
                  <c:v>SA - GDP at constant 2005 prices</c:v>
                </c:pt>
              </c:strCache>
            </c:strRef>
          </c:tx>
          <c:marker>
            <c:symbol val="none"/>
          </c:marker>
          <c:cat>
            <c:strRef>
              <c:f>Quarterly!$C$65:$BX$65</c:f>
              <c:strCache>
                <c:ptCount val="74"/>
                <c:pt idx="0">
                  <c:v>1995q2</c:v>
                </c:pt>
                <c:pt idx="1">
                  <c:v>1995q3</c:v>
                </c:pt>
                <c:pt idx="2">
                  <c:v>1995q4</c:v>
                </c:pt>
                <c:pt idx="3">
                  <c:v>1996q1</c:v>
                </c:pt>
                <c:pt idx="4">
                  <c:v>1996q2</c:v>
                </c:pt>
                <c:pt idx="5">
                  <c:v>1996q3</c:v>
                </c:pt>
                <c:pt idx="6">
                  <c:v>1996q4</c:v>
                </c:pt>
                <c:pt idx="7">
                  <c:v>1997q1</c:v>
                </c:pt>
                <c:pt idx="8">
                  <c:v>1997q2</c:v>
                </c:pt>
                <c:pt idx="9">
                  <c:v>1997q3</c:v>
                </c:pt>
                <c:pt idx="10">
                  <c:v>1997q4</c:v>
                </c:pt>
                <c:pt idx="11">
                  <c:v>1998q1</c:v>
                </c:pt>
                <c:pt idx="12">
                  <c:v>1998q2</c:v>
                </c:pt>
                <c:pt idx="13">
                  <c:v>1998q3</c:v>
                </c:pt>
                <c:pt idx="14">
                  <c:v>1998q4</c:v>
                </c:pt>
                <c:pt idx="15">
                  <c:v>1999q1</c:v>
                </c:pt>
                <c:pt idx="16">
                  <c:v>1999q2</c:v>
                </c:pt>
                <c:pt idx="17">
                  <c:v>1999q3</c:v>
                </c:pt>
                <c:pt idx="18">
                  <c:v>1999q4</c:v>
                </c:pt>
                <c:pt idx="19">
                  <c:v>2000q1</c:v>
                </c:pt>
                <c:pt idx="20">
                  <c:v>2000q2</c:v>
                </c:pt>
                <c:pt idx="21">
                  <c:v>2000q3</c:v>
                </c:pt>
                <c:pt idx="22">
                  <c:v>2000q4</c:v>
                </c:pt>
                <c:pt idx="23">
                  <c:v>2001q1</c:v>
                </c:pt>
                <c:pt idx="24">
                  <c:v>2001q2</c:v>
                </c:pt>
                <c:pt idx="25">
                  <c:v>2001q3</c:v>
                </c:pt>
                <c:pt idx="26">
                  <c:v>2001q4</c:v>
                </c:pt>
                <c:pt idx="27">
                  <c:v>2002q1</c:v>
                </c:pt>
                <c:pt idx="28">
                  <c:v>2002q2</c:v>
                </c:pt>
                <c:pt idx="29">
                  <c:v>2002q3</c:v>
                </c:pt>
                <c:pt idx="30">
                  <c:v>2002q4</c:v>
                </c:pt>
                <c:pt idx="31">
                  <c:v>2003q1</c:v>
                </c:pt>
                <c:pt idx="32">
                  <c:v>2003q2</c:v>
                </c:pt>
                <c:pt idx="33">
                  <c:v>2003q3</c:v>
                </c:pt>
                <c:pt idx="34">
                  <c:v>2003q4</c:v>
                </c:pt>
                <c:pt idx="35">
                  <c:v>2004q1</c:v>
                </c:pt>
                <c:pt idx="36">
                  <c:v>2004q2</c:v>
                </c:pt>
                <c:pt idx="37">
                  <c:v>2004q3</c:v>
                </c:pt>
                <c:pt idx="38">
                  <c:v>2004q4</c:v>
                </c:pt>
                <c:pt idx="39">
                  <c:v>2005q1</c:v>
                </c:pt>
                <c:pt idx="40">
                  <c:v>2005q2</c:v>
                </c:pt>
                <c:pt idx="41">
                  <c:v>2005q3</c:v>
                </c:pt>
                <c:pt idx="42">
                  <c:v>2005q4</c:v>
                </c:pt>
                <c:pt idx="43">
                  <c:v>2006q1</c:v>
                </c:pt>
                <c:pt idx="44">
                  <c:v>2006q2</c:v>
                </c:pt>
                <c:pt idx="45">
                  <c:v>2006q3</c:v>
                </c:pt>
                <c:pt idx="46">
                  <c:v>2006q4</c:v>
                </c:pt>
                <c:pt idx="47">
                  <c:v>2007q1</c:v>
                </c:pt>
                <c:pt idx="48">
                  <c:v>2007q2</c:v>
                </c:pt>
                <c:pt idx="49">
                  <c:v>2007q3</c:v>
                </c:pt>
                <c:pt idx="50">
                  <c:v>2007q4</c:v>
                </c:pt>
                <c:pt idx="51">
                  <c:v>2008q1</c:v>
                </c:pt>
                <c:pt idx="52">
                  <c:v>2008q2</c:v>
                </c:pt>
                <c:pt idx="53">
                  <c:v>2008q3</c:v>
                </c:pt>
                <c:pt idx="54">
                  <c:v>2008q4</c:v>
                </c:pt>
                <c:pt idx="55">
                  <c:v>2009q1</c:v>
                </c:pt>
                <c:pt idx="56">
                  <c:v>2009q2</c:v>
                </c:pt>
                <c:pt idx="57">
                  <c:v>2009q3</c:v>
                </c:pt>
                <c:pt idx="58">
                  <c:v>2009q4</c:v>
                </c:pt>
                <c:pt idx="59">
                  <c:v>2010q1</c:v>
                </c:pt>
                <c:pt idx="60">
                  <c:v>2010q2</c:v>
                </c:pt>
                <c:pt idx="61">
                  <c:v>2010q3</c:v>
                </c:pt>
                <c:pt idx="62">
                  <c:v>2010q4</c:v>
                </c:pt>
                <c:pt idx="63">
                  <c:v>2011q1</c:v>
                </c:pt>
                <c:pt idx="64">
                  <c:v>2011q2</c:v>
                </c:pt>
                <c:pt idx="65">
                  <c:v>2011q3</c:v>
                </c:pt>
                <c:pt idx="66">
                  <c:v>2011q4</c:v>
                </c:pt>
                <c:pt idx="67">
                  <c:v>2012q1</c:v>
                </c:pt>
                <c:pt idx="68">
                  <c:v>2012q2</c:v>
                </c:pt>
                <c:pt idx="69">
                  <c:v>2012q3</c:v>
                </c:pt>
                <c:pt idx="70">
                  <c:v>2012q4</c:v>
                </c:pt>
                <c:pt idx="71">
                  <c:v>2013q1</c:v>
                </c:pt>
                <c:pt idx="72">
                  <c:v>2013q2</c:v>
                </c:pt>
                <c:pt idx="73">
                  <c:v>2013q3</c:v>
                </c:pt>
              </c:strCache>
            </c:strRef>
          </c:cat>
          <c:val>
            <c:numRef>
              <c:f>Quarterly!$C$61:$BX$61</c:f>
              <c:numCache>
                <c:formatCode>#,##0.00</c:formatCode>
                <c:ptCount val="74"/>
                <c:pt idx="0">
                  <c:v>1.8015684636744733</c:v>
                </c:pt>
                <c:pt idx="1">
                  <c:v>3.4946909729830686</c:v>
                </c:pt>
                <c:pt idx="2">
                  <c:v>1.0107825528995282</c:v>
                </c:pt>
                <c:pt idx="3">
                  <c:v>-2.7908980278111266</c:v>
                </c:pt>
                <c:pt idx="4">
                  <c:v>3.4038716938595908</c:v>
                </c:pt>
                <c:pt idx="5">
                  <c:v>1.8972029310554945</c:v>
                </c:pt>
                <c:pt idx="6">
                  <c:v>1.2171464348461805</c:v>
                </c:pt>
                <c:pt idx="7">
                  <c:v>-3.1912001370346244</c:v>
                </c:pt>
                <c:pt idx="8">
                  <c:v>3.3695295247336317</c:v>
                </c:pt>
                <c:pt idx="9">
                  <c:v>1.0126369570077434</c:v>
                </c:pt>
                <c:pt idx="10">
                  <c:v>0.41263128115475878</c:v>
                </c:pt>
                <c:pt idx="11">
                  <c:v>-3.7797990486740276</c:v>
                </c:pt>
                <c:pt idx="12">
                  <c:v>3.0220401348519825</c:v>
                </c:pt>
                <c:pt idx="13">
                  <c:v>0.71997431588424299</c:v>
                </c:pt>
                <c:pt idx="14">
                  <c:v>0.53059262559089793</c:v>
                </c:pt>
                <c:pt idx="15">
                  <c:v>-3.2455305844243325</c:v>
                </c:pt>
                <c:pt idx="16">
                  <c:v>3.8150615687992548</c:v>
                </c:pt>
                <c:pt idx="17">
                  <c:v>1.6138579901179655</c:v>
                </c:pt>
                <c:pt idx="18">
                  <c:v>1.4025460836992405</c:v>
                </c:pt>
                <c:pt idx="19">
                  <c:v>-3.3173107586497239</c:v>
                </c:pt>
                <c:pt idx="20">
                  <c:v>3.6906521454820864</c:v>
                </c:pt>
                <c:pt idx="21">
                  <c:v>3.22023889359017</c:v>
                </c:pt>
                <c:pt idx="22">
                  <c:v>0.75490597336281162</c:v>
                </c:pt>
                <c:pt idx="23">
                  <c:v>-3.8684488699158699</c:v>
                </c:pt>
                <c:pt idx="24">
                  <c:v>3.6571086297697795</c:v>
                </c:pt>
                <c:pt idx="25">
                  <c:v>1.1713863410705061</c:v>
                </c:pt>
                <c:pt idx="26">
                  <c:v>1.1238125594030772</c:v>
                </c:pt>
                <c:pt idx="27">
                  <c:v>-2.6693435102841043</c:v>
                </c:pt>
                <c:pt idx="28">
                  <c:v>4.1699686729821179</c:v>
                </c:pt>
                <c:pt idx="29">
                  <c:v>0.91944151839081412</c:v>
                </c:pt>
                <c:pt idx="30">
                  <c:v>1.4645546281729385</c:v>
                </c:pt>
                <c:pt idx="31">
                  <c:v>-3.2440896064980067</c:v>
                </c:pt>
                <c:pt idx="32">
                  <c:v>4.1716740103831897</c:v>
                </c:pt>
                <c:pt idx="33">
                  <c:v>0.71939033071751879</c:v>
                </c:pt>
                <c:pt idx="34">
                  <c:v>0.86892772142533847</c:v>
                </c:pt>
                <c:pt idx="35">
                  <c:v>-1.9700342109232927</c:v>
                </c:pt>
                <c:pt idx="36">
                  <c:v>4.1545158808919558</c:v>
                </c:pt>
                <c:pt idx="37">
                  <c:v>1.9719461736711557</c:v>
                </c:pt>
                <c:pt idx="38">
                  <c:v>1.4882678528086455</c:v>
                </c:pt>
                <c:pt idx="39">
                  <c:v>-2.172787052186739</c:v>
                </c:pt>
                <c:pt idx="40">
                  <c:v>3.8994963951544177</c:v>
                </c:pt>
                <c:pt idx="41">
                  <c:v>2.2301951922709216</c:v>
                </c:pt>
                <c:pt idx="42">
                  <c:v>1.0782375489950227</c:v>
                </c:pt>
                <c:pt idx="43">
                  <c:v>-2.1239793808258227</c:v>
                </c:pt>
                <c:pt idx="44">
                  <c:v>3.7549359887712837</c:v>
                </c:pt>
                <c:pt idx="45">
                  <c:v>2.5339322623340248</c:v>
                </c:pt>
                <c:pt idx="46">
                  <c:v>2.8478918553372647</c:v>
                </c:pt>
                <c:pt idx="47">
                  <c:v>-2.5172951879013779</c:v>
                </c:pt>
                <c:pt idx="48">
                  <c:v>2.6623851168140225</c:v>
                </c:pt>
                <c:pt idx="49">
                  <c:v>2.1204832632625465</c:v>
                </c:pt>
                <c:pt idx="50">
                  <c:v>2.7074434103390623</c:v>
                </c:pt>
                <c:pt idx="51">
                  <c:v>-3.631120170495219</c:v>
                </c:pt>
                <c:pt idx="52">
                  <c:v>3.9318035651964767</c:v>
                </c:pt>
                <c:pt idx="53">
                  <c:v>1.0472190477999412</c:v>
                </c:pt>
                <c:pt idx="54">
                  <c:v>0.59441695727283006</c:v>
                </c:pt>
                <c:pt idx="55">
                  <c:v>-6.1818429201302907</c:v>
                </c:pt>
                <c:pt idx="56">
                  <c:v>2.0691580269521093</c:v>
                </c:pt>
                <c:pt idx="57">
                  <c:v>1.7454570475310363</c:v>
                </c:pt>
                <c:pt idx="58">
                  <c:v>2.0691679241754271</c:v>
                </c:pt>
                <c:pt idx="59">
                  <c:v>-3.4550254214360123</c:v>
                </c:pt>
                <c:pt idx="60">
                  <c:v>3.1076859692337431</c:v>
                </c:pt>
                <c:pt idx="61">
                  <c:v>1.7662895608777072</c:v>
                </c:pt>
                <c:pt idx="62">
                  <c:v>2.082704301225772</c:v>
                </c:pt>
                <c:pt idx="63">
                  <c:v>-3.0823022626638052</c:v>
                </c:pt>
                <c:pt idx="64">
                  <c:v>2.9317893019468309</c:v>
                </c:pt>
                <c:pt idx="65">
                  <c:v>1.4037403101422308</c:v>
                </c:pt>
                <c:pt idx="66">
                  <c:v>2.5028412999634706</c:v>
                </c:pt>
                <c:pt idx="67">
                  <c:v>-4.0132894199564273</c:v>
                </c:pt>
                <c:pt idx="68">
                  <c:v>3.1713124487389441</c:v>
                </c:pt>
                <c:pt idx="69">
                  <c:v>0.66014999611175862</c:v>
                </c:pt>
                <c:pt idx="70">
                  <c:v>2.4070510900437467</c:v>
                </c:pt>
                <c:pt idx="71">
                  <c:v>-4.4610025058315559</c:v>
                </c:pt>
                <c:pt idx="72">
                  <c:v>3.8658868425757156</c:v>
                </c:pt>
                <c:pt idx="73">
                  <c:v>5.8104020090114859E-2</c:v>
                </c:pt>
              </c:numCache>
            </c:numRef>
          </c:val>
        </c:ser>
        <c:ser>
          <c:idx val="1"/>
          <c:order val="1"/>
          <c:tx>
            <c:strRef>
              <c:f>Quarterly!$A$81</c:f>
              <c:strCache>
                <c:ptCount val="1"/>
                <c:pt idx="0">
                  <c:v>KZN - GDPR at constant 2005 prices</c:v>
                </c:pt>
              </c:strCache>
            </c:strRef>
          </c:tx>
          <c:marker>
            <c:symbol val="none"/>
          </c:marker>
          <c:cat>
            <c:strRef>
              <c:f>Quarterly!$C$65:$BX$65</c:f>
              <c:strCache>
                <c:ptCount val="74"/>
                <c:pt idx="0">
                  <c:v>1995q2</c:v>
                </c:pt>
                <c:pt idx="1">
                  <c:v>1995q3</c:v>
                </c:pt>
                <c:pt idx="2">
                  <c:v>1995q4</c:v>
                </c:pt>
                <c:pt idx="3">
                  <c:v>1996q1</c:v>
                </c:pt>
                <c:pt idx="4">
                  <c:v>1996q2</c:v>
                </c:pt>
                <c:pt idx="5">
                  <c:v>1996q3</c:v>
                </c:pt>
                <c:pt idx="6">
                  <c:v>1996q4</c:v>
                </c:pt>
                <c:pt idx="7">
                  <c:v>1997q1</c:v>
                </c:pt>
                <c:pt idx="8">
                  <c:v>1997q2</c:v>
                </c:pt>
                <c:pt idx="9">
                  <c:v>1997q3</c:v>
                </c:pt>
                <c:pt idx="10">
                  <c:v>1997q4</c:v>
                </c:pt>
                <c:pt idx="11">
                  <c:v>1998q1</c:v>
                </c:pt>
                <c:pt idx="12">
                  <c:v>1998q2</c:v>
                </c:pt>
                <c:pt idx="13">
                  <c:v>1998q3</c:v>
                </c:pt>
                <c:pt idx="14">
                  <c:v>1998q4</c:v>
                </c:pt>
                <c:pt idx="15">
                  <c:v>1999q1</c:v>
                </c:pt>
                <c:pt idx="16">
                  <c:v>1999q2</c:v>
                </c:pt>
                <c:pt idx="17">
                  <c:v>1999q3</c:v>
                </c:pt>
                <c:pt idx="18">
                  <c:v>1999q4</c:v>
                </c:pt>
                <c:pt idx="19">
                  <c:v>2000q1</c:v>
                </c:pt>
                <c:pt idx="20">
                  <c:v>2000q2</c:v>
                </c:pt>
                <c:pt idx="21">
                  <c:v>2000q3</c:v>
                </c:pt>
                <c:pt idx="22">
                  <c:v>2000q4</c:v>
                </c:pt>
                <c:pt idx="23">
                  <c:v>2001q1</c:v>
                </c:pt>
                <c:pt idx="24">
                  <c:v>2001q2</c:v>
                </c:pt>
                <c:pt idx="25">
                  <c:v>2001q3</c:v>
                </c:pt>
                <c:pt idx="26">
                  <c:v>2001q4</c:v>
                </c:pt>
                <c:pt idx="27">
                  <c:v>2002q1</c:v>
                </c:pt>
                <c:pt idx="28">
                  <c:v>2002q2</c:v>
                </c:pt>
                <c:pt idx="29">
                  <c:v>2002q3</c:v>
                </c:pt>
                <c:pt idx="30">
                  <c:v>2002q4</c:v>
                </c:pt>
                <c:pt idx="31">
                  <c:v>2003q1</c:v>
                </c:pt>
                <c:pt idx="32">
                  <c:v>2003q2</c:v>
                </c:pt>
                <c:pt idx="33">
                  <c:v>2003q3</c:v>
                </c:pt>
                <c:pt idx="34">
                  <c:v>2003q4</c:v>
                </c:pt>
                <c:pt idx="35">
                  <c:v>2004q1</c:v>
                </c:pt>
                <c:pt idx="36">
                  <c:v>2004q2</c:v>
                </c:pt>
                <c:pt idx="37">
                  <c:v>2004q3</c:v>
                </c:pt>
                <c:pt idx="38">
                  <c:v>2004q4</c:v>
                </c:pt>
                <c:pt idx="39">
                  <c:v>2005q1</c:v>
                </c:pt>
                <c:pt idx="40">
                  <c:v>2005q2</c:v>
                </c:pt>
                <c:pt idx="41">
                  <c:v>2005q3</c:v>
                </c:pt>
                <c:pt idx="42">
                  <c:v>2005q4</c:v>
                </c:pt>
                <c:pt idx="43">
                  <c:v>2006q1</c:v>
                </c:pt>
                <c:pt idx="44">
                  <c:v>2006q2</c:v>
                </c:pt>
                <c:pt idx="45">
                  <c:v>2006q3</c:v>
                </c:pt>
                <c:pt idx="46">
                  <c:v>2006q4</c:v>
                </c:pt>
                <c:pt idx="47">
                  <c:v>2007q1</c:v>
                </c:pt>
                <c:pt idx="48">
                  <c:v>2007q2</c:v>
                </c:pt>
                <c:pt idx="49">
                  <c:v>2007q3</c:v>
                </c:pt>
                <c:pt idx="50">
                  <c:v>2007q4</c:v>
                </c:pt>
                <c:pt idx="51">
                  <c:v>2008q1</c:v>
                </c:pt>
                <c:pt idx="52">
                  <c:v>2008q2</c:v>
                </c:pt>
                <c:pt idx="53">
                  <c:v>2008q3</c:v>
                </c:pt>
                <c:pt idx="54">
                  <c:v>2008q4</c:v>
                </c:pt>
                <c:pt idx="55">
                  <c:v>2009q1</c:v>
                </c:pt>
                <c:pt idx="56">
                  <c:v>2009q2</c:v>
                </c:pt>
                <c:pt idx="57">
                  <c:v>2009q3</c:v>
                </c:pt>
                <c:pt idx="58">
                  <c:v>2009q4</c:v>
                </c:pt>
                <c:pt idx="59">
                  <c:v>2010q1</c:v>
                </c:pt>
                <c:pt idx="60">
                  <c:v>2010q2</c:v>
                </c:pt>
                <c:pt idx="61">
                  <c:v>2010q3</c:v>
                </c:pt>
                <c:pt idx="62">
                  <c:v>2010q4</c:v>
                </c:pt>
                <c:pt idx="63">
                  <c:v>2011q1</c:v>
                </c:pt>
                <c:pt idx="64">
                  <c:v>2011q2</c:v>
                </c:pt>
                <c:pt idx="65">
                  <c:v>2011q3</c:v>
                </c:pt>
                <c:pt idx="66">
                  <c:v>2011q4</c:v>
                </c:pt>
                <c:pt idx="67">
                  <c:v>2012q1</c:v>
                </c:pt>
                <c:pt idx="68">
                  <c:v>2012q2</c:v>
                </c:pt>
                <c:pt idx="69">
                  <c:v>2012q3</c:v>
                </c:pt>
                <c:pt idx="70">
                  <c:v>2012q4</c:v>
                </c:pt>
                <c:pt idx="71">
                  <c:v>2013q1</c:v>
                </c:pt>
                <c:pt idx="72">
                  <c:v>2013q2</c:v>
                </c:pt>
                <c:pt idx="73">
                  <c:v>2013q3</c:v>
                </c:pt>
              </c:strCache>
            </c:strRef>
          </c:cat>
          <c:val>
            <c:numRef>
              <c:f>Quarterly!$C$81:$BX$81</c:f>
              <c:numCache>
                <c:formatCode>#,##0.00</c:formatCode>
                <c:ptCount val="74"/>
                <c:pt idx="0">
                  <c:v>2.7436987782306166</c:v>
                </c:pt>
                <c:pt idx="1">
                  <c:v>4.1065968470611995</c:v>
                </c:pt>
                <c:pt idx="2">
                  <c:v>0.44534992049964595</c:v>
                </c:pt>
                <c:pt idx="3">
                  <c:v>-2.5525403299212077</c:v>
                </c:pt>
                <c:pt idx="4">
                  <c:v>5.3534054727740736</c:v>
                </c:pt>
                <c:pt idx="5">
                  <c:v>1.2364295703727086</c:v>
                </c:pt>
                <c:pt idx="6">
                  <c:v>0.36324037549733801</c:v>
                </c:pt>
                <c:pt idx="7">
                  <c:v>-4.0174567566905219</c:v>
                </c:pt>
                <c:pt idx="8">
                  <c:v>5.0640374759709417</c:v>
                </c:pt>
                <c:pt idx="9">
                  <c:v>0.43439492917982087</c:v>
                </c:pt>
                <c:pt idx="10">
                  <c:v>-0.27893259867842068</c:v>
                </c:pt>
                <c:pt idx="11">
                  <c:v>-3.6951313532066203</c:v>
                </c:pt>
                <c:pt idx="12">
                  <c:v>4.8168158920226976</c:v>
                </c:pt>
                <c:pt idx="13">
                  <c:v>-3.4763517190122745E-2</c:v>
                </c:pt>
                <c:pt idx="14">
                  <c:v>-0.45345280205266891</c:v>
                </c:pt>
                <c:pt idx="15">
                  <c:v>-4.6882022327920314</c:v>
                </c:pt>
                <c:pt idx="16">
                  <c:v>5.614564762152698</c:v>
                </c:pt>
                <c:pt idx="17">
                  <c:v>1.0179058123075313</c:v>
                </c:pt>
                <c:pt idx="18">
                  <c:v>0.50706408189000995</c:v>
                </c:pt>
                <c:pt idx="19">
                  <c:v>-3.3633041960224741</c:v>
                </c:pt>
                <c:pt idx="20">
                  <c:v>5.2239267117847641</c:v>
                </c:pt>
                <c:pt idx="21">
                  <c:v>3.9245410774898883</c:v>
                </c:pt>
                <c:pt idx="22">
                  <c:v>-0.59921787413434335</c:v>
                </c:pt>
                <c:pt idx="23">
                  <c:v>-2.6006800502505629</c:v>
                </c:pt>
                <c:pt idx="24">
                  <c:v>5.2073154068884904</c:v>
                </c:pt>
                <c:pt idx="25">
                  <c:v>0.70717948454016599</c:v>
                </c:pt>
                <c:pt idx="26">
                  <c:v>0.21410205253699061</c:v>
                </c:pt>
                <c:pt idx="27">
                  <c:v>-3.9747513347667009</c:v>
                </c:pt>
                <c:pt idx="28">
                  <c:v>6.0130399994116814</c:v>
                </c:pt>
                <c:pt idx="29">
                  <c:v>0.23362630546579513</c:v>
                </c:pt>
                <c:pt idx="30">
                  <c:v>0.7586098895596648</c:v>
                </c:pt>
                <c:pt idx="31">
                  <c:v>-3.7406311559114505</c:v>
                </c:pt>
                <c:pt idx="32">
                  <c:v>6.3924065400689871</c:v>
                </c:pt>
                <c:pt idx="33">
                  <c:v>-0.4142095681453839</c:v>
                </c:pt>
                <c:pt idx="34">
                  <c:v>-0.23771799783023098</c:v>
                </c:pt>
                <c:pt idx="35">
                  <c:v>-2.2084733872430853</c:v>
                </c:pt>
                <c:pt idx="36">
                  <c:v>6.2498039744359968</c:v>
                </c:pt>
                <c:pt idx="37">
                  <c:v>1.4900191440014401</c:v>
                </c:pt>
                <c:pt idx="38">
                  <c:v>0.65185016302199672</c:v>
                </c:pt>
                <c:pt idx="39">
                  <c:v>-2.3823427422788193</c:v>
                </c:pt>
                <c:pt idx="40">
                  <c:v>5.4461033194405166</c:v>
                </c:pt>
                <c:pt idx="41">
                  <c:v>2.4673865250881182</c:v>
                </c:pt>
                <c:pt idx="42">
                  <c:v>0.29398146657755736</c:v>
                </c:pt>
                <c:pt idx="43">
                  <c:v>-2.7573152057175725</c:v>
                </c:pt>
                <c:pt idx="44">
                  <c:v>4.9397431045306393</c:v>
                </c:pt>
                <c:pt idx="45">
                  <c:v>2.6599975855820834</c:v>
                </c:pt>
                <c:pt idx="46">
                  <c:v>1.9308691150601858</c:v>
                </c:pt>
                <c:pt idx="47">
                  <c:v>-2.5799844274380908</c:v>
                </c:pt>
                <c:pt idx="48">
                  <c:v>3.9063843370947704</c:v>
                </c:pt>
                <c:pt idx="49">
                  <c:v>2.0721097693941681</c:v>
                </c:pt>
                <c:pt idx="50">
                  <c:v>1.976428792900798</c:v>
                </c:pt>
                <c:pt idx="51">
                  <c:v>-3.4209058739890157</c:v>
                </c:pt>
                <c:pt idx="52">
                  <c:v>5.0514772493639404</c:v>
                </c:pt>
                <c:pt idx="53">
                  <c:v>0.945567144786154</c:v>
                </c:pt>
                <c:pt idx="54">
                  <c:v>-0.65283287709970972</c:v>
                </c:pt>
                <c:pt idx="55">
                  <c:v>-5.9244569961609805</c:v>
                </c:pt>
                <c:pt idx="56">
                  <c:v>2.8439143428187821</c:v>
                </c:pt>
                <c:pt idx="57">
                  <c:v>1.8218147463487662</c:v>
                </c:pt>
                <c:pt idx="58">
                  <c:v>1.2746002667266743</c:v>
                </c:pt>
                <c:pt idx="59">
                  <c:v>-3.1761182324103965</c:v>
                </c:pt>
                <c:pt idx="60">
                  <c:v>4.5813086151923095</c:v>
                </c:pt>
                <c:pt idx="61">
                  <c:v>1.3472535045476159</c:v>
                </c:pt>
                <c:pt idx="62">
                  <c:v>1.2202702854046832</c:v>
                </c:pt>
                <c:pt idx="63">
                  <c:v>-3.2133135849504191</c:v>
                </c:pt>
                <c:pt idx="64">
                  <c:v>3.918632533208942</c:v>
                </c:pt>
                <c:pt idx="65">
                  <c:v>1.522200818604333</c:v>
                </c:pt>
                <c:pt idx="66">
                  <c:v>1.7247561904051234</c:v>
                </c:pt>
                <c:pt idx="67">
                  <c:v>-3.8078758538808697</c:v>
                </c:pt>
                <c:pt idx="68">
                  <c:v>3.963095260307588</c:v>
                </c:pt>
                <c:pt idx="69">
                  <c:v>0.59387972186059568</c:v>
                </c:pt>
                <c:pt idx="70">
                  <c:v>1.8075132446648194</c:v>
                </c:pt>
                <c:pt idx="71">
                  <c:v>-4.7272953630268155</c:v>
                </c:pt>
                <c:pt idx="72">
                  <c:v>5.0869223941139579</c:v>
                </c:pt>
                <c:pt idx="73">
                  <c:v>-0.53436240668777935</c:v>
                </c:pt>
              </c:numCache>
            </c:numRef>
          </c:val>
        </c:ser>
        <c:marker val="1"/>
        <c:axId val="219868160"/>
        <c:axId val="219845376"/>
      </c:lineChart>
      <c:catAx>
        <c:axId val="21986816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19845376"/>
        <c:crosses val="autoZero"/>
        <c:auto val="1"/>
        <c:lblAlgn val="ctr"/>
        <c:lblOffset val="100"/>
      </c:catAx>
      <c:valAx>
        <c:axId val="219845376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1986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705393865304532"/>
          <c:y val="2.4074583613851244E-2"/>
          <c:w val="0.29273975757851589"/>
          <c:h val="0.12231790728761142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rgbClr val="9BBB59">
        <a:lumMod val="40000"/>
        <a:lumOff val="60000"/>
      </a:srgbClr>
    </a:solidFill>
  </c:spPr>
  <c:printSettings>
    <c:headerFooter/>
    <c:pageMargins b="0.7500000000000081" l="0.70000000000000062" r="0.70000000000000062" t="0.7500000000000081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2219742890444877E-2"/>
          <c:y val="2.1111287263588688E-2"/>
          <c:w val="0.94509471332371575"/>
          <c:h val="0.94875442583099945"/>
        </c:manualLayout>
      </c:layout>
      <c:lineChart>
        <c:grouping val="standard"/>
        <c:ser>
          <c:idx val="0"/>
          <c:order val="0"/>
          <c:tx>
            <c:strRef>
              <c:f>Quarterly!$A$61</c:f>
              <c:strCache>
                <c:ptCount val="1"/>
                <c:pt idx="0">
                  <c:v>SA - GDP at constant 2005 prices</c:v>
                </c:pt>
              </c:strCache>
            </c:strRef>
          </c:tx>
          <c:marker>
            <c:symbol val="none"/>
          </c:marker>
          <c:cat>
            <c:strRef>
              <c:f>Quarterly!$F$85:$BX$85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Quarterly!$F$101:$BX$101</c:f>
              <c:numCache>
                <c:formatCode>#,##0.00</c:formatCode>
                <c:ptCount val="71"/>
                <c:pt idx="0">
                  <c:v>3.4539811899135437</c:v>
                </c:pt>
                <c:pt idx="1">
                  <c:v>5.0822925287045377</c:v>
                </c:pt>
                <c:pt idx="2">
                  <c:v>3.4602991283207243</c:v>
                </c:pt>
                <c:pt idx="3">
                  <c:v>3.6716673448207873</c:v>
                </c:pt>
                <c:pt idx="4">
                  <c:v>3.2447527219830867</c:v>
                </c:pt>
                <c:pt idx="5">
                  <c:v>3.2104633989503535</c:v>
                </c:pt>
                <c:pt idx="6">
                  <c:v>2.3144970577527029</c:v>
                </c:pt>
                <c:pt idx="7">
                  <c:v>1.5012597138382116</c:v>
                </c:pt>
                <c:pt idx="8">
                  <c:v>0.88413057803483819</c:v>
                </c:pt>
                <c:pt idx="9">
                  <c:v>0.54499616246304294</c:v>
                </c:pt>
                <c:pt idx="10">
                  <c:v>0.25368841112513246</c:v>
                </c:pt>
                <c:pt idx="11">
                  <c:v>0.37146303488282689</c:v>
                </c:pt>
                <c:pt idx="12">
                  <c:v>0.9287816320167992</c:v>
                </c:pt>
                <c:pt idx="13">
                  <c:v>1.7056900200821634</c:v>
                </c:pt>
                <c:pt idx="14">
                  <c:v>2.6083218615131383</c:v>
                </c:pt>
                <c:pt idx="15">
                  <c:v>3.4982965323186197</c:v>
                </c:pt>
                <c:pt idx="16">
                  <c:v>3.4215132498305332</c:v>
                </c:pt>
                <c:pt idx="17">
                  <c:v>3.2975754451655179</c:v>
                </c:pt>
                <c:pt idx="18">
                  <c:v>4.9305736980832506</c:v>
                </c:pt>
                <c:pt idx="19">
                  <c:v>4.2604006999476969</c:v>
                </c:pt>
                <c:pt idx="20">
                  <c:v>3.6660659666824911</c:v>
                </c:pt>
                <c:pt idx="21">
                  <c:v>3.6325304045017486</c:v>
                </c:pt>
                <c:pt idx="22">
                  <c:v>1.575494141853452</c:v>
                </c:pt>
                <c:pt idx="23">
                  <c:v>1.9474052503718882</c:v>
                </c:pt>
                <c:pt idx="24">
                  <c:v>3.2190551779887957</c:v>
                </c:pt>
                <c:pt idx="25">
                  <c:v>3.7297478820270102</c:v>
                </c:pt>
                <c:pt idx="26">
                  <c:v>3.4714320292754968</c:v>
                </c:pt>
                <c:pt idx="27">
                  <c:v>3.8200845268019759</c:v>
                </c:pt>
                <c:pt idx="28">
                  <c:v>3.2070177866564213</c:v>
                </c:pt>
                <c:pt idx="29">
                  <c:v>3.2087073598580531</c:v>
                </c:pt>
                <c:pt idx="30">
                  <c:v>3.0041181927469509</c:v>
                </c:pt>
                <c:pt idx="31">
                  <c:v>2.3994535931117311</c:v>
                </c:pt>
                <c:pt idx="32">
                  <c:v>3.7478216237945188</c:v>
                </c:pt>
                <c:pt idx="33">
                  <c:v>3.7307333070830397</c:v>
                </c:pt>
                <c:pt idx="34">
                  <c:v>5.0207384954685619</c:v>
                </c:pt>
                <c:pt idx="35">
                  <c:v>5.665570947315274</c:v>
                </c:pt>
                <c:pt idx="36">
                  <c:v>5.4470255815095907</c:v>
                </c:pt>
                <c:pt idx="37">
                  <c:v>5.1888414210925671</c:v>
                </c:pt>
                <c:pt idx="38">
                  <c:v>5.4552373866886166</c:v>
                </c:pt>
                <c:pt idx="39">
                  <c:v>5.0291798340352036</c:v>
                </c:pt>
                <c:pt idx="40">
                  <c:v>5.0815806899747553</c:v>
                </c:pt>
                <c:pt idx="41">
                  <c:v>4.93537559240478</c:v>
                </c:pt>
                <c:pt idx="42">
                  <c:v>5.2471500487526637</c:v>
                </c:pt>
                <c:pt idx="43">
                  <c:v>7.0897927068593898</c:v>
                </c:pt>
                <c:pt idx="44">
                  <c:v>6.6594512607973613</c:v>
                </c:pt>
                <c:pt idx="45">
                  <c:v>5.5363155240062127</c:v>
                </c:pt>
                <c:pt idx="46">
                  <c:v>5.110759973211044</c:v>
                </c:pt>
                <c:pt idx="47">
                  <c:v>4.967221369507028</c:v>
                </c:pt>
                <c:pt idx="48">
                  <c:v>3.7678792529728886</c:v>
                </c:pt>
                <c:pt idx="49">
                  <c:v>5.0509671154199189</c:v>
                </c:pt>
                <c:pt idx="50">
                  <c:v>3.9469041478166349</c:v>
                </c:pt>
                <c:pt idx="51">
                  <c:v>1.8083779525811465</c:v>
                </c:pt>
                <c:pt idx="52">
                  <c:v>-0.88631919660775538</c:v>
                </c:pt>
                <c:pt idx="53">
                  <c:v>-2.6626152772545875</c:v>
                </c:pt>
                <c:pt idx="54">
                  <c:v>-1.9900122957146853</c:v>
                </c:pt>
                <c:pt idx="55">
                  <c:v>-0.55315000747855536</c:v>
                </c:pt>
                <c:pt idx="56">
                  <c:v>2.3372650165426041</c:v>
                </c:pt>
                <c:pt idx="57">
                  <c:v>3.3785208798298876</c:v>
                </c:pt>
                <c:pt idx="58">
                  <c:v>3.3996877650990949</c:v>
                </c:pt>
                <c:pt idx="59">
                  <c:v>3.4134005952214692</c:v>
                </c:pt>
                <c:pt idx="60">
                  <c:v>3.8126401154293359</c:v>
                </c:pt>
                <c:pt idx="61">
                  <c:v>3.635540830861856</c:v>
                </c:pt>
                <c:pt idx="62">
                  <c:v>3.2663322467627145</c:v>
                </c:pt>
                <c:pt idx="63">
                  <c:v>3.6913406475274657</c:v>
                </c:pt>
                <c:pt idx="64">
                  <c:v>2.6952861732772622</c:v>
                </c:pt>
                <c:pt idx="65">
                  <c:v>2.9342589752828987</c:v>
                </c:pt>
                <c:pt idx="66">
                  <c:v>2.1794454178951241</c:v>
                </c:pt>
                <c:pt idx="67">
                  <c:v>2.0839574255435931</c:v>
                </c:pt>
                <c:pt idx="68">
                  <c:v>1.6078048069035116</c:v>
                </c:pt>
                <c:pt idx="69">
                  <c:v>2.2918532866386605</c:v>
                </c:pt>
                <c:pt idx="70">
                  <c:v>1.6800481318341429</c:v>
                </c:pt>
              </c:numCache>
            </c:numRef>
          </c:val>
        </c:ser>
        <c:ser>
          <c:idx val="1"/>
          <c:order val="1"/>
          <c:tx>
            <c:strRef>
              <c:f>Quarterly!$A$81</c:f>
              <c:strCache>
                <c:ptCount val="1"/>
                <c:pt idx="0">
                  <c:v>KZN - GDPR at constant 2005 prices</c:v>
                </c:pt>
              </c:strCache>
            </c:strRef>
          </c:tx>
          <c:marker>
            <c:symbol val="none"/>
          </c:marker>
          <c:cat>
            <c:strRef>
              <c:f>Quarterly!$F$85:$BX$85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Quarterly!$F$121:$BX$121</c:f>
              <c:numCache>
                <c:formatCode>#,##0.00</c:formatCode>
                <c:ptCount val="71"/>
                <c:pt idx="0">
                  <c:v>4.6968955955301572</c:v>
                </c:pt>
                <c:pt idx="1">
                  <c:v>7.3562138075728036</c:v>
                </c:pt>
                <c:pt idx="2">
                  <c:v>4.3964562018916729</c:v>
                </c:pt>
                <c:pt idx="3">
                  <c:v>4.3111168056391316</c:v>
                </c:pt>
                <c:pt idx="4">
                  <c:v>2.7430198124431886</c:v>
                </c:pt>
                <c:pt idx="5">
                  <c:v>2.4608216082635024</c:v>
                </c:pt>
                <c:pt idx="6">
                  <c:v>1.6490868538509305</c:v>
                </c:pt>
                <c:pt idx="7">
                  <c:v>0.99868640660586527</c:v>
                </c:pt>
                <c:pt idx="8">
                  <c:v>1.337856856224291</c:v>
                </c:pt>
                <c:pt idx="9">
                  <c:v>1.0994031846561676</c:v>
                </c:pt>
                <c:pt idx="10">
                  <c:v>0.62713829013982481</c:v>
                </c:pt>
                <c:pt idx="11">
                  <c:v>0.45103238697406034</c:v>
                </c:pt>
                <c:pt idx="12">
                  <c:v>-0.58479265997818874</c:v>
                </c:pt>
                <c:pt idx="13">
                  <c:v>0.17184518151989553</c:v>
                </c:pt>
                <c:pt idx="14">
                  <c:v>1.2266901737578348</c:v>
                </c:pt>
                <c:pt idx="15">
                  <c:v>2.2034186264703943</c:v>
                </c:pt>
                <c:pt idx="16">
                  <c:v>3.8038121635194071</c:v>
                </c:pt>
                <c:pt idx="17">
                  <c:v>3.3199193228160588</c:v>
                </c:pt>
                <c:pt idx="18">
                  <c:v>6.656733934299468</c:v>
                </c:pt>
                <c:pt idx="19">
                  <c:v>5.3519071646716805</c:v>
                </c:pt>
                <c:pt idx="20">
                  <c:v>5.8713244702761607</c:v>
                </c:pt>
                <c:pt idx="21">
                  <c:v>5.8546109631347187</c:v>
                </c:pt>
                <c:pt idx="22">
                  <c:v>2.5774970474188819</c:v>
                </c:pt>
                <c:pt idx="23">
                  <c:v>3.416809581912776</c:v>
                </c:pt>
                <c:pt idx="24">
                  <c:v>1.9578459212209613</c:v>
                </c:pt>
                <c:pt idx="25">
                  <c:v>2.7386846256561403</c:v>
                </c:pt>
                <c:pt idx="26">
                  <c:v>2.2555787441547386</c:v>
                </c:pt>
                <c:pt idx="27">
                  <c:v>2.8111788330154051</c:v>
                </c:pt>
                <c:pt idx="28">
                  <c:v>3.0618438603002498</c:v>
                </c:pt>
                <c:pt idx="29">
                  <c:v>3.4306495768353331</c:v>
                </c:pt>
                <c:pt idx="30">
                  <c:v>2.7621505142295644</c:v>
                </c:pt>
                <c:pt idx="31">
                  <c:v>1.7460110851752375</c:v>
                </c:pt>
                <c:pt idx="32">
                  <c:v>3.365499589901106</c:v>
                </c:pt>
                <c:pt idx="33">
                  <c:v>3.2269541248739153</c:v>
                </c:pt>
                <c:pt idx="34">
                  <c:v>5.2008073127597605</c:v>
                </c:pt>
                <c:pt idx="35">
                  <c:v>6.1388701437538025</c:v>
                </c:pt>
                <c:pt idx="36">
                  <c:v>5.9501595515857018</c:v>
                </c:pt>
                <c:pt idx="37">
                  <c:v>5.1487254835381693</c:v>
                </c:pt>
                <c:pt idx="38">
                  <c:v>6.1613268734800881</c:v>
                </c:pt>
                <c:pt idx="39">
                  <c:v>5.7838691754895342</c:v>
                </c:pt>
                <c:pt idx="40">
                  <c:v>5.3775283645018925</c:v>
                </c:pt>
                <c:pt idx="41">
                  <c:v>4.8714974517456939</c:v>
                </c:pt>
                <c:pt idx="42">
                  <c:v>5.0686275926108095</c:v>
                </c:pt>
                <c:pt idx="43">
                  <c:v>6.7834417443122161</c:v>
                </c:pt>
                <c:pt idx="44">
                  <c:v>6.9781709506472707</c:v>
                </c:pt>
                <c:pt idx="45">
                  <c:v>5.924739451715654</c:v>
                </c:pt>
                <c:pt idx="46">
                  <c:v>5.3181559214108702</c:v>
                </c:pt>
                <c:pt idx="47">
                  <c:v>5.3652296027814321</c:v>
                </c:pt>
                <c:pt idx="48">
                  <c:v>4.4557257316006078</c:v>
                </c:pt>
                <c:pt idx="49">
                  <c:v>5.6068726216044276</c:v>
                </c:pt>
                <c:pt idx="50">
                  <c:v>4.4413177630973353</c:v>
                </c:pt>
                <c:pt idx="51">
                  <c:v>1.7485037784407969</c:v>
                </c:pt>
                <c:pt idx="52">
                  <c:v>-0.88905027110819967</c:v>
                </c:pt>
                <c:pt idx="53">
                  <c:v>-2.9717783010492367</c:v>
                </c:pt>
                <c:pt idx="54">
                  <c:v>-2.1295348132728416</c:v>
                </c:pt>
                <c:pt idx="55">
                  <c:v>-0.23075114519659801</c:v>
                </c:pt>
                <c:pt idx="56">
                  <c:v>2.6839245005952663</c:v>
                </c:pt>
                <c:pt idx="57">
                  <c:v>4.41861598362736</c:v>
                </c:pt>
                <c:pt idx="58">
                  <c:v>3.9319518223983483</c:v>
                </c:pt>
                <c:pt idx="59">
                  <c:v>3.8761962727699371</c:v>
                </c:pt>
                <c:pt idx="60">
                  <c:v>3.8362917402274759</c:v>
                </c:pt>
                <c:pt idx="61">
                  <c:v>3.1783364335934565</c:v>
                </c:pt>
                <c:pt idx="62">
                  <c:v>3.3564445934469207</c:v>
                </c:pt>
                <c:pt idx="63">
                  <c:v>3.8715772772594774</c:v>
                </c:pt>
                <c:pt idx="64">
                  <c:v>3.2334924026671685</c:v>
                </c:pt>
                <c:pt idx="65">
                  <c:v>3.2776619850437747</c:v>
                </c:pt>
                <c:pt idx="66">
                  <c:v>2.3332889152125764</c:v>
                </c:pt>
                <c:pt idx="67">
                  <c:v>2.4165410345637182</c:v>
                </c:pt>
                <c:pt idx="68">
                  <c:v>1.4376275661035955</c:v>
                </c:pt>
                <c:pt idx="69">
                  <c:v>2.5341547324244709</c:v>
                </c:pt>
                <c:pt idx="70">
                  <c:v>1.3841508424852382</c:v>
                </c:pt>
              </c:numCache>
            </c:numRef>
          </c:val>
        </c:ser>
        <c:marker val="1"/>
        <c:axId val="220340992"/>
        <c:axId val="220342528"/>
      </c:lineChart>
      <c:catAx>
        <c:axId val="22034099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342528"/>
        <c:crosses val="autoZero"/>
        <c:auto val="1"/>
        <c:lblAlgn val="ctr"/>
        <c:lblOffset val="100"/>
      </c:catAx>
      <c:valAx>
        <c:axId val="220342528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34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705391912383363"/>
          <c:y val="2.407463112054814E-2"/>
          <c:w val="0.29273978468622275"/>
          <c:h val="0.12231796868088105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rgbClr val="9BBB59">
        <a:lumMod val="40000"/>
        <a:lumOff val="60000"/>
      </a:srgbClr>
    </a:solidFill>
  </c:spPr>
  <c:printSettings>
    <c:headerFooter/>
    <c:pageMargins b="0.75000000000000833" l="0.70000000000000062" r="0.70000000000000062" t="0.75000000000000833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2219742890444877E-2"/>
          <c:y val="2.1111287263588688E-2"/>
          <c:w val="0.94509471332371486"/>
          <c:h val="0.94875442583099945"/>
        </c:manualLayout>
      </c:layout>
      <c:lineChart>
        <c:grouping val="standard"/>
        <c:ser>
          <c:idx val="0"/>
          <c:order val="0"/>
          <c:tx>
            <c:strRef>
              <c:f>Seasonal!$A$61</c:f>
              <c:strCache>
                <c:ptCount val="1"/>
                <c:pt idx="0">
                  <c:v>SA - GDP at constant 2005 prices</c:v>
                </c:pt>
              </c:strCache>
            </c:strRef>
          </c:tx>
          <c:marker>
            <c:symbol val="none"/>
          </c:marker>
          <c:cat>
            <c:strRef>
              <c:f>Seasonal!$C$65:$BX$65</c:f>
              <c:strCache>
                <c:ptCount val="74"/>
                <c:pt idx="0">
                  <c:v>1995q2</c:v>
                </c:pt>
                <c:pt idx="1">
                  <c:v>1995q3</c:v>
                </c:pt>
                <c:pt idx="2">
                  <c:v>1995q4</c:v>
                </c:pt>
                <c:pt idx="3">
                  <c:v>1996q1</c:v>
                </c:pt>
                <c:pt idx="4">
                  <c:v>1996q2</c:v>
                </c:pt>
                <c:pt idx="5">
                  <c:v>1996q3</c:v>
                </c:pt>
                <c:pt idx="6">
                  <c:v>1996q4</c:v>
                </c:pt>
                <c:pt idx="7">
                  <c:v>1997q1</c:v>
                </c:pt>
                <c:pt idx="8">
                  <c:v>1997q2</c:v>
                </c:pt>
                <c:pt idx="9">
                  <c:v>1997q3</c:v>
                </c:pt>
                <c:pt idx="10">
                  <c:v>1997q4</c:v>
                </c:pt>
                <c:pt idx="11">
                  <c:v>1998q1</c:v>
                </c:pt>
                <c:pt idx="12">
                  <c:v>1998q2</c:v>
                </c:pt>
                <c:pt idx="13">
                  <c:v>1998q3</c:v>
                </c:pt>
                <c:pt idx="14">
                  <c:v>1998q4</c:v>
                </c:pt>
                <c:pt idx="15">
                  <c:v>1999q1</c:v>
                </c:pt>
                <c:pt idx="16">
                  <c:v>1999q2</c:v>
                </c:pt>
                <c:pt idx="17">
                  <c:v>1999q3</c:v>
                </c:pt>
                <c:pt idx="18">
                  <c:v>1999q4</c:v>
                </c:pt>
                <c:pt idx="19">
                  <c:v>2000q1</c:v>
                </c:pt>
                <c:pt idx="20">
                  <c:v>2000q2</c:v>
                </c:pt>
                <c:pt idx="21">
                  <c:v>2000q3</c:v>
                </c:pt>
                <c:pt idx="22">
                  <c:v>2000q4</c:v>
                </c:pt>
                <c:pt idx="23">
                  <c:v>2001q1</c:v>
                </c:pt>
                <c:pt idx="24">
                  <c:v>2001q2</c:v>
                </c:pt>
                <c:pt idx="25">
                  <c:v>2001q3</c:v>
                </c:pt>
                <c:pt idx="26">
                  <c:v>2001q4</c:v>
                </c:pt>
                <c:pt idx="27">
                  <c:v>2002q1</c:v>
                </c:pt>
                <c:pt idx="28">
                  <c:v>2002q2</c:v>
                </c:pt>
                <c:pt idx="29">
                  <c:v>2002q3</c:v>
                </c:pt>
                <c:pt idx="30">
                  <c:v>2002q4</c:v>
                </c:pt>
                <c:pt idx="31">
                  <c:v>2003q1</c:v>
                </c:pt>
                <c:pt idx="32">
                  <c:v>2003q2</c:v>
                </c:pt>
                <c:pt idx="33">
                  <c:v>2003q3</c:v>
                </c:pt>
                <c:pt idx="34">
                  <c:v>2003q4</c:v>
                </c:pt>
                <c:pt idx="35">
                  <c:v>2004q1</c:v>
                </c:pt>
                <c:pt idx="36">
                  <c:v>2004q2</c:v>
                </c:pt>
                <c:pt idx="37">
                  <c:v>2004q3</c:v>
                </c:pt>
                <c:pt idx="38">
                  <c:v>2004q4</c:v>
                </c:pt>
                <c:pt idx="39">
                  <c:v>2005q1</c:v>
                </c:pt>
                <c:pt idx="40">
                  <c:v>2005q2</c:v>
                </c:pt>
                <c:pt idx="41">
                  <c:v>2005q3</c:v>
                </c:pt>
                <c:pt idx="42">
                  <c:v>2005q4</c:v>
                </c:pt>
                <c:pt idx="43">
                  <c:v>2006q1</c:v>
                </c:pt>
                <c:pt idx="44">
                  <c:v>2006q2</c:v>
                </c:pt>
                <c:pt idx="45">
                  <c:v>2006q3</c:v>
                </c:pt>
                <c:pt idx="46">
                  <c:v>2006q4</c:v>
                </c:pt>
                <c:pt idx="47">
                  <c:v>2007q1</c:v>
                </c:pt>
                <c:pt idx="48">
                  <c:v>2007q2</c:v>
                </c:pt>
                <c:pt idx="49">
                  <c:v>2007q3</c:v>
                </c:pt>
                <c:pt idx="50">
                  <c:v>2007q4</c:v>
                </c:pt>
                <c:pt idx="51">
                  <c:v>2008q1</c:v>
                </c:pt>
                <c:pt idx="52">
                  <c:v>2008q2</c:v>
                </c:pt>
                <c:pt idx="53">
                  <c:v>2008q3</c:v>
                </c:pt>
                <c:pt idx="54">
                  <c:v>2008q4</c:v>
                </c:pt>
                <c:pt idx="55">
                  <c:v>2009q1</c:v>
                </c:pt>
                <c:pt idx="56">
                  <c:v>2009q2</c:v>
                </c:pt>
                <c:pt idx="57">
                  <c:v>2009q3</c:v>
                </c:pt>
                <c:pt idx="58">
                  <c:v>2009q4</c:v>
                </c:pt>
                <c:pt idx="59">
                  <c:v>2010q1</c:v>
                </c:pt>
                <c:pt idx="60">
                  <c:v>2010q2</c:v>
                </c:pt>
                <c:pt idx="61">
                  <c:v>2010q3</c:v>
                </c:pt>
                <c:pt idx="62">
                  <c:v>2010q4</c:v>
                </c:pt>
                <c:pt idx="63">
                  <c:v>2011q1</c:v>
                </c:pt>
                <c:pt idx="64">
                  <c:v>2011q2</c:v>
                </c:pt>
                <c:pt idx="65">
                  <c:v>2011q3</c:v>
                </c:pt>
                <c:pt idx="66">
                  <c:v>2011q4</c:v>
                </c:pt>
                <c:pt idx="67">
                  <c:v>2012q1</c:v>
                </c:pt>
                <c:pt idx="68">
                  <c:v>2012q2</c:v>
                </c:pt>
                <c:pt idx="69">
                  <c:v>2012q3</c:v>
                </c:pt>
                <c:pt idx="70">
                  <c:v>2012q4</c:v>
                </c:pt>
                <c:pt idx="71">
                  <c:v>2013q1</c:v>
                </c:pt>
                <c:pt idx="72">
                  <c:v>2013q2</c:v>
                </c:pt>
                <c:pt idx="73">
                  <c:v>2013q3</c:v>
                </c:pt>
              </c:strCache>
            </c:strRef>
          </c:cat>
          <c:val>
            <c:numRef>
              <c:f>Seasonal!$C$61:$BX$61</c:f>
              <c:numCache>
                <c:formatCode>#,##0.00</c:formatCode>
                <c:ptCount val="74"/>
                <c:pt idx="0">
                  <c:v>0.26681393746179505</c:v>
                </c:pt>
                <c:pt idx="1">
                  <c:v>0.59101498678808317</c:v>
                </c:pt>
                <c:pt idx="2">
                  <c:v>0.28887815842270781</c:v>
                </c:pt>
                <c:pt idx="3">
                  <c:v>1.4518550814069835</c:v>
                </c:pt>
                <c:pt idx="4">
                  <c:v>1.2664801279486917</c:v>
                </c:pt>
                <c:pt idx="5">
                  <c:v>1.2070738917556036</c:v>
                </c:pt>
                <c:pt idx="6">
                  <c:v>1.0750389973809045</c:v>
                </c:pt>
                <c:pt idx="7">
                  <c:v>0.27707894018267853</c:v>
                </c:pt>
                <c:pt idx="8">
                  <c:v>0.63980757974648528</c:v>
                </c:pt>
                <c:pt idx="9">
                  <c:v>0.15216406423912984</c:v>
                </c:pt>
                <c:pt idx="10">
                  <c:v>-7.4540111432992648E-2</c:v>
                </c:pt>
                <c:pt idx="11">
                  <c:v>0.33132966435387728</c:v>
                </c:pt>
                <c:pt idx="12">
                  <c:v>0.11864971723709369</c:v>
                </c:pt>
                <c:pt idx="13">
                  <c:v>-0.22226978067033465</c:v>
                </c:pt>
                <c:pt idx="14">
                  <c:v>8.1778080303601744E-2</c:v>
                </c:pt>
                <c:pt idx="15">
                  <c:v>0.85474596562020588</c:v>
                </c:pt>
                <c:pt idx="16">
                  <c:v>0.73767768321495231</c:v>
                </c:pt>
                <c:pt idx="17">
                  <c:v>1.053310613824193</c:v>
                </c:pt>
                <c:pt idx="18">
                  <c:v>1.0611866157973291</c:v>
                </c:pt>
                <c:pt idx="19">
                  <c:v>1.0757632202211558</c:v>
                </c:pt>
                <c:pt idx="20">
                  <c:v>0.87325903222287338</c:v>
                </c:pt>
                <c:pt idx="21">
                  <c:v>0.96296867569518296</c:v>
                </c:pt>
                <c:pt idx="22">
                  <c:v>0.84838971065071445</c:v>
                </c:pt>
                <c:pt idx="23">
                  <c:v>0.64661060897428002</c:v>
                </c:pt>
                <c:pt idx="24">
                  <c:v>0.48646380291528774</c:v>
                </c:pt>
                <c:pt idx="25">
                  <c:v>0.24817142945355455</c:v>
                </c:pt>
                <c:pt idx="26">
                  <c:v>0.74716069090971904</c:v>
                </c:pt>
                <c:pt idx="27">
                  <c:v>1.2249634449172211</c:v>
                </c:pt>
                <c:pt idx="28">
                  <c:v>1.2109433108539298</c:v>
                </c:pt>
                <c:pt idx="29">
                  <c:v>0.82024598876727206</c:v>
                </c:pt>
                <c:pt idx="30">
                  <c:v>0.66792101946743487</c:v>
                </c:pt>
                <c:pt idx="31">
                  <c:v>0.92543907980240214</c:v>
                </c:pt>
                <c:pt idx="32">
                  <c:v>0.4883734104936685</c:v>
                </c:pt>
                <c:pt idx="33">
                  <c:v>0.54269272731033646</c:v>
                </c:pt>
                <c:pt idx="34">
                  <c:v>0.57693161408175597</c:v>
                </c:pt>
                <c:pt idx="35">
                  <c:v>1.5137801231013281</c:v>
                </c:pt>
                <c:pt idx="36">
                  <c:v>1.3974492309938524</c:v>
                </c:pt>
                <c:pt idx="37">
                  <c:v>1.6351180790347315</c:v>
                </c:pt>
                <c:pt idx="38">
                  <c:v>1.0679310494391605</c:v>
                </c:pt>
                <c:pt idx="39">
                  <c:v>1.016640956172608</c:v>
                </c:pt>
                <c:pt idx="40">
                  <c:v>1.7945551305910978</c:v>
                </c:pt>
                <c:pt idx="41">
                  <c:v>1.3636199324897216</c:v>
                </c:pt>
                <c:pt idx="42">
                  <c:v>0.66935777754421588</c:v>
                </c:pt>
                <c:pt idx="43">
                  <c:v>1.5203357638529329</c:v>
                </c:pt>
                <c:pt idx="44">
                  <c:v>1.6452163650888176</c:v>
                </c:pt>
                <c:pt idx="45">
                  <c:v>1.425144562498956</c:v>
                </c:pt>
                <c:pt idx="46">
                  <c:v>1.5558764224621968</c:v>
                </c:pt>
                <c:pt idx="47">
                  <c:v>1.5880673229301467</c:v>
                </c:pt>
                <c:pt idx="48">
                  <c:v>0.77256394507515647</c:v>
                </c:pt>
                <c:pt idx="49">
                  <c:v>1.2380293081265026</c:v>
                </c:pt>
                <c:pt idx="50">
                  <c:v>1.4654860896887802</c:v>
                </c:pt>
                <c:pt idx="51">
                  <c:v>0.73912044849540681</c:v>
                </c:pt>
                <c:pt idx="52">
                  <c:v>1.092231343018379</c:v>
                </c:pt>
                <c:pt idx="53">
                  <c:v>0.44284048056925268</c:v>
                </c:pt>
                <c:pt idx="54">
                  <c:v>-0.42210499595988382</c:v>
                </c:pt>
                <c:pt idx="55">
                  <c:v>-1.60433011529835</c:v>
                </c:pt>
                <c:pt idx="56">
                  <c:v>-0.69010021796462451</c:v>
                </c:pt>
                <c:pt idx="57">
                  <c:v>0.42213846239889385</c:v>
                </c:pt>
                <c:pt idx="58">
                  <c:v>0.85684537242589098</c:v>
                </c:pt>
                <c:pt idx="59">
                  <c:v>1.1318747069313584</c:v>
                </c:pt>
                <c:pt idx="60">
                  <c:v>0.74168285627062436</c:v>
                </c:pt>
                <c:pt idx="61">
                  <c:v>0.90943948648363138</c:v>
                </c:pt>
                <c:pt idx="62">
                  <c:v>1.1171351559598748</c:v>
                </c:pt>
                <c:pt idx="63">
                  <c:v>1.2466985552138421</c:v>
                </c:pt>
                <c:pt idx="64">
                  <c:v>0.50092179563068573</c:v>
                </c:pt>
                <c:pt idx="65">
                  <c:v>0.44414927954944999</c:v>
                </c:pt>
                <c:pt idx="66">
                  <c:v>0.93638868919849916</c:v>
                </c:pt>
                <c:pt idx="67">
                  <c:v>0.60248932041599912</c:v>
                </c:pt>
                <c:pt idx="68">
                  <c:v>0.6505997632854803</c:v>
                </c:pt>
                <c:pt idx="69">
                  <c:v>0.3209353841561603</c:v>
                </c:pt>
                <c:pt idx="70">
                  <c:v>0.58137050230115661</c:v>
                </c:pt>
                <c:pt idx="71">
                  <c:v>0.19232306289097753</c:v>
                </c:pt>
                <c:pt idx="72">
                  <c:v>0.80139002282713223</c:v>
                </c:pt>
                <c:pt idx="73">
                  <c:v>0.1785078470253787</c:v>
                </c:pt>
              </c:numCache>
            </c:numRef>
          </c:val>
        </c:ser>
        <c:ser>
          <c:idx val="1"/>
          <c:order val="1"/>
          <c:tx>
            <c:strRef>
              <c:f>Seasonal!$A$81</c:f>
              <c:strCache>
                <c:ptCount val="1"/>
                <c:pt idx="0">
                  <c:v>KZN - GDPR at constant 2005 prices</c:v>
                </c:pt>
              </c:strCache>
            </c:strRef>
          </c:tx>
          <c:marker>
            <c:symbol val="none"/>
          </c:marker>
          <c:cat>
            <c:strRef>
              <c:f>Seasonal!$C$65:$BX$65</c:f>
              <c:strCache>
                <c:ptCount val="74"/>
                <c:pt idx="0">
                  <c:v>1995q2</c:v>
                </c:pt>
                <c:pt idx="1">
                  <c:v>1995q3</c:v>
                </c:pt>
                <c:pt idx="2">
                  <c:v>1995q4</c:v>
                </c:pt>
                <c:pt idx="3">
                  <c:v>1996q1</c:v>
                </c:pt>
                <c:pt idx="4">
                  <c:v>1996q2</c:v>
                </c:pt>
                <c:pt idx="5">
                  <c:v>1996q3</c:v>
                </c:pt>
                <c:pt idx="6">
                  <c:v>1996q4</c:v>
                </c:pt>
                <c:pt idx="7">
                  <c:v>1997q1</c:v>
                </c:pt>
                <c:pt idx="8">
                  <c:v>1997q2</c:v>
                </c:pt>
                <c:pt idx="9">
                  <c:v>1997q3</c:v>
                </c:pt>
                <c:pt idx="10">
                  <c:v>1997q4</c:v>
                </c:pt>
                <c:pt idx="11">
                  <c:v>1998q1</c:v>
                </c:pt>
                <c:pt idx="12">
                  <c:v>1998q2</c:v>
                </c:pt>
                <c:pt idx="13">
                  <c:v>1998q3</c:v>
                </c:pt>
                <c:pt idx="14">
                  <c:v>1998q4</c:v>
                </c:pt>
                <c:pt idx="15">
                  <c:v>1999q1</c:v>
                </c:pt>
                <c:pt idx="16">
                  <c:v>1999q2</c:v>
                </c:pt>
                <c:pt idx="17">
                  <c:v>1999q3</c:v>
                </c:pt>
                <c:pt idx="18">
                  <c:v>1999q4</c:v>
                </c:pt>
                <c:pt idx="19">
                  <c:v>2000q1</c:v>
                </c:pt>
                <c:pt idx="20">
                  <c:v>2000q2</c:v>
                </c:pt>
                <c:pt idx="21">
                  <c:v>2000q3</c:v>
                </c:pt>
                <c:pt idx="22">
                  <c:v>2000q4</c:v>
                </c:pt>
                <c:pt idx="23">
                  <c:v>2001q1</c:v>
                </c:pt>
                <c:pt idx="24">
                  <c:v>2001q2</c:v>
                </c:pt>
                <c:pt idx="25">
                  <c:v>2001q3</c:v>
                </c:pt>
                <c:pt idx="26">
                  <c:v>2001q4</c:v>
                </c:pt>
                <c:pt idx="27">
                  <c:v>2002q1</c:v>
                </c:pt>
                <c:pt idx="28">
                  <c:v>2002q2</c:v>
                </c:pt>
                <c:pt idx="29">
                  <c:v>2002q3</c:v>
                </c:pt>
                <c:pt idx="30">
                  <c:v>2002q4</c:v>
                </c:pt>
                <c:pt idx="31">
                  <c:v>2003q1</c:v>
                </c:pt>
                <c:pt idx="32">
                  <c:v>2003q2</c:v>
                </c:pt>
                <c:pt idx="33">
                  <c:v>2003q3</c:v>
                </c:pt>
                <c:pt idx="34">
                  <c:v>2003q4</c:v>
                </c:pt>
                <c:pt idx="35">
                  <c:v>2004q1</c:v>
                </c:pt>
                <c:pt idx="36">
                  <c:v>2004q2</c:v>
                </c:pt>
                <c:pt idx="37">
                  <c:v>2004q3</c:v>
                </c:pt>
                <c:pt idx="38">
                  <c:v>2004q4</c:v>
                </c:pt>
                <c:pt idx="39">
                  <c:v>2005q1</c:v>
                </c:pt>
                <c:pt idx="40">
                  <c:v>2005q2</c:v>
                </c:pt>
                <c:pt idx="41">
                  <c:v>2005q3</c:v>
                </c:pt>
                <c:pt idx="42">
                  <c:v>2005q4</c:v>
                </c:pt>
                <c:pt idx="43">
                  <c:v>2006q1</c:v>
                </c:pt>
                <c:pt idx="44">
                  <c:v>2006q2</c:v>
                </c:pt>
                <c:pt idx="45">
                  <c:v>2006q3</c:v>
                </c:pt>
                <c:pt idx="46">
                  <c:v>2006q4</c:v>
                </c:pt>
                <c:pt idx="47">
                  <c:v>2007q1</c:v>
                </c:pt>
                <c:pt idx="48">
                  <c:v>2007q2</c:v>
                </c:pt>
                <c:pt idx="49">
                  <c:v>2007q3</c:v>
                </c:pt>
                <c:pt idx="50">
                  <c:v>2007q4</c:v>
                </c:pt>
                <c:pt idx="51">
                  <c:v>2008q1</c:v>
                </c:pt>
                <c:pt idx="52">
                  <c:v>2008q2</c:v>
                </c:pt>
                <c:pt idx="53">
                  <c:v>2008q3</c:v>
                </c:pt>
                <c:pt idx="54">
                  <c:v>2008q4</c:v>
                </c:pt>
                <c:pt idx="55">
                  <c:v>2009q1</c:v>
                </c:pt>
                <c:pt idx="56">
                  <c:v>2009q2</c:v>
                </c:pt>
                <c:pt idx="57">
                  <c:v>2009q3</c:v>
                </c:pt>
                <c:pt idx="58">
                  <c:v>2009q4</c:v>
                </c:pt>
                <c:pt idx="59">
                  <c:v>2010q1</c:v>
                </c:pt>
                <c:pt idx="60">
                  <c:v>2010q2</c:v>
                </c:pt>
                <c:pt idx="61">
                  <c:v>2010q3</c:v>
                </c:pt>
                <c:pt idx="62">
                  <c:v>2010q4</c:v>
                </c:pt>
                <c:pt idx="63">
                  <c:v>2011q1</c:v>
                </c:pt>
                <c:pt idx="64">
                  <c:v>2011q2</c:v>
                </c:pt>
                <c:pt idx="65">
                  <c:v>2011q3</c:v>
                </c:pt>
                <c:pt idx="66">
                  <c:v>2011q4</c:v>
                </c:pt>
                <c:pt idx="67">
                  <c:v>2012q1</c:v>
                </c:pt>
                <c:pt idx="68">
                  <c:v>2012q2</c:v>
                </c:pt>
                <c:pt idx="69">
                  <c:v>2012q3</c:v>
                </c:pt>
                <c:pt idx="70">
                  <c:v>2012q4</c:v>
                </c:pt>
                <c:pt idx="71">
                  <c:v>2013q1</c:v>
                </c:pt>
                <c:pt idx="72">
                  <c:v>2013q2</c:v>
                </c:pt>
                <c:pt idx="73">
                  <c:v>2013q3</c:v>
                </c:pt>
              </c:strCache>
            </c:strRef>
          </c:cat>
          <c:val>
            <c:numRef>
              <c:f>Seasonal!$C$81:$BX$81</c:f>
              <c:numCache>
                <c:formatCode>#,##0.00</c:formatCode>
                <c:ptCount val="74"/>
                <c:pt idx="0">
                  <c:v>8.5586134566683542E-2</c:v>
                </c:pt>
                <c:pt idx="1">
                  <c:v>0.49727492189653055</c:v>
                </c:pt>
                <c:pt idx="2">
                  <c:v>0.343725280199216</c:v>
                </c:pt>
                <c:pt idx="3">
                  <c:v>2.401405380299936</c:v>
                </c:pt>
                <c:pt idx="4">
                  <c:v>1.6116128445658437</c:v>
                </c:pt>
                <c:pt idx="5">
                  <c:v>1.343624067728252</c:v>
                </c:pt>
                <c:pt idx="6">
                  <c:v>1.0829528750688155</c:v>
                </c:pt>
                <c:pt idx="7">
                  <c:v>-0.54111269221823166</c:v>
                </c:pt>
                <c:pt idx="8">
                  <c:v>0.72654699991861893</c:v>
                </c:pt>
                <c:pt idx="9">
                  <c:v>0.15672183568722803</c:v>
                </c:pt>
                <c:pt idx="10">
                  <c:v>-5.3888751971941276E-2</c:v>
                </c:pt>
                <c:pt idx="11">
                  <c:v>0.67341816224111339</c:v>
                </c:pt>
                <c:pt idx="12">
                  <c:v>0.10285422434146869</c:v>
                </c:pt>
                <c:pt idx="13">
                  <c:v>-0.26945200879324177</c:v>
                </c:pt>
                <c:pt idx="14">
                  <c:v>0.14933504824353852</c:v>
                </c:pt>
                <c:pt idx="15">
                  <c:v>-0.82438945336368519</c:v>
                </c:pt>
                <c:pt idx="16">
                  <c:v>0.89155582583853188</c:v>
                </c:pt>
                <c:pt idx="17">
                  <c:v>1.2161752812986673</c:v>
                </c:pt>
                <c:pt idx="18">
                  <c:v>1.2565180142828605</c:v>
                </c:pt>
                <c:pt idx="19">
                  <c:v>1.1373369501056076</c:v>
                </c:pt>
                <c:pt idx="20">
                  <c:v>1.0491539212069276</c:v>
                </c:pt>
                <c:pt idx="21">
                  <c:v>1.1436304956264485</c:v>
                </c:pt>
                <c:pt idx="22">
                  <c:v>0.89308144948342083</c:v>
                </c:pt>
                <c:pt idx="23">
                  <c:v>2.1797671229169606</c:v>
                </c:pt>
                <c:pt idx="24">
                  <c:v>0.42619388846515965</c:v>
                </c:pt>
                <c:pt idx="25">
                  <c:v>0.23261443486567787</c:v>
                </c:pt>
                <c:pt idx="26">
                  <c:v>0.8427197247248106</c:v>
                </c:pt>
                <c:pt idx="27">
                  <c:v>-7.6768456878507224E-2</c:v>
                </c:pt>
                <c:pt idx="28">
                  <c:v>1.3482329379119891</c:v>
                </c:pt>
                <c:pt idx="29">
                  <c:v>0.9259098017639239</c:v>
                </c:pt>
                <c:pt idx="30">
                  <c:v>0.69426325104963948</c:v>
                </c:pt>
                <c:pt idx="31">
                  <c:v>0.86394462032802233</c:v>
                </c:pt>
                <c:pt idx="32">
                  <c:v>0.32018071218298277</c:v>
                </c:pt>
                <c:pt idx="33">
                  <c:v>0.33379449118606658</c:v>
                </c:pt>
                <c:pt idx="34">
                  <c:v>0.52237029309025973</c:v>
                </c:pt>
                <c:pt idx="35">
                  <c:v>1.4486469340876691</c:v>
                </c:pt>
                <c:pt idx="36">
                  <c:v>1.5717811924635154</c:v>
                </c:pt>
                <c:pt idx="37">
                  <c:v>1.6685867366336233</c:v>
                </c:pt>
                <c:pt idx="38">
                  <c:v>1.2581788407752286</c:v>
                </c:pt>
                <c:pt idx="39">
                  <c:v>1.0343837071414514</c:v>
                </c:pt>
                <c:pt idx="40">
                  <c:v>2.0052145862075479</c:v>
                </c:pt>
                <c:pt idx="41">
                  <c:v>1.5060250483495579</c:v>
                </c:pt>
                <c:pt idx="42">
                  <c:v>0.72588182881863228</c:v>
                </c:pt>
                <c:pt idx="43">
                  <c:v>1.4005246818059995</c:v>
                </c:pt>
                <c:pt idx="44">
                  <c:v>1.5482945100742089</c:v>
                </c:pt>
                <c:pt idx="45">
                  <c:v>1.3684235059667527</c:v>
                </c:pt>
                <c:pt idx="46">
                  <c:v>1.5160865594686432</c:v>
                </c:pt>
                <c:pt idx="47">
                  <c:v>1.7938528289186246</c:v>
                </c:pt>
                <c:pt idx="48">
                  <c:v>0.98713618736797448</c:v>
                </c:pt>
                <c:pt idx="49">
                  <c:v>1.2064463765090851</c:v>
                </c:pt>
                <c:pt idx="50">
                  <c:v>1.6316669477012595</c:v>
                </c:pt>
                <c:pt idx="51">
                  <c:v>0.92226838362334163</c:v>
                </c:pt>
                <c:pt idx="52">
                  <c:v>1.2191221505700256</c:v>
                </c:pt>
                <c:pt idx="53">
                  <c:v>0.49501774003626708</c:v>
                </c:pt>
                <c:pt idx="54">
                  <c:v>-0.66262635900785571</c:v>
                </c:pt>
                <c:pt idx="55">
                  <c:v>-1.3342533772834488</c:v>
                </c:pt>
                <c:pt idx="56">
                  <c:v>-1.0072857581651133</c:v>
                </c:pt>
                <c:pt idx="57">
                  <c:v>0.51873081919327257</c:v>
                </c:pt>
                <c:pt idx="58">
                  <c:v>0.87202875336974373</c:v>
                </c:pt>
                <c:pt idx="59">
                  <c:v>1.6235035068696213</c:v>
                </c:pt>
                <c:pt idx="60">
                  <c:v>1.099740351497297</c:v>
                </c:pt>
                <c:pt idx="61">
                  <c:v>0.64449063538508111</c:v>
                </c:pt>
                <c:pt idx="62">
                  <c:v>1.030733428002113</c:v>
                </c:pt>
                <c:pt idx="63">
                  <c:v>1.3287456899343952</c:v>
                </c:pt>
                <c:pt idx="64">
                  <c:v>0.39896334361443214</c:v>
                </c:pt>
                <c:pt idx="65">
                  <c:v>0.5668342131964188</c:v>
                </c:pt>
                <c:pt idx="66">
                  <c:v>0.94276843999969939</c:v>
                </c:pt>
                <c:pt idx="67">
                  <c:v>0.95084581457201067</c:v>
                </c:pt>
                <c:pt idx="68">
                  <c:v>0.45470499562350097</c:v>
                </c:pt>
                <c:pt idx="69">
                  <c:v>0.43568429457585511</c:v>
                </c:pt>
                <c:pt idx="70">
                  <c:v>0.71647922384440443</c:v>
                </c:pt>
                <c:pt idx="71">
                  <c:v>-9.7821802505338243E-2</c:v>
                </c:pt>
                <c:pt idx="72">
                  <c:v>0.94829971460769436</c:v>
                </c:pt>
                <c:pt idx="73">
                  <c:v>2.0226640514525673E-2</c:v>
                </c:pt>
              </c:numCache>
            </c:numRef>
          </c:val>
        </c:ser>
        <c:marker val="1"/>
        <c:axId val="220473600"/>
        <c:axId val="219713536"/>
      </c:lineChart>
      <c:catAx>
        <c:axId val="22047360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19713536"/>
        <c:crosses val="autoZero"/>
        <c:auto val="1"/>
        <c:lblAlgn val="ctr"/>
        <c:lblOffset val="100"/>
      </c:catAx>
      <c:valAx>
        <c:axId val="219713536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47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705393865304532"/>
          <c:y val="2.4074720785425212E-2"/>
          <c:w val="0.28231760808105388"/>
          <c:h val="0.11438517884009268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rgbClr val="9BBB59">
        <a:lumMod val="40000"/>
        <a:lumOff val="60000"/>
      </a:srgbClr>
    </a:solidFill>
  </c:spPr>
  <c:printSettings>
    <c:headerFooter/>
    <c:pageMargins b="0.75000000000000788" l="0.70000000000000062" r="0.70000000000000062" t="0.75000000000000788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2219742890444877E-2"/>
          <c:y val="2.1111287263588688E-2"/>
          <c:w val="0.94509471332371531"/>
          <c:h val="0.94875442583099945"/>
        </c:manualLayout>
      </c:layout>
      <c:lineChart>
        <c:grouping val="standard"/>
        <c:ser>
          <c:idx val="0"/>
          <c:order val="0"/>
          <c:tx>
            <c:strRef>
              <c:f>Seasonal!$A$61</c:f>
              <c:strCache>
                <c:ptCount val="1"/>
                <c:pt idx="0">
                  <c:v>SA - GDP at constant 2005 prices</c:v>
                </c:pt>
              </c:strCache>
            </c:strRef>
          </c:tx>
          <c:marker>
            <c:symbol val="none"/>
          </c:marker>
          <c:cat>
            <c:strRef>
              <c:f>Seasonal!$F$85:$BX$85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Seasonal!$F$101:$BX$101</c:f>
              <c:numCache>
                <c:formatCode>#,##0.00</c:formatCode>
                <c:ptCount val="71"/>
                <c:pt idx="0">
                  <c:v>2.6193291739602507</c:v>
                </c:pt>
                <c:pt idx="1">
                  <c:v>3.6424500834332281</c:v>
                </c:pt>
                <c:pt idx="2">
                  <c:v>4.2771971760531509</c:v>
                </c:pt>
                <c:pt idx="3">
                  <c:v>5.0946223015654386</c:v>
                </c:pt>
                <c:pt idx="4">
                  <c:v>3.8776642207911647</c:v>
                </c:pt>
                <c:pt idx="5">
                  <c:v>3.2348327482615882</c:v>
                </c:pt>
                <c:pt idx="6">
                  <c:v>2.1587870192383716</c:v>
                </c:pt>
                <c:pt idx="7">
                  <c:v>0.99688187921534466</c:v>
                </c:pt>
                <c:pt idx="8">
                  <c:v>1.0515220226946822</c:v>
                </c:pt>
                <c:pt idx="9">
                  <c:v>0.52823211895616684</c:v>
                </c:pt>
                <c:pt idx="10">
                  <c:v>0.15239228737640925</c:v>
                </c:pt>
                <c:pt idx="11">
                  <c:v>0.30906548035360731</c:v>
                </c:pt>
                <c:pt idx="12">
                  <c:v>0.8323656320893843</c:v>
                </c:pt>
                <c:pt idx="13">
                  <c:v>1.4558064633256622</c:v>
                </c:pt>
                <c:pt idx="14">
                  <c:v>2.7528397526956598</c:v>
                </c:pt>
                <c:pt idx="15">
                  <c:v>3.7583875180367219</c:v>
                </c:pt>
                <c:pt idx="16">
                  <c:v>3.9857679326269801</c:v>
                </c:pt>
                <c:pt idx="17">
                  <c:v>4.1257208382147494</c:v>
                </c:pt>
                <c:pt idx="18">
                  <c:v>4.032632156879477</c:v>
                </c:pt>
                <c:pt idx="19">
                  <c:v>3.8135785033596434</c:v>
                </c:pt>
                <c:pt idx="20">
                  <c:v>3.3728015368723274</c:v>
                </c:pt>
                <c:pt idx="21">
                  <c:v>2.9764218931666595</c:v>
                </c:pt>
                <c:pt idx="22">
                  <c:v>2.2473698084019298</c:v>
                </c:pt>
                <c:pt idx="23">
                  <c:v>2.1447365284209958</c:v>
                </c:pt>
                <c:pt idx="24">
                  <c:v>2.7316981527659419</c:v>
                </c:pt>
                <c:pt idx="25">
                  <c:v>3.4723651770667585</c:v>
                </c:pt>
                <c:pt idx="26">
                  <c:v>4.062838867167673</c:v>
                </c:pt>
                <c:pt idx="27">
                  <c:v>3.9809913480451842</c:v>
                </c:pt>
                <c:pt idx="28">
                  <c:v>3.6733119045798319</c:v>
                </c:pt>
                <c:pt idx="29">
                  <c:v>2.9331625471844345</c:v>
                </c:pt>
                <c:pt idx="30">
                  <c:v>2.6497925286245616</c:v>
                </c:pt>
                <c:pt idx="31">
                  <c:v>2.5570117947963875</c:v>
                </c:pt>
                <c:pt idx="32">
                  <c:v>3.1548640297444139</c:v>
                </c:pt>
                <c:pt idx="33">
                  <c:v>4.0880624632920721</c:v>
                </c:pt>
                <c:pt idx="34">
                  <c:v>5.219009279637743</c:v>
                </c:pt>
                <c:pt idx="35">
                  <c:v>5.7326705468495813</c:v>
                </c:pt>
                <c:pt idx="36">
                  <c:v>5.2148703852452378</c:v>
                </c:pt>
                <c:pt idx="37">
                  <c:v>5.6269265668574393</c:v>
                </c:pt>
                <c:pt idx="38">
                  <c:v>5.3447650922591894</c:v>
                </c:pt>
                <c:pt idx="39">
                  <c:v>4.9293256223516959</c:v>
                </c:pt>
                <c:pt idx="40">
                  <c:v>5.4525300764802722</c:v>
                </c:pt>
                <c:pt idx="41">
                  <c:v>5.2978248406205495</c:v>
                </c:pt>
                <c:pt idx="42">
                  <c:v>5.3617374131826887</c:v>
                </c:pt>
                <c:pt idx="43">
                  <c:v>6.2895782849218564</c:v>
                </c:pt>
                <c:pt idx="44">
                  <c:v>6.3604917506499783</c:v>
                </c:pt>
                <c:pt idx="45">
                  <c:v>5.4473573815255856</c:v>
                </c:pt>
                <c:pt idx="46">
                  <c:v>5.2528217051461557</c:v>
                </c:pt>
                <c:pt idx="47">
                  <c:v>5.159140887113602</c:v>
                </c:pt>
                <c:pt idx="48">
                  <c:v>4.2803514158012881</c:v>
                </c:pt>
                <c:pt idx="49">
                  <c:v>4.6111461012661028</c:v>
                </c:pt>
                <c:pt idx="50">
                  <c:v>3.7894626371944788</c:v>
                </c:pt>
                <c:pt idx="51">
                  <c:v>1.8586379596774352</c:v>
                </c:pt>
                <c:pt idx="52">
                  <c:v>-0.51085545550390987</c:v>
                </c:pt>
                <c:pt idx="53">
                  <c:v>-2.2649233986199131</c:v>
                </c:pt>
                <c:pt idx="54">
                  <c:v>-2.2850673264698487</c:v>
                </c:pt>
                <c:pt idx="55">
                  <c:v>-1.0300443202641829</c:v>
                </c:pt>
                <c:pt idx="56">
                  <c:v>1.7221303466096221</c:v>
                </c:pt>
                <c:pt idx="57">
                  <c:v>3.1886913322221933</c:v>
                </c:pt>
                <c:pt idx="58">
                  <c:v>3.6894171256585042</c:v>
                </c:pt>
                <c:pt idx="59">
                  <c:v>3.9570171664761733</c:v>
                </c:pt>
                <c:pt idx="60">
                  <c:v>4.0750486456869996</c:v>
                </c:pt>
                <c:pt idx="61">
                  <c:v>3.826321223356381</c:v>
                </c:pt>
                <c:pt idx="62">
                  <c:v>3.3475813677683313</c:v>
                </c:pt>
                <c:pt idx="63">
                  <c:v>3.1628479874985391</c:v>
                </c:pt>
                <c:pt idx="64">
                  <c:v>2.5064467387669551</c:v>
                </c:pt>
                <c:pt idx="65">
                  <c:v>2.6591115735290987</c:v>
                </c:pt>
                <c:pt idx="66">
                  <c:v>2.5331806046741092</c:v>
                </c:pt>
                <c:pt idx="67">
                  <c:v>2.1725461065727862</c:v>
                </c:pt>
                <c:pt idx="68">
                  <c:v>1.7559785728921755</c:v>
                </c:pt>
                <c:pt idx="69">
                  <c:v>1.9084248618860555</c:v>
                </c:pt>
                <c:pt idx="70">
                  <c:v>1.7637435357961868</c:v>
                </c:pt>
              </c:numCache>
            </c:numRef>
          </c:val>
        </c:ser>
        <c:ser>
          <c:idx val="1"/>
          <c:order val="1"/>
          <c:tx>
            <c:strRef>
              <c:f>Seasonal!$A$81</c:f>
              <c:strCache>
                <c:ptCount val="1"/>
                <c:pt idx="0">
                  <c:v>KZN - GDPR at constant 2005 prices</c:v>
                </c:pt>
              </c:strCache>
            </c:strRef>
          </c:tx>
          <c:marker>
            <c:symbol val="none"/>
          </c:marker>
          <c:cat>
            <c:strRef>
              <c:f>Seasonal!$F$85:$BX$85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Seasonal!$F$121:$BX$121</c:f>
              <c:numCache>
                <c:formatCode>#,##0.00</c:formatCode>
                <c:ptCount val="71"/>
                <c:pt idx="0">
                  <c:v>3.3527316793841986</c:v>
                </c:pt>
                <c:pt idx="1">
                  <c:v>4.9285732684224133</c:v>
                </c:pt>
                <c:pt idx="2">
                  <c:v>5.8122410935260094</c:v>
                </c:pt>
                <c:pt idx="3">
                  <c:v>6.5917549921072141</c:v>
                </c:pt>
                <c:pt idx="4">
                  <c:v>3.5288266633321097</c:v>
                </c:pt>
                <c:pt idx="5">
                  <c:v>2.6270613448710858</c:v>
                </c:pt>
                <c:pt idx="6">
                  <c:v>1.4251279297345425</c:v>
                </c:pt>
                <c:pt idx="7">
                  <c:v>0.28443798965172684</c:v>
                </c:pt>
                <c:pt idx="8">
                  <c:v>1.5090499620703772</c:v>
                </c:pt>
                <c:pt idx="9">
                  <c:v>0.88051197478987986</c:v>
                </c:pt>
                <c:pt idx="10">
                  <c:v>0.45125835273158088</c:v>
                </c:pt>
                <c:pt idx="11">
                  <c:v>0.65550928559888477</c:v>
                </c:pt>
                <c:pt idx="12">
                  <c:v>-0.84203188378494198</c:v>
                </c:pt>
                <c:pt idx="13">
                  <c:v>-6.0774956992572716E-2</c:v>
                </c:pt>
                <c:pt idx="14">
                  <c:v>1.4279608723505026</c:v>
                </c:pt>
                <c:pt idx="15">
                  <c:v>2.5492794562819179</c:v>
                </c:pt>
                <c:pt idx="16">
                  <c:v>4.855574195268292</c:v>
                </c:pt>
                <c:pt idx="17">
                  <c:v>4.9927483648039717</c:v>
                </c:pt>
                <c:pt idx="18">
                  <c:v>4.8947105247930143</c:v>
                </c:pt>
                <c:pt idx="19">
                  <c:v>4.4770048500899273</c:v>
                </c:pt>
                <c:pt idx="20">
                  <c:v>5.3652773751010105</c:v>
                </c:pt>
                <c:pt idx="21">
                  <c:v>4.7157087830213582</c:v>
                </c:pt>
                <c:pt idx="22">
                  <c:v>3.7725184699209677</c:v>
                </c:pt>
                <c:pt idx="23">
                  <c:v>3.7207194472564984</c:v>
                </c:pt>
                <c:pt idx="24">
                  <c:v>1.4301535124842197</c:v>
                </c:pt>
                <c:pt idx="25">
                  <c:v>2.3614101767939766</c:v>
                </c:pt>
                <c:pt idx="26">
                  <c:v>3.0694301344182349</c:v>
                </c:pt>
                <c:pt idx="27">
                  <c:v>2.9176955899391301</c:v>
                </c:pt>
                <c:pt idx="28">
                  <c:v>3.8865996237887153</c:v>
                </c:pt>
                <c:pt idx="29">
                  <c:v>2.832798813743191</c:v>
                </c:pt>
                <c:pt idx="30">
                  <c:v>2.2294961065713039</c:v>
                </c:pt>
                <c:pt idx="31">
                  <c:v>2.0549823864337045</c:v>
                </c:pt>
                <c:pt idx="32">
                  <c:v>2.6465890755897186</c:v>
                </c:pt>
                <c:pt idx="33">
                  <c:v>3.9272139635646734</c:v>
                </c:pt>
                <c:pt idx="34">
                  <c:v>5.3098113226401473</c:v>
                </c:pt>
                <c:pt idx="35">
                  <c:v>6.0806632146156421</c:v>
                </c:pt>
                <c:pt idx="36">
                  <c:v>5.6474852552444004</c:v>
                </c:pt>
                <c:pt idx="37">
                  <c:v>6.0983107457212862</c:v>
                </c:pt>
                <c:pt idx="38">
                  <c:v>5.9286662068078995</c:v>
                </c:pt>
                <c:pt idx="39">
                  <c:v>5.3718172376881244</c:v>
                </c:pt>
                <c:pt idx="40">
                  <c:v>5.7536767438282581</c:v>
                </c:pt>
                <c:pt idx="41">
                  <c:v>5.2799658828179803</c:v>
                </c:pt>
                <c:pt idx="42">
                  <c:v>5.1372483871758785</c:v>
                </c:pt>
                <c:pt idx="43">
                  <c:v>5.9620607346543952</c:v>
                </c:pt>
                <c:pt idx="44">
                  <c:v>6.3730828782160964</c:v>
                </c:pt>
                <c:pt idx="45">
                  <c:v>5.7852626587134521</c:v>
                </c:pt>
                <c:pt idx="46">
                  <c:v>5.616227839074817</c:v>
                </c:pt>
                <c:pt idx="47">
                  <c:v>5.7364764127839081</c:v>
                </c:pt>
                <c:pt idx="48">
                  <c:v>4.8311342375879152</c:v>
                </c:pt>
                <c:pt idx="49">
                  <c:v>5.071950568932821</c:v>
                </c:pt>
                <c:pt idx="50">
                  <c:v>4.3333494501196457</c:v>
                </c:pt>
                <c:pt idx="51">
                  <c:v>1.9780667661001961</c:v>
                </c:pt>
                <c:pt idx="52">
                  <c:v>-0.30206159881328565</c:v>
                </c:pt>
                <c:pt idx="53">
                  <c:v>-2.4950096685544811</c:v>
                </c:pt>
                <c:pt idx="54">
                  <c:v>-2.4720021244400678</c:v>
                </c:pt>
                <c:pt idx="55">
                  <c:v>-0.96529991303877172</c:v>
                </c:pt>
                <c:pt idx="56">
                  <c:v>2.0035172902843819</c:v>
                </c:pt>
                <c:pt idx="57">
                  <c:v>4.1746273144320192</c:v>
                </c:pt>
                <c:pt idx="58">
                  <c:v>4.3049610529914357</c:v>
                </c:pt>
                <c:pt idx="59">
                  <c:v>4.4690668523000872</c:v>
                </c:pt>
                <c:pt idx="60">
                  <c:v>4.1660555112222557</c:v>
                </c:pt>
                <c:pt idx="61">
                  <c:v>3.4440242137102874</c:v>
                </c:pt>
                <c:pt idx="62">
                  <c:v>3.3642076955231532</c:v>
                </c:pt>
                <c:pt idx="63">
                  <c:v>3.2742110085616032</c:v>
                </c:pt>
                <c:pt idx="64">
                  <c:v>2.8890556293791998</c:v>
                </c:pt>
                <c:pt idx="65">
                  <c:v>2.9461797842851212</c:v>
                </c:pt>
                <c:pt idx="66">
                  <c:v>2.8119269443042518</c:v>
                </c:pt>
                <c:pt idx="67">
                  <c:v>2.5814475279063265</c:v>
                </c:pt>
                <c:pt idx="68">
                  <c:v>1.5158413780279207</c:v>
                </c:pt>
                <c:pt idx="69">
                  <c:v>2.0146501018165641</c:v>
                </c:pt>
                <c:pt idx="70">
                  <c:v>1.592660970076492</c:v>
                </c:pt>
              </c:numCache>
            </c:numRef>
          </c:val>
        </c:ser>
        <c:marker val="1"/>
        <c:axId val="220402048"/>
        <c:axId val="220403584"/>
      </c:lineChart>
      <c:catAx>
        <c:axId val="2204020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403584"/>
        <c:crosses val="autoZero"/>
        <c:auto val="1"/>
        <c:lblAlgn val="ctr"/>
        <c:lblOffset val="100"/>
      </c:catAx>
      <c:valAx>
        <c:axId val="220403584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40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70538942747837"/>
          <c:y val="2.4074576884785991E-2"/>
          <c:w val="0.29273982370700757"/>
          <c:h val="0.12231785681962135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rgbClr val="9BBB59">
        <a:lumMod val="40000"/>
        <a:lumOff val="60000"/>
      </a:srgbClr>
    </a:solidFill>
  </c:spPr>
  <c:printSettings>
    <c:headerFooter/>
    <c:pageMargins b="0.7500000000000081" l="0.70000000000000062" r="0.70000000000000062" t="0.750000000000008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613E-2"/>
          <c:y val="3.8152988608382718E-2"/>
          <c:w val="0.91042422686294056"/>
          <c:h val="0.92369402278323465"/>
        </c:manualLayout>
      </c:layout>
      <c:lineChart>
        <c:grouping val="standard"/>
        <c:ser>
          <c:idx val="1"/>
          <c:order val="0"/>
          <c:tx>
            <c:strRef>
              <c:f>'GDP Durban'!$O$2</c:f>
              <c:strCache>
                <c:ptCount val="1"/>
                <c:pt idx="0">
                  <c:v>Durban Annual Rate</c:v>
                </c:pt>
              </c:strCache>
            </c:strRef>
          </c:tx>
          <c:marker>
            <c:symbol val="none"/>
          </c:marker>
          <c:trendline>
            <c:trendlineType val="poly"/>
            <c:order val="6"/>
          </c:trendline>
          <c:cat>
            <c:strRef>
              <c:f>'GDP Durban'!$A$11:$A$54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Durban'!$O$11:$O$54</c:f>
              <c:numCache>
                <c:formatCode>0.00</c:formatCode>
                <c:ptCount val="44"/>
                <c:pt idx="0">
                  <c:v>3.0618440911188993</c:v>
                </c:pt>
                <c:pt idx="1">
                  <c:v>3.4306495272393116</c:v>
                </c:pt>
                <c:pt idx="2">
                  <c:v>2.7621505225328331</c:v>
                </c:pt>
                <c:pt idx="3">
                  <c:v>1.7460109430648267</c:v>
                </c:pt>
                <c:pt idx="4">
                  <c:v>3.3654995899011109</c:v>
                </c:pt>
                <c:pt idx="5">
                  <c:v>3.2269541248739237</c:v>
                </c:pt>
                <c:pt idx="6">
                  <c:v>5.2008073127597658</c:v>
                </c:pt>
                <c:pt idx="7">
                  <c:v>6.1388701437537891</c:v>
                </c:pt>
                <c:pt idx="8">
                  <c:v>5.9501595515856991</c:v>
                </c:pt>
                <c:pt idx="9">
                  <c:v>5.1487254835381506</c:v>
                </c:pt>
                <c:pt idx="10">
                  <c:v>6.1613268734800775</c:v>
                </c:pt>
                <c:pt idx="11">
                  <c:v>5.7838691754895466</c:v>
                </c:pt>
                <c:pt idx="12">
                  <c:v>5.3775283645018899</c:v>
                </c:pt>
                <c:pt idx="13">
                  <c:v>4.871497451745693</c:v>
                </c:pt>
                <c:pt idx="14">
                  <c:v>5.0686275926108113</c:v>
                </c:pt>
                <c:pt idx="15">
                  <c:v>6.7834417443122064</c:v>
                </c:pt>
                <c:pt idx="16">
                  <c:v>6.9781709506472627</c:v>
                </c:pt>
                <c:pt idx="17">
                  <c:v>5.9247394517156655</c:v>
                </c:pt>
                <c:pt idx="18">
                  <c:v>5.3181559214108711</c:v>
                </c:pt>
                <c:pt idx="19">
                  <c:v>5.3652296027814339</c:v>
                </c:pt>
                <c:pt idx="20">
                  <c:v>6.659381241901956</c:v>
                </c:pt>
                <c:pt idx="21">
                  <c:v>8.0239697053462784</c:v>
                </c:pt>
                <c:pt idx="22">
                  <c:v>5.9989353934874128</c:v>
                </c:pt>
                <c:pt idx="23">
                  <c:v>0.10931599632623107</c:v>
                </c:pt>
                <c:pt idx="24">
                  <c:v>-4.1833807471969031</c:v>
                </c:pt>
                <c:pt idx="25">
                  <c:v>-6.5464750007682104</c:v>
                </c:pt>
                <c:pt idx="26">
                  <c:v>-5.0283678005535855</c:v>
                </c:pt>
                <c:pt idx="27">
                  <c:v>-0.91554574812301315</c:v>
                </c:pt>
                <c:pt idx="28">
                  <c:v>4.3060638147890655</c:v>
                </c:pt>
                <c:pt idx="29">
                  <c:v>6.272766037276531</c:v>
                </c:pt>
                <c:pt idx="30">
                  <c:v>5.5222184710701585</c:v>
                </c:pt>
                <c:pt idx="31">
                  <c:v>4.9256777562049203</c:v>
                </c:pt>
                <c:pt idx="32">
                  <c:v>3.9312491107488516</c:v>
                </c:pt>
                <c:pt idx="33">
                  <c:v>3.2708365816054679</c:v>
                </c:pt>
                <c:pt idx="34">
                  <c:v>3.3537663260483965</c:v>
                </c:pt>
                <c:pt idx="35">
                  <c:v>3.4158515091313304</c:v>
                </c:pt>
                <c:pt idx="36">
                  <c:v>2.6359484482291409</c:v>
                </c:pt>
                <c:pt idx="37">
                  <c:v>2.615897726678631</c:v>
                </c:pt>
                <c:pt idx="38">
                  <c:v>1.8209741207855481</c:v>
                </c:pt>
                <c:pt idx="39">
                  <c:v>2.3744561087979377</c:v>
                </c:pt>
                <c:pt idx="40">
                  <c:v>1.8002662612428868</c:v>
                </c:pt>
                <c:pt idx="41">
                  <c:v>2.9441686100248177</c:v>
                </c:pt>
                <c:pt idx="42">
                  <c:v>1.7251089294049622</c:v>
                </c:pt>
                <c:pt idx="43">
                  <c:v>1.7730539992569583</c:v>
                </c:pt>
              </c:numCache>
            </c:numRef>
          </c:val>
        </c:ser>
        <c:marker val="1"/>
        <c:axId val="220596480"/>
        <c:axId val="220606464"/>
      </c:lineChart>
      <c:catAx>
        <c:axId val="22059648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 sz="800"/>
            </a:pPr>
            <a:endParaRPr lang="en-US"/>
          </a:p>
        </c:txPr>
        <c:crossAx val="220606464"/>
        <c:crosses val="autoZero"/>
        <c:auto val="1"/>
        <c:lblAlgn val="ctr"/>
        <c:lblOffset val="100"/>
      </c:catAx>
      <c:valAx>
        <c:axId val="220606464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59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2993574254331413E-2"/>
          <c:y val="4.7842246172134291E-2"/>
          <c:w val="0.25198700114083333"/>
          <c:h val="0.12628259142957832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spPr>
    <a:solidFill>
      <a:schemeClr val="accent2">
        <a:lumMod val="75000"/>
      </a:schemeClr>
    </a:solidFill>
  </c:spPr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696E-2"/>
          <c:y val="3.8152988608382718E-2"/>
          <c:w val="0.91042422686294056"/>
          <c:h val="0.91461183562992165"/>
        </c:manualLayout>
      </c:layout>
      <c:lineChart>
        <c:grouping val="standard"/>
        <c:ser>
          <c:idx val="1"/>
          <c:order val="0"/>
          <c:tx>
            <c:strRef>
              <c:f>'GDP PMB'!$O$2</c:f>
              <c:strCache>
                <c:ptCount val="1"/>
                <c:pt idx="0">
                  <c:v>PMB Annual Rate</c:v>
                </c:pt>
              </c:strCache>
            </c:strRef>
          </c:tx>
          <c:marker>
            <c:symbol val="none"/>
          </c:marker>
          <c:trendline>
            <c:trendlineType val="poly"/>
            <c:order val="6"/>
          </c:trendline>
          <c:cat>
            <c:strRef>
              <c:f>'GDP PMB'!$A$11:$A$54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PMB'!$O$11:$O$54</c:f>
              <c:numCache>
                <c:formatCode>0.00</c:formatCode>
                <c:ptCount val="44"/>
                <c:pt idx="0">
                  <c:v>3.0618440911189113</c:v>
                </c:pt>
                <c:pt idx="1">
                  <c:v>3.4306495272393143</c:v>
                </c:pt>
                <c:pt idx="2">
                  <c:v>2.7621505225328216</c:v>
                </c:pt>
                <c:pt idx="3">
                  <c:v>1.7460109430648221</c:v>
                </c:pt>
                <c:pt idx="4">
                  <c:v>3.3654995899011135</c:v>
                </c:pt>
                <c:pt idx="5">
                  <c:v>3.2269541248739042</c:v>
                </c:pt>
                <c:pt idx="6">
                  <c:v>5.2008073127597649</c:v>
                </c:pt>
                <c:pt idx="7">
                  <c:v>6.1388701437538069</c:v>
                </c:pt>
                <c:pt idx="8">
                  <c:v>5.9501595515856875</c:v>
                </c:pt>
                <c:pt idx="9">
                  <c:v>5.1487254835381595</c:v>
                </c:pt>
                <c:pt idx="10">
                  <c:v>6.1613268734800828</c:v>
                </c:pt>
                <c:pt idx="11">
                  <c:v>5.7838691754895386</c:v>
                </c:pt>
                <c:pt idx="12">
                  <c:v>5.3775283645018854</c:v>
                </c:pt>
                <c:pt idx="13">
                  <c:v>4.8714974517457108</c:v>
                </c:pt>
                <c:pt idx="14">
                  <c:v>5.0686275926108175</c:v>
                </c:pt>
                <c:pt idx="15">
                  <c:v>6.7834417443122099</c:v>
                </c:pt>
                <c:pt idx="16">
                  <c:v>6.9781709506472804</c:v>
                </c:pt>
                <c:pt idx="17">
                  <c:v>5.9247394517156513</c:v>
                </c:pt>
                <c:pt idx="18">
                  <c:v>5.3181559214108685</c:v>
                </c:pt>
                <c:pt idx="19">
                  <c:v>5.3652296027814455</c:v>
                </c:pt>
                <c:pt idx="20">
                  <c:v>6.5905501605554431</c:v>
                </c:pt>
                <c:pt idx="21">
                  <c:v>-0.41725428848533774</c:v>
                </c:pt>
                <c:pt idx="22">
                  <c:v>0.52831918799998168</c:v>
                </c:pt>
                <c:pt idx="23">
                  <c:v>3.3041891537364751</c:v>
                </c:pt>
                <c:pt idx="24">
                  <c:v>-2.9859467741072665</c:v>
                </c:pt>
                <c:pt idx="25">
                  <c:v>6.3450074360088839</c:v>
                </c:pt>
                <c:pt idx="26">
                  <c:v>4.3676731056241405</c:v>
                </c:pt>
                <c:pt idx="27">
                  <c:v>12.051045039075614</c:v>
                </c:pt>
                <c:pt idx="28">
                  <c:v>3.4632115352520652</c:v>
                </c:pt>
                <c:pt idx="29">
                  <c:v>0.24102815541291017</c:v>
                </c:pt>
                <c:pt idx="30">
                  <c:v>0.88310954046919299</c:v>
                </c:pt>
                <c:pt idx="31">
                  <c:v>-4.1785895781736988</c:v>
                </c:pt>
                <c:pt idx="32">
                  <c:v>4.057377113234196</c:v>
                </c:pt>
                <c:pt idx="33">
                  <c:v>2.9063121255141104</c:v>
                </c:pt>
                <c:pt idx="34">
                  <c:v>3.2292684603540045</c:v>
                </c:pt>
                <c:pt idx="35">
                  <c:v>5.578467219794577</c:v>
                </c:pt>
                <c:pt idx="36">
                  <c:v>2.8286342142584067</c:v>
                </c:pt>
                <c:pt idx="37">
                  <c:v>4.8981721070490742</c:v>
                </c:pt>
                <c:pt idx="38">
                  <c:v>3.4494967945427057</c:v>
                </c:pt>
                <c:pt idx="39">
                  <c:v>4.1360238317283073</c:v>
                </c:pt>
                <c:pt idx="40">
                  <c:v>1.631759275534947</c:v>
                </c:pt>
                <c:pt idx="41">
                  <c:v>1.5671126581438508</c:v>
                </c:pt>
                <c:pt idx="42">
                  <c:v>0.69605391629085445</c:v>
                </c:pt>
                <c:pt idx="43">
                  <c:v>-6.0907402487405511E-2</c:v>
                </c:pt>
              </c:numCache>
            </c:numRef>
          </c:val>
        </c:ser>
        <c:marker val="1"/>
        <c:axId val="220643328"/>
        <c:axId val="220644864"/>
      </c:lineChart>
      <c:catAx>
        <c:axId val="22064332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 sz="800"/>
            </a:pPr>
            <a:endParaRPr lang="en-US"/>
          </a:p>
        </c:txPr>
        <c:crossAx val="220644864"/>
        <c:crosses val="autoZero"/>
        <c:auto val="1"/>
        <c:lblAlgn val="ctr"/>
        <c:lblOffset val="100"/>
      </c:catAx>
      <c:valAx>
        <c:axId val="220644864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64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0811315252260244E-2"/>
          <c:y val="5.2550032808399004E-2"/>
          <c:w val="0.28179370332331644"/>
          <c:h val="0.13368807414698175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spPr>
    <a:solidFill>
      <a:schemeClr val="accent2">
        <a:lumMod val="75000"/>
      </a:schemeClr>
    </a:solidFill>
  </c:spPr>
  <c:printSettings>
    <c:headerFooter/>
    <c:pageMargins b="0.75000000000000788" l="0.70000000000000062" r="0.70000000000000062" t="0.750000000000007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765E-2"/>
          <c:y val="3.8152988608382718E-2"/>
          <c:w val="0.91042422686294056"/>
          <c:h val="0.91170257563959034"/>
        </c:manualLayout>
      </c:layout>
      <c:lineChart>
        <c:grouping val="standard"/>
        <c:ser>
          <c:idx val="1"/>
          <c:order val="0"/>
          <c:tx>
            <c:strRef>
              <c:f>'GDP RBay'!$O$2</c:f>
              <c:strCache>
                <c:ptCount val="1"/>
                <c:pt idx="0">
                  <c:v>RBay Annual Rate</c:v>
                </c:pt>
              </c:strCache>
            </c:strRef>
          </c:tx>
          <c:marker>
            <c:symbol val="none"/>
          </c:marker>
          <c:trendline>
            <c:trendlineType val="poly"/>
            <c:order val="6"/>
          </c:trendline>
          <c:cat>
            <c:strRef>
              <c:f>'GDP RBay'!$A$11:$A$54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RBay'!$O$11:$O$54</c:f>
              <c:numCache>
                <c:formatCode>0.00</c:formatCode>
                <c:ptCount val="44"/>
                <c:pt idx="0">
                  <c:v>6.7101681415647594</c:v>
                </c:pt>
                <c:pt idx="1">
                  <c:v>6.9786421093586899</c:v>
                </c:pt>
                <c:pt idx="2">
                  <c:v>6.3475743971881036</c:v>
                </c:pt>
                <c:pt idx="3">
                  <c:v>5.3196362233654071</c:v>
                </c:pt>
                <c:pt idx="4">
                  <c:v>3.3654995899011135</c:v>
                </c:pt>
                <c:pt idx="5">
                  <c:v>3.2269541248739095</c:v>
                </c:pt>
                <c:pt idx="6">
                  <c:v>5.2008073127597676</c:v>
                </c:pt>
                <c:pt idx="7">
                  <c:v>6.1388701437537936</c:v>
                </c:pt>
                <c:pt idx="8">
                  <c:v>5.9501595515856813</c:v>
                </c:pt>
                <c:pt idx="9">
                  <c:v>5.1487254835381702</c:v>
                </c:pt>
                <c:pt idx="10">
                  <c:v>6.161326873480089</c:v>
                </c:pt>
                <c:pt idx="11">
                  <c:v>5.7838691754895386</c:v>
                </c:pt>
                <c:pt idx="12">
                  <c:v>5.3775283645018987</c:v>
                </c:pt>
                <c:pt idx="13">
                  <c:v>4.8714974517456895</c:v>
                </c:pt>
                <c:pt idx="14">
                  <c:v>5.0686275926108149</c:v>
                </c:pt>
                <c:pt idx="15">
                  <c:v>6.7834417443122046</c:v>
                </c:pt>
                <c:pt idx="16">
                  <c:v>6.9781709506472733</c:v>
                </c:pt>
                <c:pt idx="17">
                  <c:v>5.9247394517156655</c:v>
                </c:pt>
                <c:pt idx="18">
                  <c:v>5.3181559214108676</c:v>
                </c:pt>
                <c:pt idx="19">
                  <c:v>5.3652296027814437</c:v>
                </c:pt>
                <c:pt idx="20">
                  <c:v>6.2648635144563301</c:v>
                </c:pt>
                <c:pt idx="21">
                  <c:v>16.476968115498256</c:v>
                </c:pt>
                <c:pt idx="22">
                  <c:v>14.170112957362122</c:v>
                </c:pt>
                <c:pt idx="23">
                  <c:v>2.8791876748986271</c:v>
                </c:pt>
                <c:pt idx="24">
                  <c:v>-11.587143150815711</c:v>
                </c:pt>
                <c:pt idx="25">
                  <c:v>-19.874547534381865</c:v>
                </c:pt>
                <c:pt idx="26">
                  <c:v>-14.64590406295091</c:v>
                </c:pt>
                <c:pt idx="27">
                  <c:v>-5.5942618228423795</c:v>
                </c:pt>
                <c:pt idx="28">
                  <c:v>10.313965751809921</c:v>
                </c:pt>
                <c:pt idx="29">
                  <c:v>15.170133496640489</c:v>
                </c:pt>
                <c:pt idx="30">
                  <c:v>10.707351713587176</c:v>
                </c:pt>
                <c:pt idx="31">
                  <c:v>7.4084020040233511</c:v>
                </c:pt>
                <c:pt idx="32">
                  <c:v>2.9467296623738157</c:v>
                </c:pt>
                <c:pt idx="33">
                  <c:v>3.3349565933560221</c:v>
                </c:pt>
                <c:pt idx="34">
                  <c:v>3.8823218567518127</c:v>
                </c:pt>
                <c:pt idx="35">
                  <c:v>3.4967237348459475</c:v>
                </c:pt>
                <c:pt idx="36">
                  <c:v>1.4275162661626599</c:v>
                </c:pt>
                <c:pt idx="37">
                  <c:v>-3.5594420839049207E-2</c:v>
                </c:pt>
                <c:pt idx="38">
                  <c:v>-8.9133086241903928E-2</c:v>
                </c:pt>
                <c:pt idx="39">
                  <c:v>1.5370874204313438</c:v>
                </c:pt>
                <c:pt idx="40">
                  <c:v>2.9391079889622613</c:v>
                </c:pt>
                <c:pt idx="41">
                  <c:v>4.7462550441609501</c:v>
                </c:pt>
                <c:pt idx="42">
                  <c:v>2.8476879616742683</c:v>
                </c:pt>
                <c:pt idx="43">
                  <c:v>2.3062749421245874</c:v>
                </c:pt>
              </c:numCache>
            </c:numRef>
          </c:val>
        </c:ser>
        <c:marker val="1"/>
        <c:axId val="220879488"/>
        <c:axId val="220885376"/>
      </c:lineChart>
      <c:catAx>
        <c:axId val="22087948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 sz="800"/>
            </a:pPr>
            <a:endParaRPr lang="en-US"/>
          </a:p>
        </c:txPr>
        <c:crossAx val="220885376"/>
        <c:crosses val="autoZero"/>
        <c:auto val="1"/>
        <c:lblAlgn val="ctr"/>
        <c:lblOffset val="100"/>
      </c:catAx>
      <c:valAx>
        <c:axId val="220885376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87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8209892525524247E-2"/>
          <c:y val="5.0260832780517795E-2"/>
          <c:w val="0.26754951085659723"/>
          <c:h val="0.12246065395671844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spPr>
    <a:solidFill>
      <a:schemeClr val="accent2">
        <a:lumMod val="75000"/>
      </a:schemeClr>
    </a:solidFill>
  </c:sp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6.6578267510476796E-2"/>
          <c:y val="1.6134652893159001E-2"/>
          <c:w val="0.91042422686294056"/>
          <c:h val="0.92408716800308222"/>
        </c:manualLayout>
      </c:layout>
      <c:lineChart>
        <c:grouping val="standard"/>
        <c:ser>
          <c:idx val="1"/>
          <c:order val="0"/>
          <c:tx>
            <c:strRef>
              <c:f>'GDP Port Shepstone'!$O$2</c:f>
              <c:strCache>
                <c:ptCount val="1"/>
                <c:pt idx="0">
                  <c:v>Port Shepstone Annual Rate</c:v>
                </c:pt>
              </c:strCache>
            </c:strRef>
          </c:tx>
          <c:marker>
            <c:symbol val="none"/>
          </c:marker>
          <c:trendline>
            <c:trendlineType val="poly"/>
            <c:order val="6"/>
          </c:trendline>
          <c:cat>
            <c:strRef>
              <c:f>'GDP Port Shepstone'!$A$11:$A$54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Port Shepstone'!$O$11:$O$54</c:f>
              <c:numCache>
                <c:formatCode>0.00</c:formatCode>
                <c:ptCount val="44"/>
                <c:pt idx="0">
                  <c:v>6.7101681415647558</c:v>
                </c:pt>
                <c:pt idx="1">
                  <c:v>6.9786421093586899</c:v>
                </c:pt>
                <c:pt idx="2">
                  <c:v>6.3475743971881107</c:v>
                </c:pt>
                <c:pt idx="3">
                  <c:v>5.3196362233654035</c:v>
                </c:pt>
                <c:pt idx="4">
                  <c:v>3.3654995899011184</c:v>
                </c:pt>
                <c:pt idx="5">
                  <c:v>3.2269541248739055</c:v>
                </c:pt>
                <c:pt idx="6">
                  <c:v>5.2008073127597694</c:v>
                </c:pt>
                <c:pt idx="7">
                  <c:v>6.1388701437537856</c:v>
                </c:pt>
                <c:pt idx="8">
                  <c:v>5.9501595515856858</c:v>
                </c:pt>
                <c:pt idx="9">
                  <c:v>5.1487254835381675</c:v>
                </c:pt>
                <c:pt idx="10">
                  <c:v>6.1613268734800837</c:v>
                </c:pt>
                <c:pt idx="11">
                  <c:v>5.783869175489543</c:v>
                </c:pt>
                <c:pt idx="12">
                  <c:v>5.3775283645018854</c:v>
                </c:pt>
                <c:pt idx="13">
                  <c:v>4.8714974517456895</c:v>
                </c:pt>
                <c:pt idx="14">
                  <c:v>5.0686275926108095</c:v>
                </c:pt>
                <c:pt idx="15">
                  <c:v>6.7834417443122117</c:v>
                </c:pt>
                <c:pt idx="16">
                  <c:v>6.9781709506472778</c:v>
                </c:pt>
                <c:pt idx="17">
                  <c:v>5.9247394517156584</c:v>
                </c:pt>
                <c:pt idx="18">
                  <c:v>5.3181559214108889</c:v>
                </c:pt>
                <c:pt idx="19">
                  <c:v>5.3652296027814401</c:v>
                </c:pt>
                <c:pt idx="20">
                  <c:v>0.50359969455026887</c:v>
                </c:pt>
                <c:pt idx="21">
                  <c:v>-2.4419693768498516</c:v>
                </c:pt>
                <c:pt idx="22">
                  <c:v>-3.0433902600921994</c:v>
                </c:pt>
                <c:pt idx="23">
                  <c:v>8.3984755457705731</c:v>
                </c:pt>
                <c:pt idx="24">
                  <c:v>8.1682299577469397</c:v>
                </c:pt>
                <c:pt idx="25">
                  <c:v>9.1637801253053119</c:v>
                </c:pt>
                <c:pt idx="26">
                  <c:v>8.6876640906282088</c:v>
                </c:pt>
                <c:pt idx="27">
                  <c:v>-4.4991216689317151</c:v>
                </c:pt>
                <c:pt idx="28">
                  <c:v>-1.814863106321029</c:v>
                </c:pt>
                <c:pt idx="29">
                  <c:v>-0.76769433849657076</c:v>
                </c:pt>
                <c:pt idx="30">
                  <c:v>-0.55574805495020074</c:v>
                </c:pt>
                <c:pt idx="31">
                  <c:v>4.7522109745600432</c:v>
                </c:pt>
                <c:pt idx="32">
                  <c:v>3.9771278436845554</c:v>
                </c:pt>
                <c:pt idx="33">
                  <c:v>2.750152069878538</c:v>
                </c:pt>
                <c:pt idx="34">
                  <c:v>2.8823375140957825</c:v>
                </c:pt>
                <c:pt idx="35">
                  <c:v>4.8270342631528287</c:v>
                </c:pt>
                <c:pt idx="36">
                  <c:v>4.7148376755636772</c:v>
                </c:pt>
                <c:pt idx="37">
                  <c:v>5.3713276789582061</c:v>
                </c:pt>
                <c:pt idx="38">
                  <c:v>4.1941258590952009</c:v>
                </c:pt>
                <c:pt idx="39">
                  <c:v>1.5113249649259304</c:v>
                </c:pt>
                <c:pt idx="40">
                  <c:v>0.43582045337149722</c:v>
                </c:pt>
                <c:pt idx="41">
                  <c:v>1.3155576863446863</c:v>
                </c:pt>
                <c:pt idx="42">
                  <c:v>0.33000209962056687</c:v>
                </c:pt>
                <c:pt idx="43">
                  <c:v>1.8884730023566987</c:v>
                </c:pt>
              </c:numCache>
            </c:numRef>
          </c:val>
        </c:ser>
        <c:marker val="1"/>
        <c:axId val="220910336"/>
        <c:axId val="220911872"/>
      </c:lineChart>
      <c:catAx>
        <c:axId val="22091033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 sz="800"/>
            </a:pPr>
            <a:endParaRPr lang="en-US"/>
          </a:p>
        </c:txPr>
        <c:crossAx val="220911872"/>
        <c:crosses val="autoZero"/>
        <c:auto val="1"/>
        <c:lblAlgn val="ctr"/>
        <c:lblOffset val="100"/>
      </c:catAx>
      <c:valAx>
        <c:axId val="220911872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91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3437052252526433E-2"/>
          <c:y val="3.5501167858605236E-2"/>
          <c:w val="0.34362945211558715"/>
          <c:h val="0.11025047557128834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spPr>
    <a:solidFill>
      <a:schemeClr val="accent2">
        <a:lumMod val="75000"/>
      </a:schemeClr>
    </a:solidFill>
  </c:spPr>
  <c:printSettings>
    <c:headerFooter/>
    <c:pageMargins b="0.75000000000000833" l="0.70000000000000062" r="0.70000000000000062" t="0.750000000000008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89E-2"/>
          <c:y val="3.8152988608382718E-2"/>
          <c:w val="0.91042422686294056"/>
          <c:h val="0.91280448452548335"/>
        </c:manualLayout>
      </c:layout>
      <c:lineChart>
        <c:grouping val="standard"/>
        <c:ser>
          <c:idx val="1"/>
          <c:order val="0"/>
          <c:tx>
            <c:strRef>
              <c:f>'GDP Newcastle'!$O$2</c:f>
              <c:strCache>
                <c:ptCount val="1"/>
                <c:pt idx="0">
                  <c:v>Newcastle Annual Rate</c:v>
                </c:pt>
              </c:strCache>
            </c:strRef>
          </c:tx>
          <c:marker>
            <c:symbol val="none"/>
          </c:marker>
          <c:trendline>
            <c:trendlineType val="poly"/>
            <c:order val="6"/>
          </c:trendline>
          <c:cat>
            <c:strRef>
              <c:f>'GDP Newcastle'!$A$11:$A$54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Newcastle'!$O$11:$O$54</c:f>
              <c:numCache>
                <c:formatCode>0.00</c:formatCode>
                <c:ptCount val="44"/>
                <c:pt idx="0">
                  <c:v>6.710168141564762</c:v>
                </c:pt>
                <c:pt idx="1">
                  <c:v>6.9786421093586837</c:v>
                </c:pt>
                <c:pt idx="2">
                  <c:v>6.3475743971881107</c:v>
                </c:pt>
                <c:pt idx="3">
                  <c:v>5.3196362233653982</c:v>
                </c:pt>
                <c:pt idx="4">
                  <c:v>3.3654995899011184</c:v>
                </c:pt>
                <c:pt idx="5">
                  <c:v>3.2269541248739242</c:v>
                </c:pt>
                <c:pt idx="6">
                  <c:v>5.2008073127597658</c:v>
                </c:pt>
                <c:pt idx="7">
                  <c:v>6.1388701437537962</c:v>
                </c:pt>
                <c:pt idx="8">
                  <c:v>5.9501595515856893</c:v>
                </c:pt>
                <c:pt idx="9">
                  <c:v>5.148725483538156</c:v>
                </c:pt>
                <c:pt idx="10">
                  <c:v>6.161326873480089</c:v>
                </c:pt>
                <c:pt idx="11">
                  <c:v>5.7838691754895404</c:v>
                </c:pt>
                <c:pt idx="12">
                  <c:v>5.3775283645018952</c:v>
                </c:pt>
                <c:pt idx="13">
                  <c:v>4.8714974517456895</c:v>
                </c:pt>
                <c:pt idx="14">
                  <c:v>5.0686275926108113</c:v>
                </c:pt>
                <c:pt idx="15">
                  <c:v>6.7834417443122161</c:v>
                </c:pt>
                <c:pt idx="16">
                  <c:v>6.9781709506472707</c:v>
                </c:pt>
                <c:pt idx="17">
                  <c:v>5.9247394517156629</c:v>
                </c:pt>
                <c:pt idx="18">
                  <c:v>5.3181559214108782</c:v>
                </c:pt>
                <c:pt idx="19">
                  <c:v>5.3652296027814357</c:v>
                </c:pt>
                <c:pt idx="20">
                  <c:v>5.0666443959910312</c:v>
                </c:pt>
                <c:pt idx="21">
                  <c:v>2.6885415366184597</c:v>
                </c:pt>
                <c:pt idx="22">
                  <c:v>2.301689043834334</c:v>
                </c:pt>
                <c:pt idx="23">
                  <c:v>4.6448576445164438</c:v>
                </c:pt>
                <c:pt idx="24">
                  <c:v>-3.5176092433047779</c:v>
                </c:pt>
                <c:pt idx="25">
                  <c:v>3.9081570654368667</c:v>
                </c:pt>
                <c:pt idx="26">
                  <c:v>-0.74997000088062993</c:v>
                </c:pt>
                <c:pt idx="27">
                  <c:v>-4.4529761786750237</c:v>
                </c:pt>
                <c:pt idx="28">
                  <c:v>4.3444897223806169</c:v>
                </c:pt>
                <c:pt idx="29">
                  <c:v>0.73313196824800198</c:v>
                </c:pt>
                <c:pt idx="30">
                  <c:v>3.6833601174900767</c:v>
                </c:pt>
                <c:pt idx="31">
                  <c:v>5.9356809337270455</c:v>
                </c:pt>
                <c:pt idx="32">
                  <c:v>3.6626026951421906</c:v>
                </c:pt>
                <c:pt idx="33">
                  <c:v>3.3344475193302205</c:v>
                </c:pt>
                <c:pt idx="34">
                  <c:v>3.0416205073691462</c:v>
                </c:pt>
                <c:pt idx="35">
                  <c:v>4.0256234597863889</c:v>
                </c:pt>
                <c:pt idx="36">
                  <c:v>2.8002600389778007</c:v>
                </c:pt>
                <c:pt idx="37">
                  <c:v>4.4312688901278081</c:v>
                </c:pt>
                <c:pt idx="38">
                  <c:v>2.623763658498401</c:v>
                </c:pt>
                <c:pt idx="39">
                  <c:v>1.6527251334768209</c:v>
                </c:pt>
                <c:pt idx="40">
                  <c:v>1.7795132088940266</c:v>
                </c:pt>
                <c:pt idx="41">
                  <c:v>1.7279908873065952</c:v>
                </c:pt>
                <c:pt idx="42">
                  <c:v>1.2958012258116742</c:v>
                </c:pt>
                <c:pt idx="43">
                  <c:v>2.0543139460985795</c:v>
                </c:pt>
              </c:numCache>
            </c:numRef>
          </c:val>
        </c:ser>
        <c:marker val="1"/>
        <c:axId val="220555904"/>
        <c:axId val="220557696"/>
      </c:lineChart>
      <c:catAx>
        <c:axId val="22055590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 sz="800"/>
            </a:pPr>
            <a:endParaRPr lang="en-US"/>
          </a:p>
        </c:txPr>
        <c:crossAx val="220557696"/>
        <c:crosses val="autoZero"/>
        <c:auto val="1"/>
        <c:lblAlgn val="ctr"/>
        <c:lblOffset val="100"/>
      </c:catAx>
      <c:valAx>
        <c:axId val="220557696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55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0833612014714349E-2"/>
          <c:y val="4.8327687528543536E-2"/>
          <c:w val="0.2741313754699588"/>
          <c:h val="0.1102504729929792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spPr>
    <a:solidFill>
      <a:schemeClr val="accent2">
        <a:lumMod val="75000"/>
      </a:schemeClr>
    </a:solidFill>
  </c:spPr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8148440329646882E-2"/>
          <c:y val="2.2587031907233542E-2"/>
          <c:w val="0.93490764032567764"/>
          <c:h val="0.95482593618554612"/>
        </c:manualLayout>
      </c:layout>
      <c:lineChart>
        <c:grouping val="standard"/>
        <c:ser>
          <c:idx val="0"/>
          <c:order val="0"/>
          <c:tx>
            <c:strRef>
              <c:f>Quarterly!$A$107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Quarterly!$F$107:$BX$107</c:f>
              <c:numCache>
                <c:formatCode>#,##0.00</c:formatCode>
                <c:ptCount val="71"/>
                <c:pt idx="0">
                  <c:v>3.0097500457038007</c:v>
                </c:pt>
                <c:pt idx="1">
                  <c:v>57.944660113251444</c:v>
                </c:pt>
                <c:pt idx="2">
                  <c:v>5.4742333040015332</c:v>
                </c:pt>
                <c:pt idx="3">
                  <c:v>-8.7511493856881373</c:v>
                </c:pt>
                <c:pt idx="4">
                  <c:v>9.0395908802411782</c:v>
                </c:pt>
                <c:pt idx="5">
                  <c:v>-3.2011755571277583</c:v>
                </c:pt>
                <c:pt idx="6">
                  <c:v>-1.9492089346664965</c:v>
                </c:pt>
                <c:pt idx="7">
                  <c:v>-0.84749889903298214</c:v>
                </c:pt>
                <c:pt idx="8">
                  <c:v>3.1332349081571191</c:v>
                </c:pt>
                <c:pt idx="9">
                  <c:v>2.8856462123018836</c:v>
                </c:pt>
                <c:pt idx="10">
                  <c:v>2.8752958909192574</c:v>
                </c:pt>
                <c:pt idx="11">
                  <c:v>-8.3304976968035085</c:v>
                </c:pt>
                <c:pt idx="12">
                  <c:v>0.60665549002193375</c:v>
                </c:pt>
                <c:pt idx="13">
                  <c:v>1.3375225409331328</c:v>
                </c:pt>
                <c:pt idx="14">
                  <c:v>-2.2721994768929203</c:v>
                </c:pt>
                <c:pt idx="15">
                  <c:v>-16.050173647160005</c:v>
                </c:pt>
                <c:pt idx="16">
                  <c:v>-15.815735445199437</c:v>
                </c:pt>
                <c:pt idx="17">
                  <c:v>-15.08417839949513</c:v>
                </c:pt>
                <c:pt idx="18">
                  <c:v>35.349237179254224</c:v>
                </c:pt>
                <c:pt idx="19">
                  <c:v>21.938346162548044</c:v>
                </c:pt>
                <c:pt idx="20">
                  <c:v>14.508758971818725</c:v>
                </c:pt>
                <c:pt idx="21">
                  <c:v>19.1135223814508</c:v>
                </c:pt>
                <c:pt idx="22">
                  <c:v>-18.102870718451584</c:v>
                </c:pt>
                <c:pt idx="23">
                  <c:v>-14.000604315689227</c:v>
                </c:pt>
                <c:pt idx="24">
                  <c:v>7.4795039804115113</c:v>
                </c:pt>
                <c:pt idx="25">
                  <c:v>7.9372205398621443</c:v>
                </c:pt>
                <c:pt idx="26">
                  <c:v>-7.4793599989486825</c:v>
                </c:pt>
                <c:pt idx="27">
                  <c:v>17.068659475286978</c:v>
                </c:pt>
                <c:pt idx="28">
                  <c:v>-4.0525754819102593</c:v>
                </c:pt>
                <c:pt idx="29">
                  <c:v>15.550193539415266</c:v>
                </c:pt>
                <c:pt idx="30">
                  <c:v>9.7826875315666548</c:v>
                </c:pt>
                <c:pt idx="31">
                  <c:v>-16.879382396435755</c:v>
                </c:pt>
                <c:pt idx="32">
                  <c:v>2.5990285682535551E-2</c:v>
                </c:pt>
                <c:pt idx="33">
                  <c:v>-9.7707032369412694</c:v>
                </c:pt>
                <c:pt idx="34">
                  <c:v>9.2770130084852855</c:v>
                </c:pt>
                <c:pt idx="35">
                  <c:v>15.930516598406369</c:v>
                </c:pt>
                <c:pt idx="36">
                  <c:v>5.5383230268886106</c:v>
                </c:pt>
                <c:pt idx="37">
                  <c:v>-15.009490145493773</c:v>
                </c:pt>
                <c:pt idx="38">
                  <c:v>0.34121911869675059</c:v>
                </c:pt>
                <c:pt idx="39">
                  <c:v>-7.1577021235221601</c:v>
                </c:pt>
                <c:pt idx="40">
                  <c:v>5.1725665257178468</c:v>
                </c:pt>
                <c:pt idx="41">
                  <c:v>-2.8858049365766107</c:v>
                </c:pt>
                <c:pt idx="42">
                  <c:v>-3.8679803733117177</c:v>
                </c:pt>
                <c:pt idx="43">
                  <c:v>12.21921203639895</c:v>
                </c:pt>
                <c:pt idx="44">
                  <c:v>4.6762136117014999</c:v>
                </c:pt>
                <c:pt idx="45">
                  <c:v>4.4894985102640028</c:v>
                </c:pt>
                <c:pt idx="46">
                  <c:v>3.4713945837143019</c:v>
                </c:pt>
                <c:pt idx="47">
                  <c:v>3.6458858012875823</c:v>
                </c:pt>
                <c:pt idx="48">
                  <c:v>17.384189860886263</c:v>
                </c:pt>
                <c:pt idx="49">
                  <c:v>15.011462279841187</c:v>
                </c:pt>
                <c:pt idx="50">
                  <c:v>13.633124369818095</c:v>
                </c:pt>
                <c:pt idx="51">
                  <c:v>11.663615088860583</c:v>
                </c:pt>
                <c:pt idx="52">
                  <c:v>-3.1696861526979694</c:v>
                </c:pt>
                <c:pt idx="53">
                  <c:v>-4.7275583180103631</c:v>
                </c:pt>
                <c:pt idx="54">
                  <c:v>-3.9184441228819313</c:v>
                </c:pt>
                <c:pt idx="55">
                  <c:v>3.5024031176707617</c:v>
                </c:pt>
                <c:pt idx="56">
                  <c:v>3.7637380016334805</c:v>
                </c:pt>
                <c:pt idx="57">
                  <c:v>4.508158656868118</c:v>
                </c:pt>
                <c:pt idx="58">
                  <c:v>0.2366558842170271</c:v>
                </c:pt>
                <c:pt idx="59">
                  <c:v>4.5984037805946046E-3</c:v>
                </c:pt>
                <c:pt idx="60">
                  <c:v>-0.77012217242677072</c:v>
                </c:pt>
                <c:pt idx="61">
                  <c:v>0.54093310100492142</c:v>
                </c:pt>
                <c:pt idx="62">
                  <c:v>2.0659329922398726</c:v>
                </c:pt>
                <c:pt idx="63">
                  <c:v>2.6229582373293212</c:v>
                </c:pt>
                <c:pt idx="64">
                  <c:v>5.8200265952387902</c:v>
                </c:pt>
                <c:pt idx="65">
                  <c:v>6.7051700093339131</c:v>
                </c:pt>
                <c:pt idx="66">
                  <c:v>-2.2882910930828593</c:v>
                </c:pt>
                <c:pt idx="67">
                  <c:v>-1.770912661720174</c:v>
                </c:pt>
                <c:pt idx="68">
                  <c:v>6.0103959279397552</c:v>
                </c:pt>
                <c:pt idx="69">
                  <c:v>7.9336533491189591</c:v>
                </c:pt>
                <c:pt idx="70">
                  <c:v>-1.8883197613675042</c:v>
                </c:pt>
              </c:numCache>
            </c:numRef>
          </c:val>
        </c:ser>
        <c:ser>
          <c:idx val="1"/>
          <c:order val="1"/>
          <c:tx>
            <c:strRef>
              <c:f>Seasonal!$A$107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Seasonal!$F$107:$BX$107</c:f>
              <c:numCache>
                <c:formatCode>#,##0.00</c:formatCode>
                <c:ptCount val="71"/>
                <c:pt idx="0">
                  <c:v>-15.24009696826325</c:v>
                </c:pt>
                <c:pt idx="1">
                  <c:v>16.323205778134479</c:v>
                </c:pt>
                <c:pt idx="2">
                  <c:v>36.231203102792968</c:v>
                </c:pt>
                <c:pt idx="3">
                  <c:v>37.721669379215093</c:v>
                </c:pt>
                <c:pt idx="4">
                  <c:v>15.524432056550017</c:v>
                </c:pt>
                <c:pt idx="5">
                  <c:v>-0.12582156057442728</c:v>
                </c:pt>
                <c:pt idx="6">
                  <c:v>-5.958152793098062</c:v>
                </c:pt>
                <c:pt idx="7">
                  <c:v>-7.8120748070598323</c:v>
                </c:pt>
                <c:pt idx="8">
                  <c:v>2.1951160715534472</c:v>
                </c:pt>
                <c:pt idx="9">
                  <c:v>-0.52112923967120883</c:v>
                </c:pt>
                <c:pt idx="10">
                  <c:v>-0.54302441251054945</c:v>
                </c:pt>
                <c:pt idx="11">
                  <c:v>2.514232118754959</c:v>
                </c:pt>
                <c:pt idx="12">
                  <c:v>-6.3373898266557482</c:v>
                </c:pt>
                <c:pt idx="13">
                  <c:v>-2.8205479005211584</c:v>
                </c:pt>
                <c:pt idx="14">
                  <c:v>-0.83634365877357253</c:v>
                </c:pt>
                <c:pt idx="15">
                  <c:v>-0.4720683278054979</c:v>
                </c:pt>
                <c:pt idx="16">
                  <c:v>6.1368989488115391</c:v>
                </c:pt>
                <c:pt idx="17">
                  <c:v>5.5011440039015387</c:v>
                </c:pt>
                <c:pt idx="18">
                  <c:v>3.8251074419645223</c:v>
                </c:pt>
                <c:pt idx="19">
                  <c:v>-0.24184009585693661</c:v>
                </c:pt>
                <c:pt idx="20">
                  <c:v>0.48941068601601007</c:v>
                </c:pt>
                <c:pt idx="21">
                  <c:v>-0.83050959887292275</c:v>
                </c:pt>
                <c:pt idx="22">
                  <c:v>-1.2262093066183677</c:v>
                </c:pt>
                <c:pt idx="23">
                  <c:v>0.16078147758392974</c:v>
                </c:pt>
                <c:pt idx="24">
                  <c:v>9.8622147755116199E-2</c:v>
                </c:pt>
                <c:pt idx="25">
                  <c:v>4.0507574442592151</c:v>
                </c:pt>
                <c:pt idx="26">
                  <c:v>6.5296961956629529</c:v>
                </c:pt>
                <c:pt idx="27">
                  <c:v>7.9788048026604441</c:v>
                </c:pt>
                <c:pt idx="28">
                  <c:v>11.775013066072813</c:v>
                </c:pt>
                <c:pt idx="29">
                  <c:v>7.2523543729314675</c:v>
                </c:pt>
                <c:pt idx="30">
                  <c:v>2.0529996424534689</c:v>
                </c:pt>
                <c:pt idx="31">
                  <c:v>9.6551265273349868E-2</c:v>
                </c:pt>
                <c:pt idx="32">
                  <c:v>-4.3008393655030774</c:v>
                </c:pt>
                <c:pt idx="33">
                  <c:v>-2.5548812532053056</c:v>
                </c:pt>
                <c:pt idx="34">
                  <c:v>2.489500646508886</c:v>
                </c:pt>
                <c:pt idx="35">
                  <c:v>5.866793043292887</c:v>
                </c:pt>
                <c:pt idx="36">
                  <c:v>-3.5635076636659493</c:v>
                </c:pt>
                <c:pt idx="37">
                  <c:v>-4.6313158884082526</c:v>
                </c:pt>
                <c:pt idx="38">
                  <c:v>-6.4509215660709014</c:v>
                </c:pt>
                <c:pt idx="39">
                  <c:v>-8.5361932758094028</c:v>
                </c:pt>
                <c:pt idx="40">
                  <c:v>4.1419442688641785</c:v>
                </c:pt>
                <c:pt idx="41">
                  <c:v>0.84605729410278785</c:v>
                </c:pt>
                <c:pt idx="42">
                  <c:v>-1.1453697895960178</c:v>
                </c:pt>
                <c:pt idx="43">
                  <c:v>-1.7114030937547413</c:v>
                </c:pt>
                <c:pt idx="44">
                  <c:v>-2.4555189249289771</c:v>
                </c:pt>
                <c:pt idx="45">
                  <c:v>3.1975017807751631</c:v>
                </c:pt>
                <c:pt idx="46">
                  <c:v>6.1458921550302534</c:v>
                </c:pt>
                <c:pt idx="47">
                  <c:v>9.8303564268195984</c:v>
                </c:pt>
                <c:pt idx="48">
                  <c:v>11.135067855999857</c:v>
                </c:pt>
                <c:pt idx="49">
                  <c:v>12.01997332969483</c:v>
                </c:pt>
                <c:pt idx="50">
                  <c:v>17.936303397824179</c:v>
                </c:pt>
                <c:pt idx="51">
                  <c:v>16.864913649754996</c:v>
                </c:pt>
                <c:pt idx="52">
                  <c:v>9.0426823275332975</c:v>
                </c:pt>
                <c:pt idx="53">
                  <c:v>1.2806448197730829</c:v>
                </c:pt>
                <c:pt idx="54">
                  <c:v>-8.0317739723350066</c:v>
                </c:pt>
                <c:pt idx="55">
                  <c:v>-12.291558816150495</c:v>
                </c:pt>
                <c:pt idx="56">
                  <c:v>-7.1391749679374605</c:v>
                </c:pt>
                <c:pt idx="57">
                  <c:v>-0.49072307718814973</c:v>
                </c:pt>
                <c:pt idx="58">
                  <c:v>6.5556225933508054</c:v>
                </c:pt>
                <c:pt idx="59">
                  <c:v>11.591944121114691</c:v>
                </c:pt>
                <c:pt idx="60">
                  <c:v>8.3971729242607367</c:v>
                </c:pt>
                <c:pt idx="61">
                  <c:v>3.134005250137252</c:v>
                </c:pt>
                <c:pt idx="62">
                  <c:v>-1.8341683493420171</c:v>
                </c:pt>
                <c:pt idx="63">
                  <c:v>-4.9006226431704363</c:v>
                </c:pt>
                <c:pt idx="64">
                  <c:v>-3.3563720012674492</c:v>
                </c:pt>
                <c:pt idx="65">
                  <c:v>1.1556306709343638</c:v>
                </c:pt>
                <c:pt idx="66">
                  <c:v>4.5059032913261889</c:v>
                </c:pt>
                <c:pt idx="67">
                  <c:v>8.0980265134213809</c:v>
                </c:pt>
                <c:pt idx="68">
                  <c:v>6.4045517155479734</c:v>
                </c:pt>
                <c:pt idx="69">
                  <c:v>3.3449179085222069</c:v>
                </c:pt>
                <c:pt idx="70">
                  <c:v>2.4721664344296741</c:v>
                </c:pt>
              </c:numCache>
            </c:numRef>
          </c:val>
        </c:ser>
        <c:marker val="1"/>
        <c:axId val="221041408"/>
        <c:axId val="221042944"/>
      </c:lineChart>
      <c:catAx>
        <c:axId val="221041408"/>
        <c:scaling>
          <c:orientation val="minMax"/>
        </c:scaling>
        <c:axPos val="b"/>
        <c:numFmt formatCode="#,##0.00" sourceLinked="0"/>
        <c:majorTickMark val="none"/>
        <c:tickLblPos val="nextTo"/>
        <c:spPr>
          <a:noFill/>
        </c:spPr>
        <c:txPr>
          <a:bodyPr rot="5400000" vert="horz"/>
          <a:lstStyle/>
          <a:p>
            <a:pPr>
              <a:defRPr lang="en-ZA"/>
            </a:pPr>
            <a:endParaRPr lang="en-US"/>
          </a:p>
        </c:txPr>
        <c:crossAx val="221042944"/>
        <c:crosses val="autoZero"/>
        <c:auto val="1"/>
        <c:lblAlgn val="ctr"/>
        <c:lblOffset val="100"/>
        <c:tickMarkSkip val="4"/>
      </c:catAx>
      <c:valAx>
        <c:axId val="221042944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0414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730935791801034"/>
          <c:y val="3.1718216197453276E-2"/>
          <c:w val="0.23210151655834088"/>
          <c:h val="0.12685873662543934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8148440329646882E-2"/>
          <c:y val="2.2587031907233542E-2"/>
          <c:w val="0.93490764032567764"/>
          <c:h val="0.95482593618554656"/>
        </c:manualLayout>
      </c:layout>
      <c:lineChart>
        <c:grouping val="standard"/>
        <c:ser>
          <c:idx val="0"/>
          <c:order val="0"/>
          <c:tx>
            <c:strRef>
              <c:f>Quarterly!$A$108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Quarterly!$F$108:$BX$108</c:f>
              <c:numCache>
                <c:formatCode>#,##0.00</c:formatCode>
                <c:ptCount val="71"/>
                <c:pt idx="0">
                  <c:v>38.799913120344826</c:v>
                </c:pt>
                <c:pt idx="1">
                  <c:v>38.816237184164102</c:v>
                </c:pt>
                <c:pt idx="2">
                  <c:v>39.171512476508973</c:v>
                </c:pt>
                <c:pt idx="3">
                  <c:v>40.375405507573603</c:v>
                </c:pt>
                <c:pt idx="4">
                  <c:v>-0.9768282845888796</c:v>
                </c:pt>
                <c:pt idx="5">
                  <c:v>1.7013858151920691</c:v>
                </c:pt>
                <c:pt idx="6">
                  <c:v>2.0084895643427041</c:v>
                </c:pt>
                <c:pt idx="7">
                  <c:v>1.6738819094470083</c:v>
                </c:pt>
                <c:pt idx="8">
                  <c:v>1.0648609376519778</c:v>
                </c:pt>
                <c:pt idx="9">
                  <c:v>-0.91260872733164322</c:v>
                </c:pt>
                <c:pt idx="10">
                  <c:v>-2.6627269937363618</c:v>
                </c:pt>
                <c:pt idx="11">
                  <c:v>-2.7945661863179843</c:v>
                </c:pt>
                <c:pt idx="12">
                  <c:v>-28.171709728290999</c:v>
                </c:pt>
                <c:pt idx="13">
                  <c:v>-27.812450217905521</c:v>
                </c:pt>
                <c:pt idx="14">
                  <c:v>-27.320690958621345</c:v>
                </c:pt>
                <c:pt idx="15">
                  <c:v>-26.872397200625592</c:v>
                </c:pt>
                <c:pt idx="16">
                  <c:v>-2.5833315970164348</c:v>
                </c:pt>
                <c:pt idx="17">
                  <c:v>-1.8951622089369662</c:v>
                </c:pt>
                <c:pt idx="18">
                  <c:v>-2.9040838698935612</c:v>
                </c:pt>
                <c:pt idx="19">
                  <c:v>-2.9299502295710806</c:v>
                </c:pt>
                <c:pt idx="20">
                  <c:v>-5.6005922082814914</c:v>
                </c:pt>
                <c:pt idx="21">
                  <c:v>-4.6145455377149664</c:v>
                </c:pt>
                <c:pt idx="22">
                  <c:v>-4.5033833705068735</c:v>
                </c:pt>
                <c:pt idx="23">
                  <c:v>-5.7307481238510256</c:v>
                </c:pt>
                <c:pt idx="24">
                  <c:v>-11.990552143698086</c:v>
                </c:pt>
                <c:pt idx="25">
                  <c:v>-11.583473776490589</c:v>
                </c:pt>
                <c:pt idx="26">
                  <c:v>-10.343349371100643</c:v>
                </c:pt>
                <c:pt idx="27">
                  <c:v>-8.7471984016902251</c:v>
                </c:pt>
                <c:pt idx="28">
                  <c:v>5.3664963722212127</c:v>
                </c:pt>
                <c:pt idx="29">
                  <c:v>6.0064838218612904</c:v>
                </c:pt>
                <c:pt idx="30">
                  <c:v>6.589684518366604</c:v>
                </c:pt>
                <c:pt idx="31">
                  <c:v>5.508405865938161</c:v>
                </c:pt>
                <c:pt idx="32">
                  <c:v>5.4802714985680119</c:v>
                </c:pt>
                <c:pt idx="33">
                  <c:v>1.7662897430557725</c:v>
                </c:pt>
                <c:pt idx="34">
                  <c:v>2.7747279428374325</c:v>
                </c:pt>
                <c:pt idx="35">
                  <c:v>-1.8519769611565797</c:v>
                </c:pt>
                <c:pt idx="36">
                  <c:v>-3.3303051932363958</c:v>
                </c:pt>
                <c:pt idx="37">
                  <c:v>-4.9667704481444206</c:v>
                </c:pt>
                <c:pt idx="38">
                  <c:v>-8.949883602417632</c:v>
                </c:pt>
                <c:pt idx="39">
                  <c:v>-7.7397757613269125</c:v>
                </c:pt>
                <c:pt idx="40">
                  <c:v>-8.0524030149571733</c:v>
                </c:pt>
                <c:pt idx="41">
                  <c:v>-5.0857983544362746</c:v>
                </c:pt>
                <c:pt idx="42">
                  <c:v>-3.1250454744601059</c:v>
                </c:pt>
                <c:pt idx="43">
                  <c:v>3.3190362050129103</c:v>
                </c:pt>
                <c:pt idx="44">
                  <c:v>4.731585855050688</c:v>
                </c:pt>
                <c:pt idx="45">
                  <c:v>2.9466323278061322</c:v>
                </c:pt>
                <c:pt idx="46">
                  <c:v>2.9901516394915868</c:v>
                </c:pt>
                <c:pt idx="47">
                  <c:v>-0.5690161845888092</c:v>
                </c:pt>
                <c:pt idx="48">
                  <c:v>-9.6551196980839116</c:v>
                </c:pt>
                <c:pt idx="49">
                  <c:v>-4.4839372382180329</c:v>
                </c:pt>
                <c:pt idx="50">
                  <c:v>-6.821654406812935</c:v>
                </c:pt>
                <c:pt idx="51">
                  <c:v>-5.1655308546109655</c:v>
                </c:pt>
                <c:pt idx="52">
                  <c:v>-7.5129875177949375</c:v>
                </c:pt>
                <c:pt idx="53">
                  <c:v>-7.8089504741351012</c:v>
                </c:pt>
                <c:pt idx="54">
                  <c:v>-5.4208749608752198</c:v>
                </c:pt>
                <c:pt idx="55">
                  <c:v>-4.8662255405305315</c:v>
                </c:pt>
                <c:pt idx="56">
                  <c:v>13.40430813873294</c:v>
                </c:pt>
                <c:pt idx="57">
                  <c:v>3.2431052855491047</c:v>
                </c:pt>
                <c:pt idx="58">
                  <c:v>10.327154789379431</c:v>
                </c:pt>
                <c:pt idx="59">
                  <c:v>10.843064826644566</c:v>
                </c:pt>
                <c:pt idx="60">
                  <c:v>-0.13605762405986521</c:v>
                </c:pt>
                <c:pt idx="61">
                  <c:v>7.0425553485276096</c:v>
                </c:pt>
                <c:pt idx="62">
                  <c:v>-5.348065791396456</c:v>
                </c:pt>
                <c:pt idx="63">
                  <c:v>-6.3400309850735441</c:v>
                </c:pt>
                <c:pt idx="64">
                  <c:v>-4.1542931730996635</c:v>
                </c:pt>
                <c:pt idx="65">
                  <c:v>4.4223455652245054</c:v>
                </c:pt>
                <c:pt idx="66">
                  <c:v>4.9848355752175006</c:v>
                </c:pt>
                <c:pt idx="67">
                  <c:v>2.5115681879452114</c:v>
                </c:pt>
                <c:pt idx="68">
                  <c:v>1.8349905711719485</c:v>
                </c:pt>
                <c:pt idx="69">
                  <c:v>-4.3362901765531214</c:v>
                </c:pt>
                <c:pt idx="70">
                  <c:v>1.0165570693391077</c:v>
                </c:pt>
              </c:numCache>
            </c:numRef>
          </c:val>
        </c:ser>
        <c:ser>
          <c:idx val="1"/>
          <c:order val="1"/>
          <c:tx>
            <c:strRef>
              <c:f>Seasonal!$A$108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Seasonal!$F$108:$BX$108</c:f>
              <c:numCache>
                <c:formatCode>#,##0.00</c:formatCode>
                <c:ptCount val="71"/>
                <c:pt idx="0">
                  <c:v>38.746645020284532</c:v>
                </c:pt>
                <c:pt idx="1">
                  <c:v>38.736056867754527</c:v>
                </c:pt>
                <c:pt idx="2">
                  <c:v>39.231146501603249</c:v>
                </c:pt>
                <c:pt idx="3">
                  <c:v>40.467724261560257</c:v>
                </c:pt>
                <c:pt idx="4">
                  <c:v>-1.1155485411398409</c:v>
                </c:pt>
                <c:pt idx="5">
                  <c:v>1.4721595009168054</c:v>
                </c:pt>
                <c:pt idx="6">
                  <c:v>2.1087247814922558</c:v>
                </c:pt>
                <c:pt idx="7">
                  <c:v>1.9785929900486481</c:v>
                </c:pt>
                <c:pt idx="8">
                  <c:v>1.2279829139364347</c:v>
                </c:pt>
                <c:pt idx="9">
                  <c:v>-0.97432160099281384</c:v>
                </c:pt>
                <c:pt idx="10">
                  <c:v>-2.6077571243309294</c:v>
                </c:pt>
                <c:pt idx="11">
                  <c:v>-2.9945696495937333</c:v>
                </c:pt>
                <c:pt idx="12">
                  <c:v>-28.116928397793995</c:v>
                </c:pt>
                <c:pt idx="13">
                  <c:v>-27.946477582547306</c:v>
                </c:pt>
                <c:pt idx="14">
                  <c:v>-27.267488103793681</c:v>
                </c:pt>
                <c:pt idx="15">
                  <c:v>-26.830802805786519</c:v>
                </c:pt>
                <c:pt idx="16">
                  <c:v>-2.4592031504493983</c:v>
                </c:pt>
                <c:pt idx="17">
                  <c:v>-2.0645391670750515</c:v>
                </c:pt>
                <c:pt idx="18">
                  <c:v>-2.9293005826502747</c:v>
                </c:pt>
                <c:pt idx="19">
                  <c:v>-2.8660947242119379</c:v>
                </c:pt>
                <c:pt idx="20">
                  <c:v>-5.483804065285895</c:v>
                </c:pt>
                <c:pt idx="21">
                  <c:v>-4.7264574785914526</c:v>
                </c:pt>
                <c:pt idx="22">
                  <c:v>-4.5648501295591091</c:v>
                </c:pt>
                <c:pt idx="23">
                  <c:v>-5.6654927917507703</c:v>
                </c:pt>
                <c:pt idx="24">
                  <c:v>-11.878180793963297</c:v>
                </c:pt>
                <c:pt idx="25">
                  <c:v>-11.647302216369599</c:v>
                </c:pt>
                <c:pt idx="26">
                  <c:v>-10.228370593247194</c:v>
                </c:pt>
                <c:pt idx="27">
                  <c:v>-8.8803587081443833</c:v>
                </c:pt>
                <c:pt idx="28">
                  <c:v>5.4727024483946147</c:v>
                </c:pt>
                <c:pt idx="29">
                  <c:v>5.8603490520374066</c:v>
                </c:pt>
                <c:pt idx="30">
                  <c:v>6.2130025072068129</c:v>
                </c:pt>
                <c:pt idx="31">
                  <c:v>5.9345440808215235</c:v>
                </c:pt>
                <c:pt idx="32">
                  <c:v>3.8846129172053185</c:v>
                </c:pt>
                <c:pt idx="33">
                  <c:v>1.4811078488541465</c:v>
                </c:pt>
                <c:pt idx="34">
                  <c:v>2.8964928877804925</c:v>
                </c:pt>
                <c:pt idx="35">
                  <c:v>-0.20275037377758526</c:v>
                </c:pt>
                <c:pt idx="36">
                  <c:v>-5.4491444644937941</c:v>
                </c:pt>
                <c:pt idx="37">
                  <c:v>-5.0362359852459289</c:v>
                </c:pt>
                <c:pt idx="38">
                  <c:v>-8.1950251975541146</c:v>
                </c:pt>
                <c:pt idx="39">
                  <c:v>-6.3077691233232036</c:v>
                </c:pt>
                <c:pt idx="40">
                  <c:v>-6.6537425801820955</c:v>
                </c:pt>
                <c:pt idx="41">
                  <c:v>-4.3601626849417441</c:v>
                </c:pt>
                <c:pt idx="42">
                  <c:v>-2.2446994530049893</c:v>
                </c:pt>
                <c:pt idx="43">
                  <c:v>-3.2556039751120015E-2</c:v>
                </c:pt>
                <c:pt idx="44">
                  <c:v>7.5059660966698081</c:v>
                </c:pt>
                <c:pt idx="45">
                  <c:v>3.0609427657366926</c:v>
                </c:pt>
                <c:pt idx="46">
                  <c:v>1.4134810665454367</c:v>
                </c:pt>
                <c:pt idx="47">
                  <c:v>-1.7790672469975317</c:v>
                </c:pt>
                <c:pt idx="48">
                  <c:v>-9.2199585386663099</c:v>
                </c:pt>
                <c:pt idx="49">
                  <c:v>-4.5631312291256805</c:v>
                </c:pt>
                <c:pt idx="50">
                  <c:v>-6.8164017872275942</c:v>
                </c:pt>
                <c:pt idx="51">
                  <c:v>-5.4576065612651306</c:v>
                </c:pt>
                <c:pt idx="52">
                  <c:v>-7.72181753910158</c:v>
                </c:pt>
                <c:pt idx="53">
                  <c:v>-7.1474536714891261</c:v>
                </c:pt>
                <c:pt idx="54">
                  <c:v>-6.0398174263331255</c:v>
                </c:pt>
                <c:pt idx="55">
                  <c:v>-4.649938873589913</c:v>
                </c:pt>
                <c:pt idx="56">
                  <c:v>11.553897474782936</c:v>
                </c:pt>
                <c:pt idx="57">
                  <c:v>2.0297516645977995</c:v>
                </c:pt>
                <c:pt idx="58">
                  <c:v>10.822162935607837</c:v>
                </c:pt>
                <c:pt idx="59">
                  <c:v>13.352235366363315</c:v>
                </c:pt>
                <c:pt idx="60">
                  <c:v>1.4212187804637135</c:v>
                </c:pt>
                <c:pt idx="61">
                  <c:v>7.0885789642833412</c:v>
                </c:pt>
                <c:pt idx="62">
                  <c:v>-4.7021645958481706</c:v>
                </c:pt>
                <c:pt idx="63">
                  <c:v>-8.4769824848581159</c:v>
                </c:pt>
                <c:pt idx="64">
                  <c:v>-3.3778439123371298</c:v>
                </c:pt>
                <c:pt idx="65">
                  <c:v>2.7070771768434976</c:v>
                </c:pt>
                <c:pt idx="66">
                  <c:v>5.1742000187346324</c:v>
                </c:pt>
                <c:pt idx="67">
                  <c:v>3.4871262813190862</c:v>
                </c:pt>
                <c:pt idx="68">
                  <c:v>2.788573358160261</c:v>
                </c:pt>
                <c:pt idx="69">
                  <c:v>-4.1978028865508916</c:v>
                </c:pt>
                <c:pt idx="70">
                  <c:v>0.80782864972449364</c:v>
                </c:pt>
              </c:numCache>
            </c:numRef>
          </c:val>
        </c:ser>
        <c:marker val="1"/>
        <c:axId val="220948736"/>
        <c:axId val="220954624"/>
      </c:lineChart>
      <c:catAx>
        <c:axId val="220948736"/>
        <c:scaling>
          <c:orientation val="minMax"/>
        </c:scaling>
        <c:axPos val="b"/>
        <c:numFmt formatCode="#,##0.00" sourceLinked="0"/>
        <c:majorTickMark val="none"/>
        <c:tickLblPos val="nextTo"/>
        <c:spPr>
          <a:noFill/>
        </c:spPr>
        <c:txPr>
          <a:bodyPr rot="5400000" vert="horz"/>
          <a:lstStyle/>
          <a:p>
            <a:pPr>
              <a:defRPr lang="en-ZA"/>
            </a:pPr>
            <a:endParaRPr lang="en-US"/>
          </a:p>
        </c:txPr>
        <c:crossAx val="220954624"/>
        <c:crosses val="autoZero"/>
        <c:auto val="1"/>
        <c:lblAlgn val="ctr"/>
        <c:lblOffset val="100"/>
        <c:tickMarkSkip val="4"/>
      </c:catAx>
      <c:valAx>
        <c:axId val="220954624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09487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730935791801034"/>
          <c:y val="3.1718216197453276E-2"/>
          <c:w val="0.2362697002707527"/>
          <c:h val="0.12685873662543939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8148440329646882E-2"/>
          <c:y val="2.2587031907233542E-2"/>
          <c:w val="0.93490764032567764"/>
          <c:h val="0.95482593618554712"/>
        </c:manualLayout>
      </c:layout>
      <c:lineChart>
        <c:grouping val="standard"/>
        <c:ser>
          <c:idx val="0"/>
          <c:order val="0"/>
          <c:tx>
            <c:strRef>
              <c:f>Quarterly!$A$110</c:f>
              <c:strCache>
                <c:ptCount val="1"/>
                <c:pt idx="0">
                  <c:v>Manufacturing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Quarterly!$F$110:$BX$110</c:f>
              <c:numCache>
                <c:formatCode>#,##0.00</c:formatCode>
                <c:ptCount val="71"/>
                <c:pt idx="0">
                  <c:v>2.6270137223237588</c:v>
                </c:pt>
                <c:pt idx="1">
                  <c:v>1.5223053194385101</c:v>
                </c:pt>
                <c:pt idx="2">
                  <c:v>0.78570492515564527</c:v>
                </c:pt>
                <c:pt idx="3">
                  <c:v>2.1198529398329136</c:v>
                </c:pt>
                <c:pt idx="4">
                  <c:v>1.6219877305971742</c:v>
                </c:pt>
                <c:pt idx="5">
                  <c:v>4.2578843735201009</c:v>
                </c:pt>
                <c:pt idx="6">
                  <c:v>2.8327666529223783</c:v>
                </c:pt>
                <c:pt idx="7">
                  <c:v>1.91870542643396</c:v>
                </c:pt>
                <c:pt idx="8">
                  <c:v>1.6955764371806676</c:v>
                </c:pt>
                <c:pt idx="9">
                  <c:v>3.8137061957722643E-3</c:v>
                </c:pt>
                <c:pt idx="10">
                  <c:v>-1.7107591416554153</c:v>
                </c:pt>
                <c:pt idx="11">
                  <c:v>-1.6098998702630751</c:v>
                </c:pt>
                <c:pt idx="12">
                  <c:v>-1.1344969574890054</c:v>
                </c:pt>
                <c:pt idx="13">
                  <c:v>-0.25591864053198721</c:v>
                </c:pt>
                <c:pt idx="14">
                  <c:v>2.3119484978874612</c:v>
                </c:pt>
                <c:pt idx="15">
                  <c:v>5.3347760504350026</c:v>
                </c:pt>
                <c:pt idx="16">
                  <c:v>7.5525375246764739</c:v>
                </c:pt>
                <c:pt idx="17">
                  <c:v>8.5332367809584042</c:v>
                </c:pt>
                <c:pt idx="18">
                  <c:v>8.9632310535929012</c:v>
                </c:pt>
                <c:pt idx="19">
                  <c:v>9.2125069537113173</c:v>
                </c:pt>
                <c:pt idx="20">
                  <c:v>6.1897117603957996</c:v>
                </c:pt>
                <c:pt idx="21">
                  <c:v>4.6081909091120137</c:v>
                </c:pt>
                <c:pt idx="22">
                  <c:v>1.3788734520463166</c:v>
                </c:pt>
                <c:pt idx="23">
                  <c:v>0.18152157596361973</c:v>
                </c:pt>
                <c:pt idx="24">
                  <c:v>0.31301004684413186</c:v>
                </c:pt>
                <c:pt idx="25">
                  <c:v>2.1135928220629907</c:v>
                </c:pt>
                <c:pt idx="26">
                  <c:v>4.5829101388528297</c:v>
                </c:pt>
                <c:pt idx="27">
                  <c:v>3.3997527768488931</c:v>
                </c:pt>
                <c:pt idx="28">
                  <c:v>2.4919284333445733</c:v>
                </c:pt>
                <c:pt idx="29">
                  <c:v>-0.97079018340842926</c:v>
                </c:pt>
                <c:pt idx="30">
                  <c:v>-1.8933349504637647</c:v>
                </c:pt>
                <c:pt idx="31">
                  <c:v>-2.9991840663227873</c:v>
                </c:pt>
                <c:pt idx="32">
                  <c:v>1.7177630759223073</c:v>
                </c:pt>
                <c:pt idx="33">
                  <c:v>4.1676786552050649</c:v>
                </c:pt>
                <c:pt idx="34">
                  <c:v>5.9900927050415715</c:v>
                </c:pt>
                <c:pt idx="35">
                  <c:v>6.7893187911813726</c:v>
                </c:pt>
                <c:pt idx="36">
                  <c:v>3.5743853988489156</c:v>
                </c:pt>
                <c:pt idx="37">
                  <c:v>7.1491581018740504</c:v>
                </c:pt>
                <c:pt idx="38">
                  <c:v>7.0033722698549878</c:v>
                </c:pt>
                <c:pt idx="39">
                  <c:v>6.7903380517220917</c:v>
                </c:pt>
                <c:pt idx="40">
                  <c:v>6.5653601636096406</c:v>
                </c:pt>
                <c:pt idx="41">
                  <c:v>5.0694952047841966</c:v>
                </c:pt>
                <c:pt idx="42">
                  <c:v>5.1302370145363509</c:v>
                </c:pt>
                <c:pt idx="43">
                  <c:v>7.3898742861777</c:v>
                </c:pt>
                <c:pt idx="44">
                  <c:v>7.0308879020572936</c:v>
                </c:pt>
                <c:pt idx="45">
                  <c:v>5.6890195879759551</c:v>
                </c:pt>
                <c:pt idx="46">
                  <c:v>3.6142073783835724</c:v>
                </c:pt>
                <c:pt idx="47">
                  <c:v>5.0649744084270649</c:v>
                </c:pt>
                <c:pt idx="48">
                  <c:v>2.8052971430409204</c:v>
                </c:pt>
                <c:pt idx="49">
                  <c:v>6.688370421811082</c:v>
                </c:pt>
                <c:pt idx="50">
                  <c:v>4.6847421287050395</c:v>
                </c:pt>
                <c:pt idx="51">
                  <c:v>-3.5703257047948767</c:v>
                </c:pt>
                <c:pt idx="52">
                  <c:v>-9.803290853500787</c:v>
                </c:pt>
                <c:pt idx="53">
                  <c:v>-14.564677586380324</c:v>
                </c:pt>
                <c:pt idx="54">
                  <c:v>-10.690322824476278</c:v>
                </c:pt>
                <c:pt idx="55">
                  <c:v>-4.570346511311679</c:v>
                </c:pt>
                <c:pt idx="56">
                  <c:v>4.5421806085663583</c:v>
                </c:pt>
                <c:pt idx="57">
                  <c:v>9.3566049530039681</c:v>
                </c:pt>
                <c:pt idx="58">
                  <c:v>5.971818382181425</c:v>
                </c:pt>
                <c:pt idx="59">
                  <c:v>4.5714056700997467</c:v>
                </c:pt>
                <c:pt idx="60">
                  <c:v>5.8530348752405494</c:v>
                </c:pt>
                <c:pt idx="61">
                  <c:v>1.8856897626768609</c:v>
                </c:pt>
                <c:pt idx="62">
                  <c:v>2.3810342377261771</c:v>
                </c:pt>
                <c:pt idx="63">
                  <c:v>3.1766132462656902</c:v>
                </c:pt>
                <c:pt idx="64">
                  <c:v>0.70267167212963866</c:v>
                </c:pt>
                <c:pt idx="65">
                  <c:v>2.0378594127998624</c:v>
                </c:pt>
                <c:pt idx="66">
                  <c:v>2.251279029974</c:v>
                </c:pt>
                <c:pt idx="67">
                  <c:v>3.404168127356662</c:v>
                </c:pt>
                <c:pt idx="68">
                  <c:v>-0.30201101202456637</c:v>
                </c:pt>
                <c:pt idx="69">
                  <c:v>2.548100151709602</c:v>
                </c:pt>
                <c:pt idx="70">
                  <c:v>-0.36450985498885941</c:v>
                </c:pt>
              </c:numCache>
            </c:numRef>
          </c:val>
        </c:ser>
        <c:ser>
          <c:idx val="1"/>
          <c:order val="1"/>
          <c:tx>
            <c:strRef>
              <c:f>Seasonal!$A$110</c:f>
              <c:strCache>
                <c:ptCount val="1"/>
                <c:pt idx="0">
                  <c:v>Manufacturing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Seasonal!$F$110:$BX$110</c:f>
              <c:numCache>
                <c:formatCode>#,##0.00</c:formatCode>
                <c:ptCount val="71"/>
                <c:pt idx="0">
                  <c:v>2.6338516659577529</c:v>
                </c:pt>
                <c:pt idx="1">
                  <c:v>1.1091427408161472</c:v>
                </c:pt>
                <c:pt idx="2">
                  <c:v>0.89480796285481157</c:v>
                </c:pt>
                <c:pt idx="3">
                  <c:v>2.3716946484584538</c:v>
                </c:pt>
                <c:pt idx="4">
                  <c:v>1.6911079731994767</c:v>
                </c:pt>
                <c:pt idx="5">
                  <c:v>3.831086999216434</c:v>
                </c:pt>
                <c:pt idx="6">
                  <c:v>3.0420426869268695</c:v>
                </c:pt>
                <c:pt idx="7">
                  <c:v>2.0476538334383623</c:v>
                </c:pt>
                <c:pt idx="8">
                  <c:v>1.6447863069678732</c:v>
                </c:pt>
                <c:pt idx="9">
                  <c:v>-0.29516366393212634</c:v>
                </c:pt>
                <c:pt idx="10">
                  <c:v>-1.4158352222429942</c:v>
                </c:pt>
                <c:pt idx="11">
                  <c:v>-1.7025569862095407</c:v>
                </c:pt>
                <c:pt idx="12">
                  <c:v>-1.0986989435826171</c:v>
                </c:pt>
                <c:pt idx="13">
                  <c:v>-0.29787590155715127</c:v>
                </c:pt>
                <c:pt idx="14">
                  <c:v>2.611474256444247</c:v>
                </c:pt>
                <c:pt idx="15">
                  <c:v>5.2792865485500391</c:v>
                </c:pt>
                <c:pt idx="16">
                  <c:v>7.6122972424611826</c:v>
                </c:pt>
                <c:pt idx="17">
                  <c:v>8.5790516085085482</c:v>
                </c:pt>
                <c:pt idx="18">
                  <c:v>9.1018480875806489</c:v>
                </c:pt>
                <c:pt idx="19">
                  <c:v>9.034893090359752</c:v>
                </c:pt>
                <c:pt idx="20">
                  <c:v>6.2132618599846019</c:v>
                </c:pt>
                <c:pt idx="21">
                  <c:v>4.5041908601688201</c:v>
                </c:pt>
                <c:pt idx="22">
                  <c:v>1.2699279050233272</c:v>
                </c:pt>
                <c:pt idx="23">
                  <c:v>0.12258718175018565</c:v>
                </c:pt>
                <c:pt idx="24">
                  <c:v>0.40406167746144206</c:v>
                </c:pt>
                <c:pt idx="25">
                  <c:v>2.1578483758843712</c:v>
                </c:pt>
                <c:pt idx="26">
                  <c:v>4.4209218043085547</c:v>
                </c:pt>
                <c:pt idx="27">
                  <c:v>3.5809371005003836</c:v>
                </c:pt>
                <c:pt idx="28">
                  <c:v>2.5651221223253851</c:v>
                </c:pt>
                <c:pt idx="29">
                  <c:v>-0.4685036448704939</c:v>
                </c:pt>
                <c:pt idx="30">
                  <c:v>-2.5431609098826646</c:v>
                </c:pt>
                <c:pt idx="31">
                  <c:v>-3.1143782804171098</c:v>
                </c:pt>
                <c:pt idx="32">
                  <c:v>-8.5527900668879456E-2</c:v>
                </c:pt>
                <c:pt idx="33">
                  <c:v>3.6497810943110602</c:v>
                </c:pt>
                <c:pt idx="34">
                  <c:v>7.1811901126198894</c:v>
                </c:pt>
                <c:pt idx="35">
                  <c:v>8.1947038816392528</c:v>
                </c:pt>
                <c:pt idx="36">
                  <c:v>5.2200683799029495</c:v>
                </c:pt>
                <c:pt idx="37">
                  <c:v>6.7053932694238885</c:v>
                </c:pt>
                <c:pt idx="38">
                  <c:v>6.6043631861580483</c:v>
                </c:pt>
                <c:pt idx="39">
                  <c:v>6.1144401217903095</c:v>
                </c:pt>
                <c:pt idx="40">
                  <c:v>7.2291634867373817</c:v>
                </c:pt>
                <c:pt idx="41">
                  <c:v>5.2015537730580776</c:v>
                </c:pt>
                <c:pt idx="42">
                  <c:v>4.8564744067197889</c:v>
                </c:pt>
                <c:pt idx="43">
                  <c:v>6.9092594421014342</c:v>
                </c:pt>
                <c:pt idx="44">
                  <c:v>7.4538587917413368</c:v>
                </c:pt>
                <c:pt idx="45">
                  <c:v>5.8879422021523169</c:v>
                </c:pt>
                <c:pt idx="46">
                  <c:v>3.8258114296108516</c:v>
                </c:pt>
                <c:pt idx="47">
                  <c:v>4.1447692790476065</c:v>
                </c:pt>
                <c:pt idx="48">
                  <c:v>2.4611396372450409</c:v>
                </c:pt>
                <c:pt idx="49">
                  <c:v>6.1666524556639901</c:v>
                </c:pt>
                <c:pt idx="50">
                  <c:v>4.3963555672457755</c:v>
                </c:pt>
                <c:pt idx="51">
                  <c:v>-2.672757833043411</c:v>
                </c:pt>
                <c:pt idx="52">
                  <c:v>-8.8359594404168273</c:v>
                </c:pt>
                <c:pt idx="53">
                  <c:v>-14.742565697313722</c:v>
                </c:pt>
                <c:pt idx="54">
                  <c:v>-11.390385062568999</c:v>
                </c:pt>
                <c:pt idx="55">
                  <c:v>-4.4817745792894286</c:v>
                </c:pt>
                <c:pt idx="56">
                  <c:v>4.3137487096479923</c:v>
                </c:pt>
                <c:pt idx="57">
                  <c:v>9.2047386103527966</c:v>
                </c:pt>
                <c:pt idx="58">
                  <c:v>6.2468255712305609</c:v>
                </c:pt>
                <c:pt idx="59">
                  <c:v>4.6839098354319404</c:v>
                </c:pt>
                <c:pt idx="60">
                  <c:v>5.5180824759591847</c:v>
                </c:pt>
                <c:pt idx="61">
                  <c:v>2.296067419798923</c:v>
                </c:pt>
                <c:pt idx="62">
                  <c:v>2.7438876154822589</c:v>
                </c:pt>
                <c:pt idx="63">
                  <c:v>2.5912894688837302</c:v>
                </c:pt>
                <c:pt idx="64">
                  <c:v>1.1825262072449099</c:v>
                </c:pt>
                <c:pt idx="65">
                  <c:v>2.1689072877500326</c:v>
                </c:pt>
                <c:pt idx="66">
                  <c:v>2.5554812730880601</c:v>
                </c:pt>
                <c:pt idx="67">
                  <c:v>2.5985256368424317</c:v>
                </c:pt>
                <c:pt idx="68">
                  <c:v>-1.0320814846005886</c:v>
                </c:pt>
                <c:pt idx="69">
                  <c:v>2.0183112861009422</c:v>
                </c:pt>
                <c:pt idx="70">
                  <c:v>6.5703522692260916E-2</c:v>
                </c:pt>
              </c:numCache>
            </c:numRef>
          </c:val>
        </c:ser>
        <c:marker val="1"/>
        <c:axId val="221052928"/>
        <c:axId val="221054464"/>
      </c:lineChart>
      <c:catAx>
        <c:axId val="221052928"/>
        <c:scaling>
          <c:orientation val="minMax"/>
        </c:scaling>
        <c:axPos val="b"/>
        <c:numFmt formatCode="#,##0.00" sourceLinked="0"/>
        <c:majorTickMark val="none"/>
        <c:tickLblPos val="nextTo"/>
        <c:spPr>
          <a:noFill/>
        </c:spPr>
        <c:txPr>
          <a:bodyPr rot="5400000" vert="horz"/>
          <a:lstStyle/>
          <a:p>
            <a:pPr>
              <a:defRPr lang="en-ZA"/>
            </a:pPr>
            <a:endParaRPr lang="en-US"/>
          </a:p>
        </c:txPr>
        <c:crossAx val="221054464"/>
        <c:crosses val="autoZero"/>
        <c:auto val="1"/>
        <c:lblAlgn val="ctr"/>
        <c:lblOffset val="100"/>
        <c:tickMarkSkip val="4"/>
      </c:catAx>
      <c:valAx>
        <c:axId val="221054464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0529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730935791801034"/>
          <c:y val="3.1718216197453276E-2"/>
          <c:w val="0.2362697002707527"/>
          <c:h val="0.12685873662543939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8148440329646882E-2"/>
          <c:y val="2.2587031907233542E-2"/>
          <c:w val="0.93490764032567764"/>
          <c:h val="0.95482593618554756"/>
        </c:manualLayout>
      </c:layout>
      <c:lineChart>
        <c:grouping val="standard"/>
        <c:ser>
          <c:idx val="0"/>
          <c:order val="0"/>
          <c:tx>
            <c:strRef>
              <c:f>Quarterly!$A$111</c:f>
              <c:strCache>
                <c:ptCount val="1"/>
                <c:pt idx="0">
                  <c:v>Electricity, gas and water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Quarterly!$F$111:$BX$111</c:f>
              <c:numCache>
                <c:formatCode>#,##0.00</c:formatCode>
                <c:ptCount val="71"/>
                <c:pt idx="0">
                  <c:v>2.173072235089081</c:v>
                </c:pt>
                <c:pt idx="1">
                  <c:v>6.7696137045820768</c:v>
                </c:pt>
                <c:pt idx="2">
                  <c:v>13.796000233294173</c:v>
                </c:pt>
                <c:pt idx="3">
                  <c:v>21.751982836676277</c:v>
                </c:pt>
                <c:pt idx="4">
                  <c:v>10.422538920469142</c:v>
                </c:pt>
                <c:pt idx="5">
                  <c:v>7.4797382436886384</c:v>
                </c:pt>
                <c:pt idx="6">
                  <c:v>0.50426793159087746</c:v>
                </c:pt>
                <c:pt idx="7">
                  <c:v>-3.3088306127038738</c:v>
                </c:pt>
                <c:pt idx="8">
                  <c:v>-5.150885238703518</c:v>
                </c:pt>
                <c:pt idx="9">
                  <c:v>-6.3309899369580593</c:v>
                </c:pt>
                <c:pt idx="10">
                  <c:v>-6.8427554770170911</c:v>
                </c:pt>
                <c:pt idx="11">
                  <c:v>-6.0775270496285971</c:v>
                </c:pt>
                <c:pt idx="12">
                  <c:v>-3.5129330409256374</c:v>
                </c:pt>
                <c:pt idx="13">
                  <c:v>-0.78777813375044192</c:v>
                </c:pt>
                <c:pt idx="14">
                  <c:v>1.4062936385061549</c:v>
                </c:pt>
                <c:pt idx="15">
                  <c:v>3.0679783415840176</c:v>
                </c:pt>
                <c:pt idx="16">
                  <c:v>6.8362729847710799</c:v>
                </c:pt>
                <c:pt idx="17">
                  <c:v>6.5266576337153284</c:v>
                </c:pt>
                <c:pt idx="18">
                  <c:v>6.9495699016495145</c:v>
                </c:pt>
                <c:pt idx="19">
                  <c:v>3.2473412248918025</c:v>
                </c:pt>
                <c:pt idx="20">
                  <c:v>1.47359134948184</c:v>
                </c:pt>
                <c:pt idx="21">
                  <c:v>-0.7316351016517425</c:v>
                </c:pt>
                <c:pt idx="22">
                  <c:v>-0.98260266797535034</c:v>
                </c:pt>
                <c:pt idx="23">
                  <c:v>-0.27633296431347032</c:v>
                </c:pt>
                <c:pt idx="24">
                  <c:v>7.6407488827925141</c:v>
                </c:pt>
                <c:pt idx="25">
                  <c:v>9.8230966768310441</c:v>
                </c:pt>
                <c:pt idx="26">
                  <c:v>10.139630584049538</c:v>
                </c:pt>
                <c:pt idx="27">
                  <c:v>11.14271416206282</c:v>
                </c:pt>
                <c:pt idx="28">
                  <c:v>-10.960917686206969</c:v>
                </c:pt>
                <c:pt idx="29">
                  <c:v>-11.698258889345404</c:v>
                </c:pt>
                <c:pt idx="30">
                  <c:v>-11.752051615550355</c:v>
                </c:pt>
                <c:pt idx="31">
                  <c:v>-11.594040527521143</c:v>
                </c:pt>
                <c:pt idx="32">
                  <c:v>6.5848498994451239</c:v>
                </c:pt>
                <c:pt idx="33">
                  <c:v>7.2772842009632157</c:v>
                </c:pt>
                <c:pt idx="34">
                  <c:v>8.0074027978081492</c:v>
                </c:pt>
                <c:pt idx="35">
                  <c:v>7.3529766958773894</c:v>
                </c:pt>
                <c:pt idx="36">
                  <c:v>6.4369500843339491</c:v>
                </c:pt>
                <c:pt idx="37">
                  <c:v>6.391017744861947</c:v>
                </c:pt>
                <c:pt idx="38">
                  <c:v>5.0489857047156246</c:v>
                </c:pt>
                <c:pt idx="39">
                  <c:v>8.1982171313610177</c:v>
                </c:pt>
                <c:pt idx="40">
                  <c:v>2.6837234887724817</c:v>
                </c:pt>
                <c:pt idx="41">
                  <c:v>3.1837124469916436</c:v>
                </c:pt>
                <c:pt idx="42">
                  <c:v>3.7917239274136207</c:v>
                </c:pt>
                <c:pt idx="43">
                  <c:v>3.5014781533395634</c:v>
                </c:pt>
                <c:pt idx="44">
                  <c:v>3.5486135101335541</c:v>
                </c:pt>
                <c:pt idx="45">
                  <c:v>2.8571038174429479</c:v>
                </c:pt>
                <c:pt idx="46">
                  <c:v>3.9503385272870521</c:v>
                </c:pt>
                <c:pt idx="47">
                  <c:v>2.9796829735537114</c:v>
                </c:pt>
                <c:pt idx="48">
                  <c:v>-3.7420488911144076</c:v>
                </c:pt>
                <c:pt idx="49">
                  <c:v>-4.8262521454733101</c:v>
                </c:pt>
                <c:pt idx="50">
                  <c:v>-1.8176869820331631</c:v>
                </c:pt>
                <c:pt idx="51">
                  <c:v>-5.7338551045824611</c:v>
                </c:pt>
                <c:pt idx="52">
                  <c:v>-4.5425744552922955</c:v>
                </c:pt>
                <c:pt idx="53">
                  <c:v>-3.5895799410577229</c:v>
                </c:pt>
                <c:pt idx="54">
                  <c:v>-5.6692588312043455</c:v>
                </c:pt>
                <c:pt idx="55">
                  <c:v>-1.8078127182325665</c:v>
                </c:pt>
                <c:pt idx="56">
                  <c:v>1.6838141405896665</c:v>
                </c:pt>
                <c:pt idx="57">
                  <c:v>1.3790094261542061</c:v>
                </c:pt>
                <c:pt idx="58">
                  <c:v>0.51102194777099774</c:v>
                </c:pt>
                <c:pt idx="59">
                  <c:v>1.245184331686104</c:v>
                </c:pt>
                <c:pt idx="60">
                  <c:v>1.827771616331066</c:v>
                </c:pt>
                <c:pt idx="61">
                  <c:v>1.936085734791575</c:v>
                </c:pt>
                <c:pt idx="62">
                  <c:v>0.86226011252756707</c:v>
                </c:pt>
                <c:pt idx="63">
                  <c:v>0.23555291057971686</c:v>
                </c:pt>
                <c:pt idx="64">
                  <c:v>-2.144402509753192</c:v>
                </c:pt>
                <c:pt idx="65">
                  <c:v>-3.6714843132828854</c:v>
                </c:pt>
                <c:pt idx="66">
                  <c:v>-3.1879042558847326</c:v>
                </c:pt>
                <c:pt idx="67">
                  <c:v>-4.1457589929623255</c:v>
                </c:pt>
                <c:pt idx="68">
                  <c:v>-2.9985761816960244</c:v>
                </c:pt>
                <c:pt idx="69">
                  <c:v>-0.23489528317810945</c:v>
                </c:pt>
                <c:pt idx="70">
                  <c:v>0.61382529164666022</c:v>
                </c:pt>
              </c:numCache>
            </c:numRef>
          </c:val>
        </c:ser>
        <c:ser>
          <c:idx val="1"/>
          <c:order val="1"/>
          <c:tx>
            <c:strRef>
              <c:f>Seasonal!$A$111</c:f>
              <c:strCache>
                <c:ptCount val="1"/>
                <c:pt idx="0">
                  <c:v>Electricity, gas and water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Seasonal!$F$111:$BX$111</c:f>
              <c:numCache>
                <c:formatCode>#,##0.00</c:formatCode>
                <c:ptCount val="71"/>
                <c:pt idx="0">
                  <c:v>2.5721150832951438</c:v>
                </c:pt>
                <c:pt idx="1">
                  <c:v>6.8311995803866834</c:v>
                </c:pt>
                <c:pt idx="2">
                  <c:v>13.964142654239703</c:v>
                </c:pt>
                <c:pt idx="3">
                  <c:v>21.133198569721223</c:v>
                </c:pt>
                <c:pt idx="4">
                  <c:v>12.953736651598152</c:v>
                </c:pt>
                <c:pt idx="5">
                  <c:v>8.6922054414295946</c:v>
                </c:pt>
                <c:pt idx="6">
                  <c:v>0.44178766780612999</c:v>
                </c:pt>
                <c:pt idx="7">
                  <c:v>-6.6198956436506347</c:v>
                </c:pt>
                <c:pt idx="8">
                  <c:v>-5.8006401571799246</c:v>
                </c:pt>
                <c:pt idx="9">
                  <c:v>-7.3076388528749163</c:v>
                </c:pt>
                <c:pt idx="10">
                  <c:v>-6.7753460123941123</c:v>
                </c:pt>
                <c:pt idx="11">
                  <c:v>-4.504051017802067</c:v>
                </c:pt>
                <c:pt idx="12">
                  <c:v>-3.0619469059432953</c:v>
                </c:pt>
                <c:pt idx="13">
                  <c:v>-0.75201480876123372</c:v>
                </c:pt>
                <c:pt idx="14">
                  <c:v>1.2127688813559652</c:v>
                </c:pt>
                <c:pt idx="15">
                  <c:v>2.9396586064421757</c:v>
                </c:pt>
                <c:pt idx="16">
                  <c:v>7.0046780862299274</c:v>
                </c:pt>
                <c:pt idx="17">
                  <c:v>6.7053085873517677</c:v>
                </c:pt>
                <c:pt idx="18">
                  <c:v>6.5937743195949432</c:v>
                </c:pt>
                <c:pt idx="19">
                  <c:v>3.2306263313683838</c:v>
                </c:pt>
                <c:pt idx="20">
                  <c:v>1.486240450566122</c:v>
                </c:pt>
                <c:pt idx="21">
                  <c:v>-0.65745784897426884</c:v>
                </c:pt>
                <c:pt idx="22">
                  <c:v>-1.2153482924207295</c:v>
                </c:pt>
                <c:pt idx="23">
                  <c:v>-0.22012567540689409</c:v>
                </c:pt>
                <c:pt idx="24">
                  <c:v>5.3261602921868567</c:v>
                </c:pt>
                <c:pt idx="25">
                  <c:v>9.3078431490081464</c:v>
                </c:pt>
                <c:pt idx="26">
                  <c:v>10.870268024566849</c:v>
                </c:pt>
                <c:pt idx="27">
                  <c:v>13.40340631444557</c:v>
                </c:pt>
                <c:pt idx="28">
                  <c:v>-9.4919071702715652</c:v>
                </c:pt>
                <c:pt idx="29">
                  <c:v>-11.522698851614949</c:v>
                </c:pt>
                <c:pt idx="30">
                  <c:v>-12.224310528667825</c:v>
                </c:pt>
                <c:pt idx="31">
                  <c:v>-12.710518150532286</c:v>
                </c:pt>
                <c:pt idx="32">
                  <c:v>4.0388517281189094</c:v>
                </c:pt>
                <c:pt idx="33">
                  <c:v>6.0237265881246884</c:v>
                </c:pt>
                <c:pt idx="34">
                  <c:v>9.1346031828523682</c:v>
                </c:pt>
                <c:pt idx="35">
                  <c:v>10.024899543717769</c:v>
                </c:pt>
                <c:pt idx="36">
                  <c:v>8.6756446781241756</c:v>
                </c:pt>
                <c:pt idx="37">
                  <c:v>7.6060505900990405</c:v>
                </c:pt>
                <c:pt idx="38">
                  <c:v>4.884886544573229</c:v>
                </c:pt>
                <c:pt idx="39">
                  <c:v>5.0524952206318323</c:v>
                </c:pt>
                <c:pt idx="40">
                  <c:v>4.494615379211635</c:v>
                </c:pt>
                <c:pt idx="41">
                  <c:v>3.8181577638103805</c:v>
                </c:pt>
                <c:pt idx="42">
                  <c:v>3.2133949951525436</c:v>
                </c:pt>
                <c:pt idx="43">
                  <c:v>1.738284044381021</c:v>
                </c:pt>
                <c:pt idx="44">
                  <c:v>2.6131788846814255</c:v>
                </c:pt>
                <c:pt idx="45">
                  <c:v>3.2216713905201457</c:v>
                </c:pt>
                <c:pt idx="46">
                  <c:v>4.0410580923743593</c:v>
                </c:pt>
                <c:pt idx="47">
                  <c:v>3.4532426850256273</c:v>
                </c:pt>
                <c:pt idx="48">
                  <c:v>-3.2415819993324964</c:v>
                </c:pt>
                <c:pt idx="49">
                  <c:v>-4.5356756164663379</c:v>
                </c:pt>
                <c:pt idx="50">
                  <c:v>-2.393617759194798</c:v>
                </c:pt>
                <c:pt idx="51">
                  <c:v>-5.913980326122072</c:v>
                </c:pt>
                <c:pt idx="52">
                  <c:v>-4.4356956203711464</c:v>
                </c:pt>
                <c:pt idx="53">
                  <c:v>-3.4827492799918272</c:v>
                </c:pt>
                <c:pt idx="54">
                  <c:v>-5.7145758075265309</c:v>
                </c:pt>
                <c:pt idx="55">
                  <c:v>-1.968299331047747</c:v>
                </c:pt>
                <c:pt idx="56">
                  <c:v>1.9507391259026692</c:v>
                </c:pt>
                <c:pt idx="57">
                  <c:v>1.3032099889064457</c:v>
                </c:pt>
                <c:pt idx="58">
                  <c:v>0.19409006741767412</c:v>
                </c:pt>
                <c:pt idx="59">
                  <c:v>1.3276470385273216</c:v>
                </c:pt>
                <c:pt idx="60">
                  <c:v>1.3653789228005</c:v>
                </c:pt>
                <c:pt idx="61">
                  <c:v>1.7183040220170056</c:v>
                </c:pt>
                <c:pt idx="62">
                  <c:v>1.479535612722628</c:v>
                </c:pt>
                <c:pt idx="63">
                  <c:v>0.22953317441488413</c:v>
                </c:pt>
                <c:pt idx="64">
                  <c:v>-2.2638636761820394</c:v>
                </c:pt>
                <c:pt idx="65">
                  <c:v>-3.7717231181724737</c:v>
                </c:pt>
                <c:pt idx="66">
                  <c:v>-3.1775654728579781</c:v>
                </c:pt>
                <c:pt idx="67">
                  <c:v>-3.998569299793568</c:v>
                </c:pt>
                <c:pt idx="68">
                  <c:v>-2.7912946981435902</c:v>
                </c:pt>
                <c:pt idx="69">
                  <c:v>-0.26807377828599627</c:v>
                </c:pt>
                <c:pt idx="70">
                  <c:v>0.53538536457535235</c:v>
                </c:pt>
              </c:numCache>
            </c:numRef>
          </c:val>
        </c:ser>
        <c:marker val="1"/>
        <c:axId val="221083136"/>
        <c:axId val="221084672"/>
      </c:lineChart>
      <c:catAx>
        <c:axId val="221083136"/>
        <c:scaling>
          <c:orientation val="minMax"/>
        </c:scaling>
        <c:axPos val="b"/>
        <c:numFmt formatCode="#,##0.00" sourceLinked="0"/>
        <c:majorTickMark val="none"/>
        <c:tickLblPos val="nextTo"/>
        <c:spPr>
          <a:noFill/>
        </c:spPr>
        <c:txPr>
          <a:bodyPr rot="5400000" vert="horz"/>
          <a:lstStyle/>
          <a:p>
            <a:pPr>
              <a:defRPr lang="en-ZA"/>
            </a:pPr>
            <a:endParaRPr lang="en-US"/>
          </a:p>
        </c:txPr>
        <c:crossAx val="221084672"/>
        <c:crosses val="autoZero"/>
        <c:auto val="1"/>
        <c:lblAlgn val="ctr"/>
        <c:lblOffset val="100"/>
        <c:tickMarkSkip val="4"/>
      </c:catAx>
      <c:valAx>
        <c:axId val="221084672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0831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730935791801034"/>
          <c:y val="3.1718216197453276E-2"/>
          <c:w val="0.2362697002707527"/>
          <c:h val="0.12685873662543939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8148440329646882E-2"/>
          <c:y val="2.2587031907233542E-2"/>
          <c:w val="0.93490764032567764"/>
          <c:h val="0.95482593618554812"/>
        </c:manualLayout>
      </c:layout>
      <c:lineChart>
        <c:grouping val="standard"/>
        <c:ser>
          <c:idx val="0"/>
          <c:order val="0"/>
          <c:tx>
            <c:strRef>
              <c:f>Quarterly!$A$112</c:f>
              <c:strCache>
                <c:ptCount val="1"/>
                <c:pt idx="0">
                  <c:v>Construction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Quarterly!$F$112:$BX$112</c:f>
              <c:numCache>
                <c:formatCode>#,##0.00</c:formatCode>
                <c:ptCount val="71"/>
                <c:pt idx="0">
                  <c:v>-1.8041016631943347</c:v>
                </c:pt>
                <c:pt idx="1">
                  <c:v>-1.9728088882574961</c:v>
                </c:pt>
                <c:pt idx="2">
                  <c:v>-1.7114927620116509</c:v>
                </c:pt>
                <c:pt idx="3">
                  <c:v>-1.4169082984249537</c:v>
                </c:pt>
                <c:pt idx="4">
                  <c:v>4.1956177921442546</c:v>
                </c:pt>
                <c:pt idx="5">
                  <c:v>3.5982076971836237</c:v>
                </c:pt>
                <c:pt idx="6">
                  <c:v>3.2578522323065928</c:v>
                </c:pt>
                <c:pt idx="7">
                  <c:v>12.105380471991744</c:v>
                </c:pt>
                <c:pt idx="8">
                  <c:v>-8.4409269666342031</c:v>
                </c:pt>
                <c:pt idx="9">
                  <c:v>-11.275879152442595</c:v>
                </c:pt>
                <c:pt idx="10">
                  <c:v>-12.704611939706867</c:v>
                </c:pt>
                <c:pt idx="11">
                  <c:v>-12.560079594175951</c:v>
                </c:pt>
                <c:pt idx="12">
                  <c:v>-8.144785136081131</c:v>
                </c:pt>
                <c:pt idx="13">
                  <c:v>-5.8942334594910859</c:v>
                </c:pt>
                <c:pt idx="14">
                  <c:v>-4.7299269097687624</c:v>
                </c:pt>
                <c:pt idx="15">
                  <c:v>-3.9505781491445275</c:v>
                </c:pt>
                <c:pt idx="16">
                  <c:v>6.3058320857739728E-2</c:v>
                </c:pt>
                <c:pt idx="17">
                  <c:v>2.4791564864112048</c:v>
                </c:pt>
                <c:pt idx="18">
                  <c:v>5.3186218656786428</c:v>
                </c:pt>
                <c:pt idx="19">
                  <c:v>7.7985260284018043</c:v>
                </c:pt>
                <c:pt idx="20">
                  <c:v>37.961355014396084</c:v>
                </c:pt>
                <c:pt idx="21">
                  <c:v>35.981832155316887</c:v>
                </c:pt>
                <c:pt idx="22">
                  <c:v>32.448393822976435</c:v>
                </c:pt>
                <c:pt idx="23">
                  <c:v>30.46781135444937</c:v>
                </c:pt>
                <c:pt idx="24">
                  <c:v>-22.076909845077573</c:v>
                </c:pt>
                <c:pt idx="25">
                  <c:v>-22.637481957046688</c:v>
                </c:pt>
                <c:pt idx="26">
                  <c:v>-19.911151578499979</c:v>
                </c:pt>
                <c:pt idx="27">
                  <c:v>-19.462117233933025</c:v>
                </c:pt>
                <c:pt idx="28">
                  <c:v>5.2202140718895871</c:v>
                </c:pt>
                <c:pt idx="29">
                  <c:v>5.1307056179797454</c:v>
                </c:pt>
                <c:pt idx="30">
                  <c:v>4.9497417349889421</c:v>
                </c:pt>
                <c:pt idx="31">
                  <c:v>3.7786589745259587</c:v>
                </c:pt>
                <c:pt idx="32">
                  <c:v>6.5538566933313547</c:v>
                </c:pt>
                <c:pt idx="33">
                  <c:v>8.981784871520734</c:v>
                </c:pt>
                <c:pt idx="34">
                  <c:v>11.082841563241079</c:v>
                </c:pt>
                <c:pt idx="35">
                  <c:v>10.790359112545374</c:v>
                </c:pt>
                <c:pt idx="36">
                  <c:v>13.410091445852531</c:v>
                </c:pt>
                <c:pt idx="37">
                  <c:v>13.988811476565214</c:v>
                </c:pt>
                <c:pt idx="38">
                  <c:v>13.647901946649476</c:v>
                </c:pt>
                <c:pt idx="39">
                  <c:v>13.207291062051629</c:v>
                </c:pt>
                <c:pt idx="40">
                  <c:v>7.8433126596982703</c:v>
                </c:pt>
                <c:pt idx="41">
                  <c:v>7.5169736208918616</c:v>
                </c:pt>
                <c:pt idx="42">
                  <c:v>7.5673252219616165</c:v>
                </c:pt>
                <c:pt idx="43">
                  <c:v>7.4811280213876579</c:v>
                </c:pt>
                <c:pt idx="44">
                  <c:v>14.76043795839724</c:v>
                </c:pt>
                <c:pt idx="45">
                  <c:v>13.192224118730381</c:v>
                </c:pt>
                <c:pt idx="46">
                  <c:v>11.884836233737872</c:v>
                </c:pt>
                <c:pt idx="47">
                  <c:v>17.690161308337164</c:v>
                </c:pt>
                <c:pt idx="48">
                  <c:v>9.8908951797704052</c:v>
                </c:pt>
                <c:pt idx="49">
                  <c:v>10.020901847106662</c:v>
                </c:pt>
                <c:pt idx="50">
                  <c:v>10.213429917475606</c:v>
                </c:pt>
                <c:pt idx="51">
                  <c:v>4.5726902787132371</c:v>
                </c:pt>
                <c:pt idx="52">
                  <c:v>9.6806991540904939</c:v>
                </c:pt>
                <c:pt idx="53">
                  <c:v>8.5269746648781499</c:v>
                </c:pt>
                <c:pt idx="54">
                  <c:v>7.7752795166980349</c:v>
                </c:pt>
                <c:pt idx="55">
                  <c:v>7.6708502626028325</c:v>
                </c:pt>
                <c:pt idx="56">
                  <c:v>3.7227505655102515</c:v>
                </c:pt>
                <c:pt idx="57">
                  <c:v>2.4326162948493186</c:v>
                </c:pt>
                <c:pt idx="58">
                  <c:v>0.47921913246069137</c:v>
                </c:pt>
                <c:pt idx="59">
                  <c:v>8.2590591144620765E-2</c:v>
                </c:pt>
                <c:pt idx="60">
                  <c:v>-0.11306663414520524</c:v>
                </c:pt>
                <c:pt idx="61">
                  <c:v>0.50911851304662181</c:v>
                </c:pt>
                <c:pt idx="62">
                  <c:v>0.70652547225352913</c:v>
                </c:pt>
                <c:pt idx="63">
                  <c:v>0.57143300194364721</c:v>
                </c:pt>
                <c:pt idx="64">
                  <c:v>1.4947010870025506</c:v>
                </c:pt>
                <c:pt idx="65">
                  <c:v>1.8508489741119141</c:v>
                </c:pt>
                <c:pt idx="66">
                  <c:v>2.9064137889850752</c:v>
                </c:pt>
                <c:pt idx="67">
                  <c:v>3.787893004891695</c:v>
                </c:pt>
                <c:pt idx="68">
                  <c:v>2.1835985866706999</c:v>
                </c:pt>
                <c:pt idx="69">
                  <c:v>2.3857278316562613</c:v>
                </c:pt>
                <c:pt idx="70">
                  <c:v>2.5656515390875838</c:v>
                </c:pt>
              </c:numCache>
            </c:numRef>
          </c:val>
        </c:ser>
        <c:ser>
          <c:idx val="1"/>
          <c:order val="1"/>
          <c:tx>
            <c:strRef>
              <c:f>Seasonal!$A$112</c:f>
              <c:strCache>
                <c:ptCount val="1"/>
                <c:pt idx="0">
                  <c:v>Construction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Seasonal!$F$112:$BX$112</c:f>
              <c:numCache>
                <c:formatCode>#,##0.00</c:formatCode>
                <c:ptCount val="71"/>
                <c:pt idx="0">
                  <c:v>-2.3155435350606122</c:v>
                </c:pt>
                <c:pt idx="1">
                  <c:v>-1.3968746275614372</c:v>
                </c:pt>
                <c:pt idx="2">
                  <c:v>-1.5289420483019143</c:v>
                </c:pt>
                <c:pt idx="3">
                  <c:v>-1.683148344763723</c:v>
                </c:pt>
                <c:pt idx="4">
                  <c:v>5.3096898400560857</c:v>
                </c:pt>
                <c:pt idx="5">
                  <c:v>5.5254693825987102</c:v>
                </c:pt>
                <c:pt idx="6">
                  <c:v>5.8345994355076938</c:v>
                </c:pt>
                <c:pt idx="7">
                  <c:v>6.1975595359396216</c:v>
                </c:pt>
                <c:pt idx="8">
                  <c:v>-8.0534089949159711</c:v>
                </c:pt>
                <c:pt idx="9">
                  <c:v>-11.2974863141825</c:v>
                </c:pt>
                <c:pt idx="10">
                  <c:v>-12.877312515250303</c:v>
                </c:pt>
                <c:pt idx="11">
                  <c:v>-12.714058867763034</c:v>
                </c:pt>
                <c:pt idx="12">
                  <c:v>-7.7840830786265931</c:v>
                </c:pt>
                <c:pt idx="13">
                  <c:v>-5.6725013211117972</c:v>
                </c:pt>
                <c:pt idx="14">
                  <c:v>-4.5041017090231801</c:v>
                </c:pt>
                <c:pt idx="15">
                  <c:v>-4.7640539621083722</c:v>
                </c:pt>
                <c:pt idx="16">
                  <c:v>0.25302665208700525</c:v>
                </c:pt>
                <c:pt idx="17">
                  <c:v>2.619871739789283</c:v>
                </c:pt>
                <c:pt idx="18">
                  <c:v>5.3925841678284367</c:v>
                </c:pt>
                <c:pt idx="19">
                  <c:v>7.4682392857617002</c:v>
                </c:pt>
                <c:pt idx="20">
                  <c:v>37.927434954266893</c:v>
                </c:pt>
                <c:pt idx="21">
                  <c:v>36.005097735200124</c:v>
                </c:pt>
                <c:pt idx="22">
                  <c:v>32.415557556034393</c:v>
                </c:pt>
                <c:pt idx="23">
                  <c:v>30.428399786944315</c:v>
                </c:pt>
                <c:pt idx="24">
                  <c:v>-22.61253203033467</c:v>
                </c:pt>
                <c:pt idx="25">
                  <c:v>-22.094770382863032</c:v>
                </c:pt>
                <c:pt idx="26">
                  <c:v>-20.442054119152893</c:v>
                </c:pt>
                <c:pt idx="27">
                  <c:v>-18.919893051775365</c:v>
                </c:pt>
                <c:pt idx="28">
                  <c:v>5.773851823378533</c:v>
                </c:pt>
                <c:pt idx="29">
                  <c:v>5.5755506240143342</c:v>
                </c:pt>
                <c:pt idx="30">
                  <c:v>4.3615897020367704</c:v>
                </c:pt>
                <c:pt idx="31">
                  <c:v>3.3862038095547118</c:v>
                </c:pt>
                <c:pt idx="32">
                  <c:v>7.1510679074424059</c:v>
                </c:pt>
                <c:pt idx="33">
                  <c:v>8.6955826126607771</c:v>
                </c:pt>
                <c:pt idx="34">
                  <c:v>10.290972917649665</c:v>
                </c:pt>
                <c:pt idx="35">
                  <c:v>11.302253415590457</c:v>
                </c:pt>
                <c:pt idx="36">
                  <c:v>13.21259429564399</c:v>
                </c:pt>
                <c:pt idx="37">
                  <c:v>13.374202192886278</c:v>
                </c:pt>
                <c:pt idx="38">
                  <c:v>13.835228841097011</c:v>
                </c:pt>
                <c:pt idx="39">
                  <c:v>13.777727546674903</c:v>
                </c:pt>
                <c:pt idx="40">
                  <c:v>8.1185452079853722</c:v>
                </c:pt>
                <c:pt idx="41">
                  <c:v>7.8825825398803397</c:v>
                </c:pt>
                <c:pt idx="42">
                  <c:v>7.4203987936238862</c:v>
                </c:pt>
                <c:pt idx="43">
                  <c:v>7.0249158031530161</c:v>
                </c:pt>
                <c:pt idx="44">
                  <c:v>13.289021718124291</c:v>
                </c:pt>
                <c:pt idx="45">
                  <c:v>14.231231329817357</c:v>
                </c:pt>
                <c:pt idx="46">
                  <c:v>13.553004221468621</c:v>
                </c:pt>
                <c:pt idx="47">
                  <c:v>16.510695820577343</c:v>
                </c:pt>
                <c:pt idx="48">
                  <c:v>11.175390724027825</c:v>
                </c:pt>
                <c:pt idx="49">
                  <c:v>8.9129976323023641</c:v>
                </c:pt>
                <c:pt idx="50">
                  <c:v>9.6085391173708423</c:v>
                </c:pt>
                <c:pt idx="51">
                  <c:v>4.8634801832806591</c:v>
                </c:pt>
                <c:pt idx="52">
                  <c:v>9.5433729927110598</c:v>
                </c:pt>
                <c:pt idx="53">
                  <c:v>8.4837372299668488</c:v>
                </c:pt>
                <c:pt idx="54">
                  <c:v>7.6507491698460983</c:v>
                </c:pt>
                <c:pt idx="55">
                  <c:v>7.9464637056809648</c:v>
                </c:pt>
                <c:pt idx="56">
                  <c:v>3.7845404081827501</c:v>
                </c:pt>
                <c:pt idx="57">
                  <c:v>2.6348223290221222</c:v>
                </c:pt>
                <c:pt idx="58">
                  <c:v>0.42202326474935326</c:v>
                </c:pt>
                <c:pt idx="59">
                  <c:v>-0.15930979773688012</c:v>
                </c:pt>
                <c:pt idx="60">
                  <c:v>-0.20449449414896301</c:v>
                </c:pt>
                <c:pt idx="61">
                  <c:v>0.48121284246303686</c:v>
                </c:pt>
                <c:pt idx="62">
                  <c:v>0.73107676349962647</c:v>
                </c:pt>
                <c:pt idx="63">
                  <c:v>0.67024600751817831</c:v>
                </c:pt>
                <c:pt idx="64">
                  <c:v>1.8503722738608464</c:v>
                </c:pt>
                <c:pt idx="65">
                  <c:v>1.8651384591729534</c:v>
                </c:pt>
                <c:pt idx="66">
                  <c:v>2.6909403700499555</c:v>
                </c:pt>
                <c:pt idx="67">
                  <c:v>3.6737047194784269</c:v>
                </c:pt>
                <c:pt idx="68">
                  <c:v>2.8189087759171514</c:v>
                </c:pt>
                <c:pt idx="69">
                  <c:v>3.348477001892221</c:v>
                </c:pt>
                <c:pt idx="70">
                  <c:v>3.0382059525281169</c:v>
                </c:pt>
              </c:numCache>
            </c:numRef>
          </c:val>
        </c:ser>
        <c:marker val="1"/>
        <c:axId val="221117440"/>
        <c:axId val="221192960"/>
      </c:lineChart>
      <c:catAx>
        <c:axId val="221117440"/>
        <c:scaling>
          <c:orientation val="minMax"/>
        </c:scaling>
        <c:axPos val="b"/>
        <c:numFmt formatCode="#,##0.00" sourceLinked="0"/>
        <c:majorTickMark val="none"/>
        <c:tickLblPos val="nextTo"/>
        <c:spPr>
          <a:noFill/>
        </c:spPr>
        <c:txPr>
          <a:bodyPr rot="5400000" vert="horz"/>
          <a:lstStyle/>
          <a:p>
            <a:pPr>
              <a:defRPr lang="en-ZA"/>
            </a:pPr>
            <a:endParaRPr lang="en-US"/>
          </a:p>
        </c:txPr>
        <c:crossAx val="221192960"/>
        <c:crosses val="autoZero"/>
        <c:auto val="1"/>
        <c:lblAlgn val="ctr"/>
        <c:lblOffset val="100"/>
        <c:tickMarkSkip val="4"/>
      </c:catAx>
      <c:valAx>
        <c:axId val="221192960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1174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730935791801034"/>
          <c:y val="3.1718216197453276E-2"/>
          <c:w val="0.2362697002707527"/>
          <c:h val="0.12685873662543939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8148440329646882E-2"/>
          <c:y val="2.2587031907233542E-2"/>
          <c:w val="0.93490764032567764"/>
          <c:h val="0.95482593618554856"/>
        </c:manualLayout>
      </c:layout>
      <c:lineChart>
        <c:grouping val="standard"/>
        <c:ser>
          <c:idx val="0"/>
          <c:order val="0"/>
          <c:tx>
            <c:strRef>
              <c:f>Quarterly!$A$114</c:f>
              <c:strCache>
                <c:ptCount val="1"/>
                <c:pt idx="0">
                  <c:v>Wholesale &amp; retail trade; hotels &amp; restaurants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Quarterly!$F$114:$BX$114</c:f>
              <c:numCache>
                <c:formatCode>#,##0.00</c:formatCode>
                <c:ptCount val="71"/>
                <c:pt idx="0">
                  <c:v>4.1858497344459122</c:v>
                </c:pt>
                <c:pt idx="1">
                  <c:v>3.197863058931155</c:v>
                </c:pt>
                <c:pt idx="2">
                  <c:v>1.4485926694057654</c:v>
                </c:pt>
                <c:pt idx="3">
                  <c:v>0.62443808763338149</c:v>
                </c:pt>
                <c:pt idx="4">
                  <c:v>2.2730282606317842</c:v>
                </c:pt>
                <c:pt idx="5">
                  <c:v>1.3039443538024931</c:v>
                </c:pt>
                <c:pt idx="6">
                  <c:v>0.33073380782022593</c:v>
                </c:pt>
                <c:pt idx="7">
                  <c:v>-1.2919777401551009</c:v>
                </c:pt>
                <c:pt idx="8">
                  <c:v>-0.3661196581715917</c:v>
                </c:pt>
                <c:pt idx="9">
                  <c:v>1.1661430370901589</c:v>
                </c:pt>
                <c:pt idx="10">
                  <c:v>1.0225747008090507</c:v>
                </c:pt>
                <c:pt idx="11">
                  <c:v>1.5735697032015532</c:v>
                </c:pt>
                <c:pt idx="12">
                  <c:v>3.985349422006685</c:v>
                </c:pt>
                <c:pt idx="13">
                  <c:v>5.6779152094325962</c:v>
                </c:pt>
                <c:pt idx="14">
                  <c:v>7.779523239108717</c:v>
                </c:pt>
                <c:pt idx="15">
                  <c:v>10.510812970269514</c:v>
                </c:pt>
                <c:pt idx="16">
                  <c:v>9.64826032911167</c:v>
                </c:pt>
                <c:pt idx="17">
                  <c:v>9.5274748261945685</c:v>
                </c:pt>
                <c:pt idx="18">
                  <c:v>7.9461823842504806</c:v>
                </c:pt>
                <c:pt idx="19">
                  <c:v>6.3472984145590381</c:v>
                </c:pt>
                <c:pt idx="20">
                  <c:v>10.097267329705023</c:v>
                </c:pt>
                <c:pt idx="21">
                  <c:v>8.2992747868424441</c:v>
                </c:pt>
                <c:pt idx="22">
                  <c:v>6.7665754276436685</c:v>
                </c:pt>
                <c:pt idx="23">
                  <c:v>6.464008944534819</c:v>
                </c:pt>
                <c:pt idx="24">
                  <c:v>1.4024065995740989</c:v>
                </c:pt>
                <c:pt idx="25">
                  <c:v>1.8166279253321191</c:v>
                </c:pt>
                <c:pt idx="26">
                  <c:v>2.8745582332670065</c:v>
                </c:pt>
                <c:pt idx="27">
                  <c:v>3.4967410251701074</c:v>
                </c:pt>
                <c:pt idx="28">
                  <c:v>2.4446574609038718</c:v>
                </c:pt>
                <c:pt idx="29">
                  <c:v>2.6459821790984677</c:v>
                </c:pt>
                <c:pt idx="30">
                  <c:v>4.2871355557715969</c:v>
                </c:pt>
                <c:pt idx="31">
                  <c:v>4.2875520401552158</c:v>
                </c:pt>
                <c:pt idx="32">
                  <c:v>4.5682692899876507</c:v>
                </c:pt>
                <c:pt idx="33">
                  <c:v>4.8694459259198544</c:v>
                </c:pt>
                <c:pt idx="34">
                  <c:v>3.9448455786283718</c:v>
                </c:pt>
                <c:pt idx="35">
                  <c:v>7.9142780187921771</c:v>
                </c:pt>
                <c:pt idx="36">
                  <c:v>7.0088369230693033</c:v>
                </c:pt>
                <c:pt idx="37">
                  <c:v>6.312508962413764</c:v>
                </c:pt>
                <c:pt idx="38">
                  <c:v>6.4797775632300301</c:v>
                </c:pt>
                <c:pt idx="39">
                  <c:v>6.1591686059031057</c:v>
                </c:pt>
                <c:pt idx="40">
                  <c:v>5.8261113196670715</c:v>
                </c:pt>
                <c:pt idx="41">
                  <c:v>6.4664619899560796</c:v>
                </c:pt>
                <c:pt idx="42">
                  <c:v>6.7404761994556095</c:v>
                </c:pt>
                <c:pt idx="43">
                  <c:v>6.5209734806471342</c:v>
                </c:pt>
                <c:pt idx="44">
                  <c:v>6.518057648792877</c:v>
                </c:pt>
                <c:pt idx="45">
                  <c:v>6.0928878352231504</c:v>
                </c:pt>
                <c:pt idx="46">
                  <c:v>5.7592758815299341</c:v>
                </c:pt>
                <c:pt idx="47">
                  <c:v>4.3206757398624731</c:v>
                </c:pt>
                <c:pt idx="48">
                  <c:v>4.2665151858167283</c:v>
                </c:pt>
                <c:pt idx="49">
                  <c:v>2.0334087317993794</c:v>
                </c:pt>
                <c:pt idx="50">
                  <c:v>-1.001055601601093</c:v>
                </c:pt>
                <c:pt idx="51">
                  <c:v>-0.54155907805673253</c:v>
                </c:pt>
                <c:pt idx="52">
                  <c:v>3.3528006027217436E-2</c:v>
                </c:pt>
                <c:pt idx="53">
                  <c:v>-0.82268641447926627</c:v>
                </c:pt>
                <c:pt idx="54">
                  <c:v>1.1717625196408277</c:v>
                </c:pt>
                <c:pt idx="55">
                  <c:v>-0.11257226999443848</c:v>
                </c:pt>
                <c:pt idx="56">
                  <c:v>1.3839509205753775</c:v>
                </c:pt>
                <c:pt idx="57">
                  <c:v>4.0652024030803009</c:v>
                </c:pt>
                <c:pt idx="58">
                  <c:v>5.0074355282031489</c:v>
                </c:pt>
                <c:pt idx="59">
                  <c:v>5.8726130149086497</c:v>
                </c:pt>
                <c:pt idx="60">
                  <c:v>4.8689265641877073</c:v>
                </c:pt>
                <c:pt idx="61">
                  <c:v>4.5799535205480586</c:v>
                </c:pt>
                <c:pt idx="62">
                  <c:v>5.0718233905592349</c:v>
                </c:pt>
                <c:pt idx="63">
                  <c:v>5.6888426122538025</c:v>
                </c:pt>
                <c:pt idx="64">
                  <c:v>4.6370071588884016</c:v>
                </c:pt>
                <c:pt idx="65">
                  <c:v>4.0739206211158798</c:v>
                </c:pt>
                <c:pt idx="66">
                  <c:v>3.3913501879912538</c:v>
                </c:pt>
                <c:pt idx="67">
                  <c:v>3.0433371668099443</c:v>
                </c:pt>
                <c:pt idx="68">
                  <c:v>2.8909125065686117</c:v>
                </c:pt>
                <c:pt idx="69">
                  <c:v>3.0807387370924371</c:v>
                </c:pt>
                <c:pt idx="70">
                  <c:v>2.6729690445922683</c:v>
                </c:pt>
              </c:numCache>
            </c:numRef>
          </c:val>
        </c:ser>
        <c:ser>
          <c:idx val="1"/>
          <c:order val="1"/>
          <c:tx>
            <c:strRef>
              <c:f>Seasonal!$A$114</c:f>
              <c:strCache>
                <c:ptCount val="1"/>
                <c:pt idx="0">
                  <c:v>Wholesale &amp; retail trade; hotels &amp; restaurants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Seasonal!$F$114:$BX$114</c:f>
              <c:numCache>
                <c:formatCode>#,##0.00</c:formatCode>
                <c:ptCount val="71"/>
                <c:pt idx="0">
                  <c:v>4.0136291623092708</c:v>
                </c:pt>
                <c:pt idx="1">
                  <c:v>2.685497862181867</c:v>
                </c:pt>
                <c:pt idx="2">
                  <c:v>1.4196205024547073</c:v>
                </c:pt>
                <c:pt idx="3">
                  <c:v>0.96694213184586664</c:v>
                </c:pt>
                <c:pt idx="4">
                  <c:v>3.0153909422570084</c:v>
                </c:pt>
                <c:pt idx="5">
                  <c:v>1.7069189559284974</c:v>
                </c:pt>
                <c:pt idx="6">
                  <c:v>0.26192355797885158</c:v>
                </c:pt>
                <c:pt idx="7">
                  <c:v>-2.6871429029622513</c:v>
                </c:pt>
                <c:pt idx="8">
                  <c:v>-1.2127399806832351</c:v>
                </c:pt>
                <c:pt idx="9">
                  <c:v>0.28663841990180755</c:v>
                </c:pt>
                <c:pt idx="10">
                  <c:v>1.2730978815884761</c:v>
                </c:pt>
                <c:pt idx="11">
                  <c:v>3.2515896356970253</c:v>
                </c:pt>
                <c:pt idx="12">
                  <c:v>4.2131160203339251</c:v>
                </c:pt>
                <c:pt idx="13">
                  <c:v>5.7284114799258568</c:v>
                </c:pt>
                <c:pt idx="14">
                  <c:v>8.0563146838060629</c:v>
                </c:pt>
                <c:pt idx="15">
                  <c:v>10.573637514085746</c:v>
                </c:pt>
                <c:pt idx="16">
                  <c:v>9.7718946815869447</c:v>
                </c:pt>
                <c:pt idx="17">
                  <c:v>9.3166382025822649</c:v>
                </c:pt>
                <c:pt idx="18">
                  <c:v>7.9382811473948598</c:v>
                </c:pt>
                <c:pt idx="19">
                  <c:v>6.1001255865009494</c:v>
                </c:pt>
                <c:pt idx="20">
                  <c:v>10.082996016803632</c:v>
                </c:pt>
                <c:pt idx="21">
                  <c:v>8.146371497449767</c:v>
                </c:pt>
                <c:pt idx="22">
                  <c:v>6.7499890111763774</c:v>
                </c:pt>
                <c:pt idx="23">
                  <c:v>6.3524642234359527</c:v>
                </c:pt>
                <c:pt idx="24">
                  <c:v>1.2354007116908732</c:v>
                </c:pt>
                <c:pt idx="25">
                  <c:v>1.9662010319877583</c:v>
                </c:pt>
                <c:pt idx="26">
                  <c:v>2.5878457747386117</c:v>
                </c:pt>
                <c:pt idx="27">
                  <c:v>4.0040252715973379</c:v>
                </c:pt>
                <c:pt idx="28">
                  <c:v>4.0211684117109057</c:v>
                </c:pt>
                <c:pt idx="29">
                  <c:v>3.599621989435335</c:v>
                </c:pt>
                <c:pt idx="30">
                  <c:v>3.6695578004221705</c:v>
                </c:pt>
                <c:pt idx="31">
                  <c:v>2.6063064330072709</c:v>
                </c:pt>
                <c:pt idx="32">
                  <c:v>3.0850454172153463</c:v>
                </c:pt>
                <c:pt idx="33">
                  <c:v>4.5856710293690606</c:v>
                </c:pt>
                <c:pt idx="34">
                  <c:v>6.0583869510367743</c:v>
                </c:pt>
                <c:pt idx="35">
                  <c:v>7.9721454973216446</c:v>
                </c:pt>
                <c:pt idx="36">
                  <c:v>7.2239758799569964</c:v>
                </c:pt>
                <c:pt idx="37">
                  <c:v>6.8397817285066385</c:v>
                </c:pt>
                <c:pt idx="38">
                  <c:v>6.1561506917647018</c:v>
                </c:pt>
                <c:pt idx="39">
                  <c:v>5.7060603229828901</c:v>
                </c:pt>
                <c:pt idx="40">
                  <c:v>6.5787327601946028</c:v>
                </c:pt>
                <c:pt idx="41">
                  <c:v>6.5350432224735453</c:v>
                </c:pt>
                <c:pt idx="42">
                  <c:v>6.5455940329013043</c:v>
                </c:pt>
                <c:pt idx="43">
                  <c:v>5.9672217762582065</c:v>
                </c:pt>
                <c:pt idx="44">
                  <c:v>6.0720662293671692</c:v>
                </c:pt>
                <c:pt idx="45">
                  <c:v>5.7986440135947355</c:v>
                </c:pt>
                <c:pt idx="46">
                  <c:v>5.493746540355942</c:v>
                </c:pt>
                <c:pt idx="47">
                  <c:v>5.0287196348962366</c:v>
                </c:pt>
                <c:pt idx="48">
                  <c:v>4.2966010098456087</c:v>
                </c:pt>
                <c:pt idx="49">
                  <c:v>2.1076863716947578</c:v>
                </c:pt>
                <c:pt idx="50">
                  <c:v>-0.5034603857564226</c:v>
                </c:pt>
                <c:pt idx="51">
                  <c:v>-1.5554950560598846</c:v>
                </c:pt>
                <c:pt idx="52">
                  <c:v>-1.3198424806811846</c:v>
                </c:pt>
                <c:pt idx="53">
                  <c:v>-0.91210405615954859</c:v>
                </c:pt>
                <c:pt idx="54">
                  <c:v>0.97852935654023487</c:v>
                </c:pt>
                <c:pt idx="55">
                  <c:v>1.5564766694935526</c:v>
                </c:pt>
                <c:pt idx="56">
                  <c:v>1.9320489067954967</c:v>
                </c:pt>
                <c:pt idx="57">
                  <c:v>4.1710000074744205</c:v>
                </c:pt>
                <c:pt idx="58">
                  <c:v>4.892312083561694</c:v>
                </c:pt>
                <c:pt idx="59">
                  <c:v>5.6774026637919333</c:v>
                </c:pt>
                <c:pt idx="60">
                  <c:v>5.3335194280660492</c:v>
                </c:pt>
                <c:pt idx="61">
                  <c:v>4.8700712494418488</c:v>
                </c:pt>
                <c:pt idx="62">
                  <c:v>5.0850556734364494</c:v>
                </c:pt>
                <c:pt idx="63">
                  <c:v>5.060334656120502</c:v>
                </c:pt>
                <c:pt idx="64">
                  <c:v>4.7594131973973628</c:v>
                </c:pt>
                <c:pt idx="65">
                  <c:v>4.2289877502779643</c:v>
                </c:pt>
                <c:pt idx="66">
                  <c:v>3.3923811042389049</c:v>
                </c:pt>
                <c:pt idx="67">
                  <c:v>2.6174256125214654</c:v>
                </c:pt>
                <c:pt idx="68">
                  <c:v>2.8691638058331281</c:v>
                </c:pt>
                <c:pt idx="69">
                  <c:v>2.9057439385302084</c:v>
                </c:pt>
                <c:pt idx="70">
                  <c:v>2.702014719681987</c:v>
                </c:pt>
              </c:numCache>
            </c:numRef>
          </c:val>
        </c:ser>
        <c:marker val="1"/>
        <c:axId val="221238016"/>
        <c:axId val="221239552"/>
      </c:lineChart>
      <c:catAx>
        <c:axId val="221238016"/>
        <c:scaling>
          <c:orientation val="minMax"/>
        </c:scaling>
        <c:axPos val="b"/>
        <c:numFmt formatCode="#,##0.00" sourceLinked="0"/>
        <c:majorTickMark val="none"/>
        <c:tickLblPos val="nextTo"/>
        <c:spPr>
          <a:noFill/>
        </c:spPr>
        <c:txPr>
          <a:bodyPr rot="5400000" vert="horz"/>
          <a:lstStyle/>
          <a:p>
            <a:pPr>
              <a:defRPr lang="en-ZA"/>
            </a:pPr>
            <a:endParaRPr lang="en-US"/>
          </a:p>
        </c:txPr>
        <c:crossAx val="221239552"/>
        <c:crosses val="autoZero"/>
        <c:auto val="1"/>
        <c:lblAlgn val="ctr"/>
        <c:lblOffset val="100"/>
        <c:tickMarkSkip val="4"/>
      </c:catAx>
      <c:valAx>
        <c:axId val="221239552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2380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24532762095618"/>
          <c:y val="3.1718216197453276E-2"/>
          <c:w val="0.25112578197920687"/>
          <c:h val="0.18563677220161862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8148440329646882E-2"/>
          <c:y val="2.2587031907233542E-2"/>
          <c:w val="0.93490764032567764"/>
          <c:h val="0.95482593618554912"/>
        </c:manualLayout>
      </c:layout>
      <c:lineChart>
        <c:grouping val="standard"/>
        <c:ser>
          <c:idx val="0"/>
          <c:order val="0"/>
          <c:tx>
            <c:strRef>
              <c:f>Quarterly!$A$115</c:f>
              <c:strCache>
                <c:ptCount val="1"/>
                <c:pt idx="0">
                  <c:v>Transport , storage and communication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Quarterly!$F$115:$BX$115</c:f>
              <c:numCache>
                <c:formatCode>#,##0.00</c:formatCode>
                <c:ptCount val="71"/>
                <c:pt idx="0">
                  <c:v>6.1365244265127261</c:v>
                </c:pt>
                <c:pt idx="1">
                  <c:v>5.4093151521854104</c:v>
                </c:pt>
                <c:pt idx="2">
                  <c:v>4.0594575873885193</c:v>
                </c:pt>
                <c:pt idx="3">
                  <c:v>2.5059853229249334</c:v>
                </c:pt>
                <c:pt idx="4">
                  <c:v>3.9083479618313488</c:v>
                </c:pt>
                <c:pt idx="5">
                  <c:v>5.3596147921565382</c:v>
                </c:pt>
                <c:pt idx="6">
                  <c:v>5.4370818989741529</c:v>
                </c:pt>
                <c:pt idx="7">
                  <c:v>7.4129790870032481</c:v>
                </c:pt>
                <c:pt idx="8">
                  <c:v>7.054955392338333</c:v>
                </c:pt>
                <c:pt idx="9">
                  <c:v>6.4882522960718507</c:v>
                </c:pt>
                <c:pt idx="10">
                  <c:v>3.1200224749507122</c:v>
                </c:pt>
                <c:pt idx="11">
                  <c:v>1.8288047278895856</c:v>
                </c:pt>
                <c:pt idx="12">
                  <c:v>0.63907572887628972</c:v>
                </c:pt>
                <c:pt idx="13">
                  <c:v>2.5170426020876806</c:v>
                </c:pt>
                <c:pt idx="14">
                  <c:v>4.8428426916572684</c:v>
                </c:pt>
                <c:pt idx="15">
                  <c:v>6.0328633463260779</c:v>
                </c:pt>
                <c:pt idx="16">
                  <c:v>6.9897054013890072</c:v>
                </c:pt>
                <c:pt idx="17">
                  <c:v>7.2820297183702305</c:v>
                </c:pt>
                <c:pt idx="18">
                  <c:v>6.3454966074229846</c:v>
                </c:pt>
                <c:pt idx="19">
                  <c:v>5.3136541218741886</c:v>
                </c:pt>
                <c:pt idx="20">
                  <c:v>4.0498267028344248</c:v>
                </c:pt>
                <c:pt idx="21">
                  <c:v>3.3844987940956228</c:v>
                </c:pt>
                <c:pt idx="22">
                  <c:v>3.9328756733850003</c:v>
                </c:pt>
                <c:pt idx="23">
                  <c:v>5.8059901234013696</c:v>
                </c:pt>
                <c:pt idx="24">
                  <c:v>9.2199333934702814</c:v>
                </c:pt>
                <c:pt idx="25">
                  <c:v>10.059101314364604</c:v>
                </c:pt>
                <c:pt idx="26">
                  <c:v>9.5332715879357011</c:v>
                </c:pt>
                <c:pt idx="27">
                  <c:v>8.657388473449009</c:v>
                </c:pt>
                <c:pt idx="28">
                  <c:v>7.952572592505744</c:v>
                </c:pt>
                <c:pt idx="29">
                  <c:v>7.1855115331696275</c:v>
                </c:pt>
                <c:pt idx="30">
                  <c:v>6.0752229681467602</c:v>
                </c:pt>
                <c:pt idx="31">
                  <c:v>6.8335055372849123</c:v>
                </c:pt>
                <c:pt idx="32">
                  <c:v>3.7424551683161349</c:v>
                </c:pt>
                <c:pt idx="33">
                  <c:v>3.9052166307752154</c:v>
                </c:pt>
                <c:pt idx="34">
                  <c:v>5.4574998914794222</c:v>
                </c:pt>
                <c:pt idx="35">
                  <c:v>4.7395992962035551</c:v>
                </c:pt>
                <c:pt idx="36">
                  <c:v>6.2960580852537777</c:v>
                </c:pt>
                <c:pt idx="37">
                  <c:v>6.3121884530074324</c:v>
                </c:pt>
                <c:pt idx="38">
                  <c:v>5.6960864250163077</c:v>
                </c:pt>
                <c:pt idx="39">
                  <c:v>5.4173726414226406</c:v>
                </c:pt>
                <c:pt idx="40">
                  <c:v>4.6904091931188363</c:v>
                </c:pt>
                <c:pt idx="41">
                  <c:v>5.0029689286822414</c:v>
                </c:pt>
                <c:pt idx="42">
                  <c:v>5.9778782640652093</c:v>
                </c:pt>
                <c:pt idx="43">
                  <c:v>5.0890678058022063</c:v>
                </c:pt>
                <c:pt idx="44">
                  <c:v>7.789069731742809</c:v>
                </c:pt>
                <c:pt idx="45">
                  <c:v>7.5847042737227142</c:v>
                </c:pt>
                <c:pt idx="46">
                  <c:v>6.3779103632161451</c:v>
                </c:pt>
                <c:pt idx="47">
                  <c:v>6.8566130295662591</c:v>
                </c:pt>
                <c:pt idx="48">
                  <c:v>4.5534536919994837</c:v>
                </c:pt>
                <c:pt idx="49">
                  <c:v>4.2557980209536144</c:v>
                </c:pt>
                <c:pt idx="50">
                  <c:v>4.0586727651082475</c:v>
                </c:pt>
                <c:pt idx="51">
                  <c:v>3.918527936299669</c:v>
                </c:pt>
                <c:pt idx="52">
                  <c:v>2.907549298850034</c:v>
                </c:pt>
                <c:pt idx="53">
                  <c:v>1.4454202642675704</c:v>
                </c:pt>
                <c:pt idx="54">
                  <c:v>1.0329820782512531</c:v>
                </c:pt>
                <c:pt idx="55">
                  <c:v>1.0651232537599846</c:v>
                </c:pt>
                <c:pt idx="56">
                  <c:v>1.2963694781677608</c:v>
                </c:pt>
                <c:pt idx="57">
                  <c:v>2.6795055929031584</c:v>
                </c:pt>
                <c:pt idx="58">
                  <c:v>3.2111505177871527</c:v>
                </c:pt>
                <c:pt idx="59">
                  <c:v>3.4414421553052197</c:v>
                </c:pt>
                <c:pt idx="60">
                  <c:v>2.8049445364941539</c:v>
                </c:pt>
                <c:pt idx="61">
                  <c:v>3.0614312022736003</c:v>
                </c:pt>
                <c:pt idx="62">
                  <c:v>2.7685969515968254</c:v>
                </c:pt>
                <c:pt idx="63">
                  <c:v>2.9724342522987879</c:v>
                </c:pt>
                <c:pt idx="64">
                  <c:v>3.1258491836356157</c:v>
                </c:pt>
                <c:pt idx="65">
                  <c:v>2.8051031505288293</c:v>
                </c:pt>
                <c:pt idx="66">
                  <c:v>2.3321383648105907</c:v>
                </c:pt>
                <c:pt idx="67">
                  <c:v>2.0440817639597681</c:v>
                </c:pt>
                <c:pt idx="68">
                  <c:v>1.6274114598804468</c:v>
                </c:pt>
                <c:pt idx="69">
                  <c:v>1.5571842223996692</c:v>
                </c:pt>
                <c:pt idx="70">
                  <c:v>1.8561460518403146</c:v>
                </c:pt>
              </c:numCache>
            </c:numRef>
          </c:val>
        </c:ser>
        <c:ser>
          <c:idx val="1"/>
          <c:order val="1"/>
          <c:tx>
            <c:strRef>
              <c:f>Seasonal!$A$115</c:f>
              <c:strCache>
                <c:ptCount val="1"/>
                <c:pt idx="0">
                  <c:v>Transport , storage and communication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Seasonal!$F$115:$BX$115</c:f>
              <c:numCache>
                <c:formatCode>#,##0.00</c:formatCode>
                <c:ptCount val="71"/>
                <c:pt idx="0">
                  <c:v>6.4226933786107026</c:v>
                </c:pt>
                <c:pt idx="1">
                  <c:v>5.0032108411928871</c:v>
                </c:pt>
                <c:pt idx="2">
                  <c:v>4.0650422339725027</c:v>
                </c:pt>
                <c:pt idx="3">
                  <c:v>2.5300567073849209</c:v>
                </c:pt>
                <c:pt idx="4">
                  <c:v>4.1697344131497829</c:v>
                </c:pt>
                <c:pt idx="5">
                  <c:v>4.9432222409855795</c:v>
                </c:pt>
                <c:pt idx="6">
                  <c:v>5.63510007524118</c:v>
                </c:pt>
                <c:pt idx="7">
                  <c:v>7.4305457255782263</c:v>
                </c:pt>
                <c:pt idx="8">
                  <c:v>7.3450960648329673</c:v>
                </c:pt>
                <c:pt idx="9">
                  <c:v>6.0270761020216712</c:v>
                </c:pt>
                <c:pt idx="10">
                  <c:v>3.1993070243544288</c:v>
                </c:pt>
                <c:pt idx="11">
                  <c:v>1.7591280937842531</c:v>
                </c:pt>
                <c:pt idx="12">
                  <c:v>0.85957928668972094</c:v>
                </c:pt>
                <c:pt idx="13">
                  <c:v>2.2848333341154095</c:v>
                </c:pt>
                <c:pt idx="14">
                  <c:v>4.9849755483042637</c:v>
                </c:pt>
                <c:pt idx="15">
                  <c:v>6.0505614449827672</c:v>
                </c:pt>
                <c:pt idx="16">
                  <c:v>7.1337443515158983</c:v>
                </c:pt>
                <c:pt idx="17">
                  <c:v>7.1020641285487685</c:v>
                </c:pt>
                <c:pt idx="18">
                  <c:v>6.3854929702743535</c:v>
                </c:pt>
                <c:pt idx="19">
                  <c:v>5.2621610187397234</c:v>
                </c:pt>
                <c:pt idx="20">
                  <c:v>4.0943794160606304</c:v>
                </c:pt>
                <c:pt idx="21">
                  <c:v>3.3589718440367546</c:v>
                </c:pt>
                <c:pt idx="22">
                  <c:v>4.0177237373764694</c:v>
                </c:pt>
                <c:pt idx="23">
                  <c:v>5.7501374333342241</c:v>
                </c:pt>
                <c:pt idx="24">
                  <c:v>9.2162041894395443</c:v>
                </c:pt>
                <c:pt idx="25">
                  <c:v>10.052761303528564</c:v>
                </c:pt>
                <c:pt idx="26">
                  <c:v>9.6128183781196554</c:v>
                </c:pt>
                <c:pt idx="27">
                  <c:v>8.5682839775900526</c:v>
                </c:pt>
                <c:pt idx="28">
                  <c:v>8.1990943302393937</c:v>
                </c:pt>
                <c:pt idx="29">
                  <c:v>7.0067729360710178</c:v>
                </c:pt>
                <c:pt idx="30">
                  <c:v>6.3205291550184093</c:v>
                </c:pt>
                <c:pt idx="31">
                  <c:v>6.4926190764688672</c:v>
                </c:pt>
                <c:pt idx="32">
                  <c:v>4.550057066926823</c:v>
                </c:pt>
                <c:pt idx="33">
                  <c:v>4.3586304746224958</c:v>
                </c:pt>
                <c:pt idx="34">
                  <c:v>4.7151436517591891</c:v>
                </c:pt>
                <c:pt idx="35">
                  <c:v>4.2952317624871839</c:v>
                </c:pt>
                <c:pt idx="36">
                  <c:v>5.5536078909247504</c:v>
                </c:pt>
                <c:pt idx="37">
                  <c:v>6.0790905333392109</c:v>
                </c:pt>
                <c:pt idx="38">
                  <c:v>6.0254600974815276</c:v>
                </c:pt>
                <c:pt idx="39">
                  <c:v>5.9968997489760705</c:v>
                </c:pt>
                <c:pt idx="40">
                  <c:v>5.7128944874644647</c:v>
                </c:pt>
                <c:pt idx="41">
                  <c:v>5.4803135279833919</c:v>
                </c:pt>
                <c:pt idx="42">
                  <c:v>5.0978531511597032</c:v>
                </c:pt>
                <c:pt idx="43">
                  <c:v>4.5362915550193348</c:v>
                </c:pt>
                <c:pt idx="44">
                  <c:v>5.8775767150058709</c:v>
                </c:pt>
                <c:pt idx="45">
                  <c:v>7.0495757390445721</c:v>
                </c:pt>
                <c:pt idx="46">
                  <c:v>7.5954061681155052</c:v>
                </c:pt>
                <c:pt idx="47">
                  <c:v>7.9719545505857763</c:v>
                </c:pt>
                <c:pt idx="48">
                  <c:v>5.9688732678998937</c:v>
                </c:pt>
                <c:pt idx="49">
                  <c:v>4.3135880093555468</c:v>
                </c:pt>
                <c:pt idx="50">
                  <c:v>3.6124125632166209</c:v>
                </c:pt>
                <c:pt idx="51">
                  <c:v>2.9426806257938076</c:v>
                </c:pt>
                <c:pt idx="52">
                  <c:v>2.3093995953587592</c:v>
                </c:pt>
                <c:pt idx="53">
                  <c:v>1.431769295856252</c:v>
                </c:pt>
                <c:pt idx="54">
                  <c:v>1.1860935376720803</c:v>
                </c:pt>
                <c:pt idx="55">
                  <c:v>1.4525317334743884</c:v>
                </c:pt>
                <c:pt idx="56">
                  <c:v>2.0614415740570546</c:v>
                </c:pt>
                <c:pt idx="57">
                  <c:v>2.8826044278857799</c:v>
                </c:pt>
                <c:pt idx="58">
                  <c:v>2.8824571410061028</c:v>
                </c:pt>
                <c:pt idx="59">
                  <c:v>2.8704668978472609</c:v>
                </c:pt>
                <c:pt idx="60">
                  <c:v>2.7237937640372762</c:v>
                </c:pt>
                <c:pt idx="61">
                  <c:v>3.0211847179666282</c:v>
                </c:pt>
                <c:pt idx="62">
                  <c:v>2.9445289698658783</c:v>
                </c:pt>
                <c:pt idx="63">
                  <c:v>2.9164563500205598</c:v>
                </c:pt>
                <c:pt idx="64">
                  <c:v>3.0030936270175497</c:v>
                </c:pt>
                <c:pt idx="65">
                  <c:v>2.5842053476916194</c:v>
                </c:pt>
                <c:pt idx="66">
                  <c:v>2.4202045868540703</c:v>
                </c:pt>
                <c:pt idx="67">
                  <c:v>2.2538105933232822</c:v>
                </c:pt>
                <c:pt idx="68">
                  <c:v>1.7563001249236567</c:v>
                </c:pt>
                <c:pt idx="69">
                  <c:v>1.5359020568144295</c:v>
                </c:pt>
                <c:pt idx="70">
                  <c:v>1.8426075718023813</c:v>
                </c:pt>
              </c:numCache>
            </c:numRef>
          </c:val>
        </c:ser>
        <c:marker val="1"/>
        <c:axId val="221264128"/>
        <c:axId val="221265920"/>
      </c:lineChart>
      <c:catAx>
        <c:axId val="221264128"/>
        <c:scaling>
          <c:orientation val="minMax"/>
        </c:scaling>
        <c:axPos val="b"/>
        <c:numFmt formatCode="#,##0.00" sourceLinked="0"/>
        <c:majorTickMark val="none"/>
        <c:tickLblPos val="nextTo"/>
        <c:spPr>
          <a:noFill/>
        </c:spPr>
        <c:txPr>
          <a:bodyPr rot="5400000" vert="horz"/>
          <a:lstStyle/>
          <a:p>
            <a:pPr>
              <a:defRPr lang="en-ZA"/>
            </a:pPr>
            <a:endParaRPr lang="en-US"/>
          </a:p>
        </c:txPr>
        <c:crossAx val="221265920"/>
        <c:crosses val="autoZero"/>
        <c:auto val="1"/>
        <c:lblAlgn val="ctr"/>
        <c:lblOffset val="100"/>
        <c:tickMarkSkip val="4"/>
      </c:catAx>
      <c:valAx>
        <c:axId val="221265920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264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24532762095618"/>
          <c:y val="3.1718216197453276E-2"/>
          <c:w val="0.25112578197920687"/>
          <c:h val="0.18563677220161862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8148440329646882E-2"/>
          <c:y val="2.2587031907233542E-2"/>
          <c:w val="0.93490764032567764"/>
          <c:h val="0.95482593618554956"/>
        </c:manualLayout>
      </c:layout>
      <c:lineChart>
        <c:grouping val="standard"/>
        <c:ser>
          <c:idx val="0"/>
          <c:order val="0"/>
          <c:tx>
            <c:strRef>
              <c:f>Quarterly!$A$116</c:f>
              <c:strCache>
                <c:ptCount val="1"/>
                <c:pt idx="0">
                  <c:v>Finance, real estate and business services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Quarterly!$F$116:$BX$116</c:f>
              <c:numCache>
                <c:formatCode>#,##0.00</c:formatCode>
                <c:ptCount val="71"/>
                <c:pt idx="0">
                  <c:v>4.4503391616144761</c:v>
                </c:pt>
                <c:pt idx="1">
                  <c:v>6.7155723239459215</c:v>
                </c:pt>
                <c:pt idx="2">
                  <c:v>7.4292460932064177</c:v>
                </c:pt>
                <c:pt idx="3">
                  <c:v>8.6625349920680623</c:v>
                </c:pt>
                <c:pt idx="4">
                  <c:v>7.8233350324649065</c:v>
                </c:pt>
                <c:pt idx="5">
                  <c:v>6.18762077971056</c:v>
                </c:pt>
                <c:pt idx="6">
                  <c:v>3.057894681725227</c:v>
                </c:pt>
                <c:pt idx="7">
                  <c:v>0.29981756250740005</c:v>
                </c:pt>
                <c:pt idx="8">
                  <c:v>0.99973069833789086</c:v>
                </c:pt>
                <c:pt idx="9">
                  <c:v>2.2427507789245453</c:v>
                </c:pt>
                <c:pt idx="10">
                  <c:v>3.1019385160432926</c:v>
                </c:pt>
                <c:pt idx="11">
                  <c:v>3.3311300034864759</c:v>
                </c:pt>
                <c:pt idx="12">
                  <c:v>6.1584965650845716</c:v>
                </c:pt>
                <c:pt idx="13">
                  <c:v>5.7162152295974593</c:v>
                </c:pt>
                <c:pt idx="14">
                  <c:v>5.9887604928816254</c:v>
                </c:pt>
                <c:pt idx="15">
                  <c:v>6.4589962347233758</c:v>
                </c:pt>
                <c:pt idx="16">
                  <c:v>1.5972336007954804</c:v>
                </c:pt>
                <c:pt idx="17">
                  <c:v>0.71238617675178184</c:v>
                </c:pt>
                <c:pt idx="18">
                  <c:v>0.74011089932441876</c:v>
                </c:pt>
                <c:pt idx="19">
                  <c:v>1.7280313919603045</c:v>
                </c:pt>
                <c:pt idx="20">
                  <c:v>3.8724624517194086</c:v>
                </c:pt>
                <c:pt idx="21">
                  <c:v>5.7054739144521358</c:v>
                </c:pt>
                <c:pt idx="22">
                  <c:v>6.3799485168017656</c:v>
                </c:pt>
                <c:pt idx="23">
                  <c:v>6.766612869404538</c:v>
                </c:pt>
                <c:pt idx="24">
                  <c:v>9.6896189823581622</c:v>
                </c:pt>
                <c:pt idx="25">
                  <c:v>5.8897788605702193</c:v>
                </c:pt>
                <c:pt idx="26">
                  <c:v>2.9428780464741155</c:v>
                </c:pt>
                <c:pt idx="27">
                  <c:v>2.0310023361800198</c:v>
                </c:pt>
                <c:pt idx="28">
                  <c:v>5.2925721376564132</c:v>
                </c:pt>
                <c:pt idx="29">
                  <c:v>4.9624465949390109</c:v>
                </c:pt>
                <c:pt idx="30">
                  <c:v>5.9541740413181099</c:v>
                </c:pt>
                <c:pt idx="31">
                  <c:v>6.1480366165251388</c:v>
                </c:pt>
                <c:pt idx="32">
                  <c:v>6.4091833351364187</c:v>
                </c:pt>
                <c:pt idx="33">
                  <c:v>7.1585941146663483</c:v>
                </c:pt>
                <c:pt idx="34">
                  <c:v>7.2343356402894967</c:v>
                </c:pt>
                <c:pt idx="35">
                  <c:v>8.0873541481820386</c:v>
                </c:pt>
                <c:pt idx="36">
                  <c:v>10.506177294743672</c:v>
                </c:pt>
                <c:pt idx="37">
                  <c:v>10.537326490197731</c:v>
                </c:pt>
                <c:pt idx="38">
                  <c:v>10.957689965791062</c:v>
                </c:pt>
                <c:pt idx="39">
                  <c:v>10.307921202691391</c:v>
                </c:pt>
                <c:pt idx="40">
                  <c:v>6.4590114101573377</c:v>
                </c:pt>
                <c:pt idx="41">
                  <c:v>7.558166430945759</c:v>
                </c:pt>
                <c:pt idx="42">
                  <c:v>8.0741487362154452</c:v>
                </c:pt>
                <c:pt idx="43">
                  <c:v>8.6577398152214684</c:v>
                </c:pt>
                <c:pt idx="44">
                  <c:v>8.446201338299316</c:v>
                </c:pt>
                <c:pt idx="45">
                  <c:v>6.6945500443325532</c:v>
                </c:pt>
                <c:pt idx="46">
                  <c:v>7.0319082462863269</c:v>
                </c:pt>
                <c:pt idx="47">
                  <c:v>8.8477715014265748</c:v>
                </c:pt>
                <c:pt idx="48">
                  <c:v>6.3747942333775027</c:v>
                </c:pt>
                <c:pt idx="49">
                  <c:v>8.3339514169266806</c:v>
                </c:pt>
                <c:pt idx="50">
                  <c:v>8.0502550313062908</c:v>
                </c:pt>
                <c:pt idx="51">
                  <c:v>6.8058868338502272</c:v>
                </c:pt>
                <c:pt idx="52">
                  <c:v>3.6261466663996682</c:v>
                </c:pt>
                <c:pt idx="53">
                  <c:v>2.1140623814474493</c:v>
                </c:pt>
                <c:pt idx="54">
                  <c:v>0.75848213047382751</c:v>
                </c:pt>
                <c:pt idx="55">
                  <c:v>8.7570458869760059E-2</c:v>
                </c:pt>
                <c:pt idx="56">
                  <c:v>1.7188395795841644</c:v>
                </c:pt>
                <c:pt idx="57">
                  <c:v>2.5091337985325515</c:v>
                </c:pt>
                <c:pt idx="58">
                  <c:v>2.7543883400783993</c:v>
                </c:pt>
                <c:pt idx="59">
                  <c:v>2.7917813527435484</c:v>
                </c:pt>
                <c:pt idx="60">
                  <c:v>4.1663119820529486</c:v>
                </c:pt>
                <c:pt idx="61">
                  <c:v>4.278042256945171</c:v>
                </c:pt>
                <c:pt idx="62">
                  <c:v>5.1739423298241682</c:v>
                </c:pt>
                <c:pt idx="63">
                  <c:v>5.6106287410999256</c:v>
                </c:pt>
                <c:pt idx="64">
                  <c:v>5.1655888589434884</c:v>
                </c:pt>
                <c:pt idx="65">
                  <c:v>3.8874952061870358</c:v>
                </c:pt>
                <c:pt idx="66">
                  <c:v>2.3742255819614995</c:v>
                </c:pt>
                <c:pt idx="67">
                  <c:v>2.0202956367958267</c:v>
                </c:pt>
                <c:pt idx="68">
                  <c:v>1.7411266803632177</c:v>
                </c:pt>
                <c:pt idx="69">
                  <c:v>3.6730703950917731</c:v>
                </c:pt>
                <c:pt idx="70">
                  <c:v>3.4304742406143367</c:v>
                </c:pt>
              </c:numCache>
            </c:numRef>
          </c:val>
        </c:ser>
        <c:ser>
          <c:idx val="1"/>
          <c:order val="1"/>
          <c:tx>
            <c:strRef>
              <c:f>Seasonal!$A$116</c:f>
              <c:strCache>
                <c:ptCount val="1"/>
                <c:pt idx="0">
                  <c:v>Finance, real estate and business services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Seasonal!$F$116:$BX$116</c:f>
              <c:numCache>
                <c:formatCode>#,##0.00</c:formatCode>
                <c:ptCount val="71"/>
                <c:pt idx="0">
                  <c:v>4.1772510384525567</c:v>
                </c:pt>
                <c:pt idx="1">
                  <c:v>5.9920540567566487</c:v>
                </c:pt>
                <c:pt idx="2">
                  <c:v>7.6378897026715906</c:v>
                </c:pt>
                <c:pt idx="3">
                  <c:v>9.5149679572817938</c:v>
                </c:pt>
                <c:pt idx="4">
                  <c:v>7.2826547489898141</c:v>
                </c:pt>
                <c:pt idx="5">
                  <c:v>5.3677570345373127</c:v>
                </c:pt>
                <c:pt idx="6">
                  <c:v>3.2301139440960664</c:v>
                </c:pt>
                <c:pt idx="7">
                  <c:v>1.3120277921369705</c:v>
                </c:pt>
                <c:pt idx="8">
                  <c:v>1.6438879242184106</c:v>
                </c:pt>
                <c:pt idx="9">
                  <c:v>2.5219470449725745</c:v>
                </c:pt>
                <c:pt idx="10">
                  <c:v>2.9549893119993795</c:v>
                </c:pt>
                <c:pt idx="11">
                  <c:v>2.579728788582214</c:v>
                </c:pt>
                <c:pt idx="12">
                  <c:v>5.9623025584856144</c:v>
                </c:pt>
                <c:pt idx="13">
                  <c:v>5.6435210681497274</c:v>
                </c:pt>
                <c:pt idx="14">
                  <c:v>6.036961467767477</c:v>
                </c:pt>
                <c:pt idx="15">
                  <c:v>6.676618931499914</c:v>
                </c:pt>
                <c:pt idx="16">
                  <c:v>1.4219370041053967</c:v>
                </c:pt>
                <c:pt idx="17">
                  <c:v>0.69067800171667615</c:v>
                </c:pt>
                <c:pt idx="18">
                  <c:v>0.79126425415202928</c:v>
                </c:pt>
                <c:pt idx="19">
                  <c:v>1.8645807797332461</c:v>
                </c:pt>
                <c:pt idx="20">
                  <c:v>3.7679010116899905</c:v>
                </c:pt>
                <c:pt idx="21">
                  <c:v>5.7064645240746623</c:v>
                </c:pt>
                <c:pt idx="22">
                  <c:v>6.4996444517495355</c:v>
                </c:pt>
                <c:pt idx="23">
                  <c:v>6.7776767752468654</c:v>
                </c:pt>
                <c:pt idx="24">
                  <c:v>7.4933557425959281</c:v>
                </c:pt>
                <c:pt idx="25">
                  <c:v>6.5034973861008138</c:v>
                </c:pt>
                <c:pt idx="26">
                  <c:v>4.068593194814329</c:v>
                </c:pt>
                <c:pt idx="27">
                  <c:v>2.3352915123617661</c:v>
                </c:pt>
                <c:pt idx="28">
                  <c:v>4.4128545626193807</c:v>
                </c:pt>
                <c:pt idx="29">
                  <c:v>4.4622295029193211</c:v>
                </c:pt>
                <c:pt idx="30">
                  <c:v>6.4241769052081992</c:v>
                </c:pt>
                <c:pt idx="31">
                  <c:v>7.0481311952294305</c:v>
                </c:pt>
                <c:pt idx="32">
                  <c:v>6.8827913393657072</c:v>
                </c:pt>
                <c:pt idx="33">
                  <c:v>7.4880575795814623</c:v>
                </c:pt>
                <c:pt idx="34">
                  <c:v>6.9543339323778364</c:v>
                </c:pt>
                <c:pt idx="35">
                  <c:v>7.5664664707581375</c:v>
                </c:pt>
                <c:pt idx="36">
                  <c:v>10.353056097097625</c:v>
                </c:pt>
                <c:pt idx="37">
                  <c:v>10.331337121086309</c:v>
                </c:pt>
                <c:pt idx="38">
                  <c:v>11.236545984329998</c:v>
                </c:pt>
                <c:pt idx="39">
                  <c:v>10.377166622014977</c:v>
                </c:pt>
                <c:pt idx="40">
                  <c:v>6.5727691610843824</c:v>
                </c:pt>
                <c:pt idx="41">
                  <c:v>7.2871246722671579</c:v>
                </c:pt>
                <c:pt idx="42">
                  <c:v>8.0020954575772869</c:v>
                </c:pt>
                <c:pt idx="43">
                  <c:v>8.8603252819357099</c:v>
                </c:pt>
                <c:pt idx="44">
                  <c:v>8.5822353162267646</c:v>
                </c:pt>
                <c:pt idx="45">
                  <c:v>7.1317326407567867</c:v>
                </c:pt>
                <c:pt idx="46">
                  <c:v>7.293779830085394</c:v>
                </c:pt>
                <c:pt idx="47">
                  <c:v>8.0532929633085288</c:v>
                </c:pt>
                <c:pt idx="48">
                  <c:v>8.5435551242149366</c:v>
                </c:pt>
                <c:pt idx="49">
                  <c:v>7.8029997513996294</c:v>
                </c:pt>
                <c:pt idx="50">
                  <c:v>7.0100605065515245</c:v>
                </c:pt>
                <c:pt idx="51">
                  <c:v>6.2619381703266406</c:v>
                </c:pt>
                <c:pt idx="52">
                  <c:v>4.0455999526395221</c:v>
                </c:pt>
                <c:pt idx="53">
                  <c:v>2.3426684800839115</c:v>
                </c:pt>
                <c:pt idx="54">
                  <c:v>0.57963157038482915</c:v>
                </c:pt>
                <c:pt idx="55">
                  <c:v>-0.38367962132174283</c:v>
                </c:pt>
                <c:pt idx="56">
                  <c:v>0.64086633053438202</c:v>
                </c:pt>
                <c:pt idx="57">
                  <c:v>2.740988333180463</c:v>
                </c:pt>
                <c:pt idx="58">
                  <c:v>3.0837896213131688</c:v>
                </c:pt>
                <c:pt idx="59">
                  <c:v>3.3288317955020879</c:v>
                </c:pt>
                <c:pt idx="60">
                  <c:v>3.9780150758941106</c:v>
                </c:pt>
                <c:pt idx="61">
                  <c:v>4.2276221793417843</c:v>
                </c:pt>
                <c:pt idx="62">
                  <c:v>5.2768854753911674</c:v>
                </c:pt>
                <c:pt idx="63">
                  <c:v>5.7489759252521697</c:v>
                </c:pt>
                <c:pt idx="64">
                  <c:v>4.6862723314753243</c:v>
                </c:pt>
                <c:pt idx="65">
                  <c:v>3.9568898940332677</c:v>
                </c:pt>
                <c:pt idx="66">
                  <c:v>2.7088561864885641</c:v>
                </c:pt>
                <c:pt idx="67">
                  <c:v>2.0809285746426545</c:v>
                </c:pt>
                <c:pt idx="68">
                  <c:v>2.2476513833299694</c:v>
                </c:pt>
                <c:pt idx="69">
                  <c:v>2.6367555547936146</c:v>
                </c:pt>
                <c:pt idx="70">
                  <c:v>2.6447534534005102</c:v>
                </c:pt>
              </c:numCache>
            </c:numRef>
          </c:val>
        </c:ser>
        <c:marker val="1"/>
        <c:axId val="221299072"/>
        <c:axId val="221300608"/>
      </c:lineChart>
      <c:catAx>
        <c:axId val="221299072"/>
        <c:scaling>
          <c:orientation val="minMax"/>
        </c:scaling>
        <c:axPos val="b"/>
        <c:numFmt formatCode="#,##0.00" sourceLinked="0"/>
        <c:majorTickMark val="none"/>
        <c:tickLblPos val="nextTo"/>
        <c:spPr>
          <a:noFill/>
        </c:spPr>
        <c:txPr>
          <a:bodyPr rot="5400000" vert="horz"/>
          <a:lstStyle/>
          <a:p>
            <a:pPr>
              <a:defRPr lang="en-ZA"/>
            </a:pPr>
            <a:endParaRPr lang="en-US"/>
          </a:p>
        </c:txPr>
        <c:crossAx val="221300608"/>
        <c:crosses val="autoZero"/>
        <c:auto val="1"/>
        <c:lblAlgn val="ctr"/>
        <c:lblOffset val="100"/>
        <c:tickMarkSkip val="4"/>
      </c:catAx>
      <c:valAx>
        <c:axId val="221300608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2990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24532762095618"/>
          <c:y val="3.1718216197453276E-2"/>
          <c:w val="0.25112578197920687"/>
          <c:h val="0.18563677220161862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8148440329646882E-2"/>
          <c:y val="2.2587031907233542E-2"/>
          <c:w val="0.93490764032567764"/>
          <c:h val="0.95482593618555012"/>
        </c:manualLayout>
      </c:layout>
      <c:lineChart>
        <c:grouping val="standard"/>
        <c:ser>
          <c:idx val="0"/>
          <c:order val="0"/>
          <c:tx>
            <c:strRef>
              <c:f>Quarterly!$A$117</c:f>
              <c:strCache>
                <c:ptCount val="1"/>
                <c:pt idx="0">
                  <c:v>Personal services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Quarterly!$F$117:$BX$117</c:f>
              <c:numCache>
                <c:formatCode>#,##0.00</c:formatCode>
                <c:ptCount val="71"/>
                <c:pt idx="0">
                  <c:v>5.7107149816712255</c:v>
                </c:pt>
                <c:pt idx="1">
                  <c:v>2.3944458137241886</c:v>
                </c:pt>
                <c:pt idx="2">
                  <c:v>1.1317125655814271</c:v>
                </c:pt>
                <c:pt idx="3">
                  <c:v>1.2942028946259014</c:v>
                </c:pt>
                <c:pt idx="4">
                  <c:v>-0.98527388169989027</c:v>
                </c:pt>
                <c:pt idx="5">
                  <c:v>0.53633763663673784</c:v>
                </c:pt>
                <c:pt idx="6">
                  <c:v>0.83052009302648344</c:v>
                </c:pt>
                <c:pt idx="7">
                  <c:v>-0.78714990882831837</c:v>
                </c:pt>
                <c:pt idx="8">
                  <c:v>3.2114320661742051</c:v>
                </c:pt>
                <c:pt idx="9">
                  <c:v>5.0262510061923447</c:v>
                </c:pt>
                <c:pt idx="10">
                  <c:v>7.3312459151732599</c:v>
                </c:pt>
                <c:pt idx="11">
                  <c:v>9.2931704193819318</c:v>
                </c:pt>
                <c:pt idx="12">
                  <c:v>5.5713187504081132</c:v>
                </c:pt>
                <c:pt idx="13">
                  <c:v>3.8957793101812861</c:v>
                </c:pt>
                <c:pt idx="14">
                  <c:v>3.0292490233913885</c:v>
                </c:pt>
                <c:pt idx="15">
                  <c:v>2.4025506618787373</c:v>
                </c:pt>
                <c:pt idx="16">
                  <c:v>3.7538998279397808</c:v>
                </c:pt>
                <c:pt idx="17">
                  <c:v>4.2970256498508563</c:v>
                </c:pt>
                <c:pt idx="18">
                  <c:v>5.2418460797583597</c:v>
                </c:pt>
                <c:pt idx="19">
                  <c:v>5.4986543543819915</c:v>
                </c:pt>
                <c:pt idx="20">
                  <c:v>4.1176595396390177</c:v>
                </c:pt>
                <c:pt idx="21">
                  <c:v>2.7626677080576756</c:v>
                </c:pt>
                <c:pt idx="22">
                  <c:v>1.628728617991257</c:v>
                </c:pt>
                <c:pt idx="23">
                  <c:v>0.91205131747123591</c:v>
                </c:pt>
                <c:pt idx="24">
                  <c:v>1.1739041001626218</c:v>
                </c:pt>
                <c:pt idx="25">
                  <c:v>1.9205793430494802</c:v>
                </c:pt>
                <c:pt idx="26">
                  <c:v>2.7293066799139987</c:v>
                </c:pt>
                <c:pt idx="27">
                  <c:v>3.794433841701895</c:v>
                </c:pt>
                <c:pt idx="28">
                  <c:v>5.0984459195783431</c:v>
                </c:pt>
                <c:pt idx="29">
                  <c:v>6.2420279799208069</c:v>
                </c:pt>
                <c:pt idx="30">
                  <c:v>6.5210815108300793</c:v>
                </c:pt>
                <c:pt idx="31">
                  <c:v>4.4261591982750783</c:v>
                </c:pt>
                <c:pt idx="32">
                  <c:v>2.0331911280594697</c:v>
                </c:pt>
                <c:pt idx="33">
                  <c:v>1.7416390152440959</c:v>
                </c:pt>
                <c:pt idx="34">
                  <c:v>0.85977067666666473</c:v>
                </c:pt>
                <c:pt idx="35">
                  <c:v>2.4637234474969882</c:v>
                </c:pt>
                <c:pt idx="36">
                  <c:v>4.4937812934409704</c:v>
                </c:pt>
                <c:pt idx="37">
                  <c:v>3.4054871912289202</c:v>
                </c:pt>
                <c:pt idx="38">
                  <c:v>2.9270808960397487</c:v>
                </c:pt>
                <c:pt idx="39">
                  <c:v>2.7261075022548145</c:v>
                </c:pt>
                <c:pt idx="40">
                  <c:v>5.8564456707687986</c:v>
                </c:pt>
                <c:pt idx="41">
                  <c:v>5.4142151954999331</c:v>
                </c:pt>
                <c:pt idx="42">
                  <c:v>4.588399801868122</c:v>
                </c:pt>
                <c:pt idx="43">
                  <c:v>5.3795822828726214</c:v>
                </c:pt>
                <c:pt idx="44">
                  <c:v>6.4727979909873179</c:v>
                </c:pt>
                <c:pt idx="45">
                  <c:v>7.1313506061835588</c:v>
                </c:pt>
                <c:pt idx="46">
                  <c:v>6.1841084257332257</c:v>
                </c:pt>
                <c:pt idx="47">
                  <c:v>2.2815071151565802</c:v>
                </c:pt>
                <c:pt idx="48">
                  <c:v>4.124039497524377</c:v>
                </c:pt>
                <c:pt idx="49">
                  <c:v>4.5451169694921658</c:v>
                </c:pt>
                <c:pt idx="50">
                  <c:v>3.8785831920992759</c:v>
                </c:pt>
                <c:pt idx="51">
                  <c:v>2.4938135717948455</c:v>
                </c:pt>
                <c:pt idx="52">
                  <c:v>-0.66566500540352647</c:v>
                </c:pt>
                <c:pt idx="53">
                  <c:v>-1.4219320468266916</c:v>
                </c:pt>
                <c:pt idx="54">
                  <c:v>-0.68791959629093291</c:v>
                </c:pt>
                <c:pt idx="55">
                  <c:v>2.8184441578352937</c:v>
                </c:pt>
                <c:pt idx="56">
                  <c:v>-0.14776864137940826</c:v>
                </c:pt>
                <c:pt idx="57">
                  <c:v>0.52796354143720714</c:v>
                </c:pt>
                <c:pt idx="58">
                  <c:v>0.96488740339710355</c:v>
                </c:pt>
                <c:pt idx="59">
                  <c:v>1.3199714456539755</c:v>
                </c:pt>
                <c:pt idx="60">
                  <c:v>3.7498037370051458</c:v>
                </c:pt>
                <c:pt idx="61">
                  <c:v>2.8476272744504039</c:v>
                </c:pt>
                <c:pt idx="62">
                  <c:v>1.8586769033255279</c:v>
                </c:pt>
                <c:pt idx="63">
                  <c:v>1.7808564614802715</c:v>
                </c:pt>
                <c:pt idx="64">
                  <c:v>1.7910080034876252</c:v>
                </c:pt>
                <c:pt idx="65">
                  <c:v>3.1883801559822338</c:v>
                </c:pt>
                <c:pt idx="66">
                  <c:v>3.0280846360804667</c:v>
                </c:pt>
                <c:pt idx="67">
                  <c:v>1.0053157368948753</c:v>
                </c:pt>
                <c:pt idx="68">
                  <c:v>2.1645637966091362</c:v>
                </c:pt>
                <c:pt idx="69">
                  <c:v>1.7057018600836411</c:v>
                </c:pt>
                <c:pt idx="70">
                  <c:v>2.0006496411880339</c:v>
                </c:pt>
              </c:numCache>
            </c:numRef>
          </c:val>
        </c:ser>
        <c:ser>
          <c:idx val="1"/>
          <c:order val="1"/>
          <c:tx>
            <c:strRef>
              <c:f>Seasonal!$A$117</c:f>
              <c:strCache>
                <c:ptCount val="1"/>
                <c:pt idx="0">
                  <c:v>Personal services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Seasonal!$F$117:$BX$117</c:f>
              <c:numCache>
                <c:formatCode>#,##0.00</c:formatCode>
                <c:ptCount val="71"/>
                <c:pt idx="0">
                  <c:v>5.8180109172862187</c:v>
                </c:pt>
                <c:pt idx="1">
                  <c:v>2.4675980816256611</c:v>
                </c:pt>
                <c:pt idx="2">
                  <c:v>1.077962936672114</c:v>
                </c:pt>
                <c:pt idx="3">
                  <c:v>1.1187966383924379</c:v>
                </c:pt>
                <c:pt idx="4">
                  <c:v>-1.8231322919902122</c:v>
                </c:pt>
                <c:pt idx="5">
                  <c:v>-9.9578266641414722E-3</c:v>
                </c:pt>
                <c:pt idx="6">
                  <c:v>0.92932300887911601</c:v>
                </c:pt>
                <c:pt idx="7">
                  <c:v>0.53656335953612511</c:v>
                </c:pt>
                <c:pt idx="8">
                  <c:v>3.7319282889539687</c:v>
                </c:pt>
                <c:pt idx="9">
                  <c:v>5.612943071228484</c:v>
                </c:pt>
                <c:pt idx="10">
                  <c:v>7.1213464282969987</c:v>
                </c:pt>
                <c:pt idx="11">
                  <c:v>8.3857556027853803</c:v>
                </c:pt>
                <c:pt idx="12">
                  <c:v>5.52280887467355</c:v>
                </c:pt>
                <c:pt idx="13">
                  <c:v>4.0134777688093708</c:v>
                </c:pt>
                <c:pt idx="14">
                  <c:v>2.9364407639351926</c:v>
                </c:pt>
                <c:pt idx="15">
                  <c:v>2.4024369934948004</c:v>
                </c:pt>
                <c:pt idx="16">
                  <c:v>3.7702506573250423</c:v>
                </c:pt>
                <c:pt idx="17">
                  <c:v>4.4190588999147691</c:v>
                </c:pt>
                <c:pt idx="18">
                  <c:v>5.1191795304787391</c:v>
                </c:pt>
                <c:pt idx="19">
                  <c:v>5.5010830793111811</c:v>
                </c:pt>
                <c:pt idx="20">
                  <c:v>4.0761827411078135</c:v>
                </c:pt>
                <c:pt idx="21">
                  <c:v>2.8247175198615153</c:v>
                </c:pt>
                <c:pt idx="22">
                  <c:v>1.6062731211648702</c:v>
                </c:pt>
                <c:pt idx="23">
                  <c:v>0.8864690743584549</c:v>
                </c:pt>
                <c:pt idx="24">
                  <c:v>1.1339420321807272</c:v>
                </c:pt>
                <c:pt idx="25">
                  <c:v>1.9545538033202932</c:v>
                </c:pt>
                <c:pt idx="26">
                  <c:v>2.755481764804331</c:v>
                </c:pt>
                <c:pt idx="27">
                  <c:v>3.7913116649487226</c:v>
                </c:pt>
                <c:pt idx="28">
                  <c:v>5.2828837447081698</c:v>
                </c:pt>
                <c:pt idx="29">
                  <c:v>5.9960231588719406</c:v>
                </c:pt>
                <c:pt idx="30">
                  <c:v>6.05535191809353</c:v>
                </c:pt>
                <c:pt idx="31">
                  <c:v>4.959092128139007</c:v>
                </c:pt>
                <c:pt idx="32">
                  <c:v>3.2806074436813661</c:v>
                </c:pt>
                <c:pt idx="33">
                  <c:v>1.486756854183136</c:v>
                </c:pt>
                <c:pt idx="34">
                  <c:v>0.98167574373778466</c:v>
                </c:pt>
                <c:pt idx="35">
                  <c:v>1.3616187057174247</c:v>
                </c:pt>
                <c:pt idx="36">
                  <c:v>1.7038796271962722</c:v>
                </c:pt>
                <c:pt idx="37">
                  <c:v>3.3866860613199554</c:v>
                </c:pt>
                <c:pt idx="38">
                  <c:v>4.0486717243217285</c:v>
                </c:pt>
                <c:pt idx="39">
                  <c:v>4.3553035676093526</c:v>
                </c:pt>
                <c:pt idx="40">
                  <c:v>5.7038468514269365</c:v>
                </c:pt>
                <c:pt idx="41">
                  <c:v>5.4281917477735817</c:v>
                </c:pt>
                <c:pt idx="42">
                  <c:v>5.2165836595618336</c:v>
                </c:pt>
                <c:pt idx="43">
                  <c:v>4.8899257421018429</c:v>
                </c:pt>
                <c:pt idx="44">
                  <c:v>4.5853439199501151</c:v>
                </c:pt>
                <c:pt idx="45">
                  <c:v>4.9789214562629791</c:v>
                </c:pt>
                <c:pt idx="46">
                  <c:v>5.643695486588471</c:v>
                </c:pt>
                <c:pt idx="47">
                  <c:v>6.7880482954297907</c:v>
                </c:pt>
                <c:pt idx="48">
                  <c:v>5.4918506450770721</c:v>
                </c:pt>
                <c:pt idx="49">
                  <c:v>4.2902248328853094</c:v>
                </c:pt>
                <c:pt idx="50">
                  <c:v>3.3753846116647042</c:v>
                </c:pt>
                <c:pt idx="51">
                  <c:v>2.017363869666287</c:v>
                </c:pt>
                <c:pt idx="52">
                  <c:v>1.8384774556426953</c:v>
                </c:pt>
                <c:pt idx="53">
                  <c:v>1.0979175960165373</c:v>
                </c:pt>
                <c:pt idx="54">
                  <c:v>-0.72328282291250434</c:v>
                </c:pt>
                <c:pt idx="55">
                  <c:v>-2.2638363560130719</c:v>
                </c:pt>
                <c:pt idx="56">
                  <c:v>-1.6343411246263984</c:v>
                </c:pt>
                <c:pt idx="57">
                  <c:v>-0.28035670993092027</c:v>
                </c:pt>
                <c:pt idx="58">
                  <c:v>1.4813006769412327</c:v>
                </c:pt>
                <c:pt idx="59">
                  <c:v>3.16633355240331</c:v>
                </c:pt>
                <c:pt idx="60">
                  <c:v>3.0282677428878135</c:v>
                </c:pt>
                <c:pt idx="61">
                  <c:v>2.5821191972945514</c:v>
                </c:pt>
                <c:pt idx="62">
                  <c:v>2.3145711002499825</c:v>
                </c:pt>
                <c:pt idx="63">
                  <c:v>2.3036131625274252</c:v>
                </c:pt>
                <c:pt idx="64">
                  <c:v>2.2206286297892714</c:v>
                </c:pt>
                <c:pt idx="65">
                  <c:v>2.1716477753836743</c:v>
                </c:pt>
                <c:pt idx="66">
                  <c:v>2.3003131429263477</c:v>
                </c:pt>
                <c:pt idx="67">
                  <c:v>2.3362538037623697</c:v>
                </c:pt>
                <c:pt idx="68">
                  <c:v>2.2685558518605546</c:v>
                </c:pt>
                <c:pt idx="69">
                  <c:v>2.1236765593642861</c:v>
                </c:pt>
                <c:pt idx="70">
                  <c:v>1.9262952487694325</c:v>
                </c:pt>
              </c:numCache>
            </c:numRef>
          </c:val>
        </c:ser>
        <c:marker val="1"/>
        <c:axId val="221333376"/>
        <c:axId val="221334912"/>
      </c:lineChart>
      <c:catAx>
        <c:axId val="221333376"/>
        <c:scaling>
          <c:orientation val="minMax"/>
        </c:scaling>
        <c:axPos val="b"/>
        <c:numFmt formatCode="#,##0.00" sourceLinked="0"/>
        <c:majorTickMark val="none"/>
        <c:tickLblPos val="nextTo"/>
        <c:spPr>
          <a:noFill/>
        </c:spPr>
        <c:txPr>
          <a:bodyPr rot="5400000" vert="horz"/>
          <a:lstStyle/>
          <a:p>
            <a:pPr>
              <a:defRPr lang="en-ZA"/>
            </a:pPr>
            <a:endParaRPr lang="en-US"/>
          </a:p>
        </c:txPr>
        <c:crossAx val="221334912"/>
        <c:crosses val="autoZero"/>
        <c:auto val="1"/>
        <c:lblAlgn val="ctr"/>
        <c:lblOffset val="100"/>
        <c:tickMarkSkip val="4"/>
      </c:catAx>
      <c:valAx>
        <c:axId val="221334912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3333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24532762095618"/>
          <c:y val="3.1718216197453276E-2"/>
          <c:w val="0.25112578197920687"/>
          <c:h val="0.18563677220161862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8148440329646882E-2"/>
          <c:y val="2.2587031907233542E-2"/>
          <c:w val="0.93490764032567764"/>
          <c:h val="0.95482593618555056"/>
        </c:manualLayout>
      </c:layout>
      <c:lineChart>
        <c:grouping val="standard"/>
        <c:ser>
          <c:idx val="0"/>
          <c:order val="0"/>
          <c:tx>
            <c:strRef>
              <c:f>Quarterly!$A$118</c:f>
              <c:strCache>
                <c:ptCount val="1"/>
                <c:pt idx="0">
                  <c:v>General government services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Quarterly!$F$118:$BX$118</c:f>
              <c:numCache>
                <c:formatCode>#,##0.00</c:formatCode>
                <c:ptCount val="71"/>
                <c:pt idx="0">
                  <c:v>3.7598165399072183</c:v>
                </c:pt>
                <c:pt idx="1">
                  <c:v>3.7204250977235502</c:v>
                </c:pt>
                <c:pt idx="2">
                  <c:v>3.7696220562560541</c:v>
                </c:pt>
                <c:pt idx="3">
                  <c:v>3.8883033028642542</c:v>
                </c:pt>
                <c:pt idx="4">
                  <c:v>-2.335086639549961</c:v>
                </c:pt>
                <c:pt idx="5">
                  <c:v>-2.4198222825112152</c:v>
                </c:pt>
                <c:pt idx="6">
                  <c:v>-2.4146206529352892</c:v>
                </c:pt>
                <c:pt idx="7">
                  <c:v>-2.5095857926110074</c:v>
                </c:pt>
                <c:pt idx="8">
                  <c:v>2.0779002548158387</c:v>
                </c:pt>
                <c:pt idx="9">
                  <c:v>2.147321914056417</c:v>
                </c:pt>
                <c:pt idx="10">
                  <c:v>1.7608236623070206</c:v>
                </c:pt>
                <c:pt idx="11">
                  <c:v>1.6891279738673401</c:v>
                </c:pt>
                <c:pt idx="12">
                  <c:v>-3.4266589562309866</c:v>
                </c:pt>
                <c:pt idx="13">
                  <c:v>-3.3658997787478553</c:v>
                </c:pt>
                <c:pt idx="14">
                  <c:v>-3.4061818705207929</c:v>
                </c:pt>
                <c:pt idx="15">
                  <c:v>-3.7272323443915623</c:v>
                </c:pt>
                <c:pt idx="16">
                  <c:v>-0.28175573452461622</c:v>
                </c:pt>
                <c:pt idx="17">
                  <c:v>-0.30302219150495252</c:v>
                </c:pt>
                <c:pt idx="18">
                  <c:v>-0.28897024669065796</c:v>
                </c:pt>
                <c:pt idx="19">
                  <c:v>-0.28960835736484208</c:v>
                </c:pt>
                <c:pt idx="20">
                  <c:v>1.2646232274014946</c:v>
                </c:pt>
                <c:pt idx="21">
                  <c:v>0.98460530170396443</c:v>
                </c:pt>
                <c:pt idx="22">
                  <c:v>0.6713857862489554</c:v>
                </c:pt>
                <c:pt idx="23">
                  <c:v>0.80511262218765001</c:v>
                </c:pt>
                <c:pt idx="24">
                  <c:v>-1.1156659486793263</c:v>
                </c:pt>
                <c:pt idx="25">
                  <c:v>0.17912144171709818</c:v>
                </c:pt>
                <c:pt idx="26">
                  <c:v>1.0744687314141541</c:v>
                </c:pt>
                <c:pt idx="27">
                  <c:v>1.5362728374330024</c:v>
                </c:pt>
                <c:pt idx="28">
                  <c:v>1.8080935668706999</c:v>
                </c:pt>
                <c:pt idx="29">
                  <c:v>2.1017280251013859</c:v>
                </c:pt>
                <c:pt idx="30">
                  <c:v>2.2990132682743791</c:v>
                </c:pt>
                <c:pt idx="31">
                  <c:v>2.5728103223744991</c:v>
                </c:pt>
                <c:pt idx="32">
                  <c:v>1.1568164555326064</c:v>
                </c:pt>
                <c:pt idx="33">
                  <c:v>1.225503234055209</c:v>
                </c:pt>
                <c:pt idx="34">
                  <c:v>1.139985083061116</c:v>
                </c:pt>
                <c:pt idx="35">
                  <c:v>1.8673621944103855</c:v>
                </c:pt>
                <c:pt idx="36">
                  <c:v>4.1427389569064985</c:v>
                </c:pt>
                <c:pt idx="37">
                  <c:v>4.8044584286976653</c:v>
                </c:pt>
                <c:pt idx="38">
                  <c:v>5.0481156708512263</c:v>
                </c:pt>
                <c:pt idx="39">
                  <c:v>4.0209640771425432</c:v>
                </c:pt>
                <c:pt idx="40">
                  <c:v>3.5407919936141998</c:v>
                </c:pt>
                <c:pt idx="41">
                  <c:v>2.5935617664347261</c:v>
                </c:pt>
                <c:pt idx="42">
                  <c:v>2.3652412464232939</c:v>
                </c:pt>
                <c:pt idx="43">
                  <c:v>3.4325129641564462</c:v>
                </c:pt>
                <c:pt idx="44">
                  <c:v>4.3987029030480489</c:v>
                </c:pt>
                <c:pt idx="45">
                  <c:v>3.7761064737189218</c:v>
                </c:pt>
                <c:pt idx="46">
                  <c:v>4.1783439179141482</c:v>
                </c:pt>
                <c:pt idx="47">
                  <c:v>3.9297135229112072</c:v>
                </c:pt>
                <c:pt idx="48">
                  <c:v>4.2789212240954315</c:v>
                </c:pt>
                <c:pt idx="49">
                  <c:v>4.7860461124718912</c:v>
                </c:pt>
                <c:pt idx="50">
                  <c:v>5.3026434083426466</c:v>
                </c:pt>
                <c:pt idx="51">
                  <c:v>5.3145887866663566</c:v>
                </c:pt>
                <c:pt idx="52">
                  <c:v>4.0207990962096911</c:v>
                </c:pt>
                <c:pt idx="53">
                  <c:v>4.6647057608243188</c:v>
                </c:pt>
                <c:pt idx="54">
                  <c:v>3.6666781700926223</c:v>
                </c:pt>
                <c:pt idx="55">
                  <c:v>3.2601349066097471</c:v>
                </c:pt>
                <c:pt idx="56">
                  <c:v>3.2881576320808357</c:v>
                </c:pt>
                <c:pt idx="57">
                  <c:v>3.3642474911466831</c:v>
                </c:pt>
                <c:pt idx="58">
                  <c:v>3.5340573827041979</c:v>
                </c:pt>
                <c:pt idx="59">
                  <c:v>4.1610520609112154</c:v>
                </c:pt>
                <c:pt idx="60">
                  <c:v>3.7503364911160921</c:v>
                </c:pt>
                <c:pt idx="61">
                  <c:v>4.151309024790657</c:v>
                </c:pt>
                <c:pt idx="62">
                  <c:v>4.2911070952502728</c:v>
                </c:pt>
                <c:pt idx="63">
                  <c:v>4.5697688796887563</c:v>
                </c:pt>
                <c:pt idx="64">
                  <c:v>2.9817354611374935</c:v>
                </c:pt>
                <c:pt idx="65">
                  <c:v>2.571998241647758</c:v>
                </c:pt>
                <c:pt idx="66">
                  <c:v>2.6054377858238791</c:v>
                </c:pt>
                <c:pt idx="67">
                  <c:v>2.6390386949276596</c:v>
                </c:pt>
                <c:pt idx="68">
                  <c:v>2.2213886865840848</c:v>
                </c:pt>
                <c:pt idx="69">
                  <c:v>1.7480748511224546</c:v>
                </c:pt>
                <c:pt idx="70">
                  <c:v>1.027469719271809</c:v>
                </c:pt>
              </c:numCache>
            </c:numRef>
          </c:val>
        </c:ser>
        <c:ser>
          <c:idx val="1"/>
          <c:order val="1"/>
          <c:tx>
            <c:strRef>
              <c:f>Seasonal!$A$118</c:f>
              <c:strCache>
                <c:ptCount val="1"/>
                <c:pt idx="0">
                  <c:v>General government services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Quarterly!$F$105:$BX$105</c:f>
              <c:strCache>
                <c:ptCount val="71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</c:strCache>
            </c:strRef>
          </c:cat>
          <c:val>
            <c:numRef>
              <c:f>Seasonal!$F$118:$BX$118</c:f>
              <c:numCache>
                <c:formatCode>#,##0.00</c:formatCode>
                <c:ptCount val="71"/>
                <c:pt idx="0">
                  <c:v>2.8636187889412237</c:v>
                </c:pt>
                <c:pt idx="1">
                  <c:v>3.5813614989191209</c:v>
                </c:pt>
                <c:pt idx="2">
                  <c:v>4.1518091517919675</c:v>
                </c:pt>
                <c:pt idx="3">
                  <c:v>4.5396585519151111</c:v>
                </c:pt>
                <c:pt idx="4">
                  <c:v>-1.202626296054967</c:v>
                </c:pt>
                <c:pt idx="5">
                  <c:v>-2.1156142919509793</c:v>
                </c:pt>
                <c:pt idx="6">
                  <c:v>-2.9027788869727256</c:v>
                </c:pt>
                <c:pt idx="7">
                  <c:v>-3.4353375982666607</c:v>
                </c:pt>
                <c:pt idx="8">
                  <c:v>2.0914449846546548</c:v>
                </c:pt>
                <c:pt idx="9">
                  <c:v>1.9802868901215849</c:v>
                </c:pt>
                <c:pt idx="10">
                  <c:v>1.8396491836216642</c:v>
                </c:pt>
                <c:pt idx="11">
                  <c:v>1.7611371708242916</c:v>
                </c:pt>
                <c:pt idx="12">
                  <c:v>-3.4536159901218286</c:v>
                </c:pt>
                <c:pt idx="13">
                  <c:v>-3.3817829254028409</c:v>
                </c:pt>
                <c:pt idx="14">
                  <c:v>-3.403684107053969</c:v>
                </c:pt>
                <c:pt idx="15">
                  <c:v>-3.6879705892308627</c:v>
                </c:pt>
                <c:pt idx="16">
                  <c:v>-0.31173732615236011</c:v>
                </c:pt>
                <c:pt idx="17">
                  <c:v>-0.31500072231792881</c:v>
                </c:pt>
                <c:pt idx="18">
                  <c:v>-0.29641871240804285</c:v>
                </c:pt>
                <c:pt idx="19">
                  <c:v>-0.23977629345928783</c:v>
                </c:pt>
                <c:pt idx="20">
                  <c:v>1.2283635307953791</c:v>
                </c:pt>
                <c:pt idx="21">
                  <c:v>0.97429865501752144</c:v>
                </c:pt>
                <c:pt idx="22">
                  <c:v>0.68240452317158273</c:v>
                </c:pt>
                <c:pt idx="23">
                  <c:v>0.83861454054577311</c:v>
                </c:pt>
                <c:pt idx="24">
                  <c:v>-0.85653197330615816</c:v>
                </c:pt>
                <c:pt idx="25">
                  <c:v>1.2388094346484206E-2</c:v>
                </c:pt>
                <c:pt idx="26">
                  <c:v>1.0135116754584161</c:v>
                </c:pt>
                <c:pt idx="27">
                  <c:v>1.5139969601813987</c:v>
                </c:pt>
                <c:pt idx="28">
                  <c:v>1.858198990710638</c:v>
                </c:pt>
                <c:pt idx="29">
                  <c:v>2.0317237612597672</c:v>
                </c:pt>
                <c:pt idx="30">
                  <c:v>2.2854269946730055</c:v>
                </c:pt>
                <c:pt idx="31">
                  <c:v>2.6103032563102748</c:v>
                </c:pt>
                <c:pt idx="32">
                  <c:v>1.1806502388151441</c:v>
                </c:pt>
                <c:pt idx="33">
                  <c:v>1.2697381796070364</c:v>
                </c:pt>
                <c:pt idx="34">
                  <c:v>1.1315440934439338</c:v>
                </c:pt>
                <c:pt idx="35">
                  <c:v>1.8108122312343247</c:v>
                </c:pt>
                <c:pt idx="36">
                  <c:v>4.4148829696151175</c:v>
                </c:pt>
                <c:pt idx="37">
                  <c:v>4.8969658631193314</c:v>
                </c:pt>
                <c:pt idx="38">
                  <c:v>4.9860717254259201</c:v>
                </c:pt>
                <c:pt idx="39">
                  <c:v>3.7281294778989773</c:v>
                </c:pt>
                <c:pt idx="40">
                  <c:v>3.0817104318052921</c:v>
                </c:pt>
                <c:pt idx="41">
                  <c:v>2.5570639150739107</c:v>
                </c:pt>
                <c:pt idx="42">
                  <c:v>2.4795521197725154</c:v>
                </c:pt>
                <c:pt idx="43">
                  <c:v>3.8011518696092406</c:v>
                </c:pt>
                <c:pt idx="44">
                  <c:v>4.4540862976575246</c:v>
                </c:pt>
                <c:pt idx="45">
                  <c:v>3.777784826354718</c:v>
                </c:pt>
                <c:pt idx="46">
                  <c:v>4.1957725922639248</c:v>
                </c:pt>
                <c:pt idx="47">
                  <c:v>3.8547605775721818</c:v>
                </c:pt>
                <c:pt idx="48">
                  <c:v>4.240315901205709</c:v>
                </c:pt>
                <c:pt idx="49">
                  <c:v>4.7943746418232003</c:v>
                </c:pt>
                <c:pt idx="50">
                  <c:v>5.4145627020240692</c:v>
                </c:pt>
                <c:pt idx="51">
                  <c:v>5.2392401814417369</c:v>
                </c:pt>
                <c:pt idx="52">
                  <c:v>4.0643284592369939</c:v>
                </c:pt>
                <c:pt idx="53">
                  <c:v>4.7908268012562187</c:v>
                </c:pt>
                <c:pt idx="54">
                  <c:v>3.5368661849327419</c:v>
                </c:pt>
                <c:pt idx="55">
                  <c:v>3.2200400938792257</c:v>
                </c:pt>
                <c:pt idx="56">
                  <c:v>3.3267747558557277</c:v>
                </c:pt>
                <c:pt idx="57">
                  <c:v>3.087671027207286</c:v>
                </c:pt>
                <c:pt idx="58">
                  <c:v>3.6402479233467582</c:v>
                </c:pt>
                <c:pt idx="59">
                  <c:v>4.2964652702860056</c:v>
                </c:pt>
                <c:pt idx="60">
                  <c:v>4.2049439670925208</c:v>
                </c:pt>
                <c:pt idx="61">
                  <c:v>4.2144224034882907</c:v>
                </c:pt>
                <c:pt idx="62">
                  <c:v>4.1424927981459847</c:v>
                </c:pt>
                <c:pt idx="63">
                  <c:v>4.2173880750034805</c:v>
                </c:pt>
                <c:pt idx="64">
                  <c:v>3.159992761913355</c:v>
                </c:pt>
                <c:pt idx="65">
                  <c:v>2.4966879670729938</c:v>
                </c:pt>
                <c:pt idx="66">
                  <c:v>2.6051330341997003</c:v>
                </c:pt>
                <c:pt idx="67">
                  <c:v>2.5363978478855844</c:v>
                </c:pt>
                <c:pt idx="68">
                  <c:v>2.3885248307166727</c:v>
                </c:pt>
                <c:pt idx="69">
                  <c:v>2.0823047046655581</c:v>
                </c:pt>
                <c:pt idx="70">
                  <c:v>1.3195561389561363</c:v>
                </c:pt>
              </c:numCache>
            </c:numRef>
          </c:val>
        </c:ser>
        <c:marker val="1"/>
        <c:axId val="221384064"/>
        <c:axId val="221389952"/>
      </c:lineChart>
      <c:catAx>
        <c:axId val="221384064"/>
        <c:scaling>
          <c:orientation val="minMax"/>
        </c:scaling>
        <c:axPos val="b"/>
        <c:numFmt formatCode="#,##0.00" sourceLinked="0"/>
        <c:majorTickMark val="none"/>
        <c:tickLblPos val="nextTo"/>
        <c:spPr>
          <a:noFill/>
        </c:spPr>
        <c:txPr>
          <a:bodyPr rot="5400000" vert="horz"/>
          <a:lstStyle/>
          <a:p>
            <a:pPr>
              <a:defRPr lang="en-ZA"/>
            </a:pPr>
            <a:endParaRPr lang="en-US"/>
          </a:p>
        </c:txPr>
        <c:crossAx val="221389952"/>
        <c:crosses val="autoZero"/>
        <c:auto val="1"/>
        <c:lblAlgn val="ctr"/>
        <c:lblOffset val="100"/>
        <c:tickMarkSkip val="4"/>
      </c:catAx>
      <c:valAx>
        <c:axId val="221389952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3840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24532762095618"/>
          <c:y val="3.1718216197453276E-2"/>
          <c:w val="0.25112578197920687"/>
          <c:h val="0.18563677220161862"/>
        </c:manualLayout>
      </c:layout>
      <c:txPr>
        <a:bodyPr/>
        <a:lstStyle/>
        <a:p>
          <a:pPr>
            <a:defRPr lang="en-ZA" sz="1200" b="1"/>
          </a:pPr>
          <a:endParaRPr lang="en-US"/>
        </a:p>
      </c:txPr>
    </c:legend>
    <c:plotVisOnly val="1"/>
    <c:dispBlanksAs val="gap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4.8872757829090133E-2"/>
          <c:y val="1.9647357358338707E-2"/>
          <c:w val="0.94639564461386483"/>
          <c:h val="0.94582742509883866"/>
        </c:manualLayout>
      </c:layout>
      <c:lineChart>
        <c:grouping val="standard"/>
        <c:ser>
          <c:idx val="0"/>
          <c:order val="0"/>
          <c:tx>
            <c:strRef>
              <c:f>Annual!$A$80</c:f>
              <c:strCache>
                <c:ptCount val="1"/>
                <c:pt idx="0">
                  <c:v>SA - GDP at constant 2005 prices</c:v>
                </c:pt>
              </c:strCache>
            </c:strRef>
          </c:tx>
          <c:cat>
            <c:strRef>
              <c:f>Annual!$C$84:$T$84</c:f>
              <c:strCach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strCache>
            </c:strRef>
          </c:cat>
          <c:val>
            <c:numRef>
              <c:f>Annual!$C$80:$T$80</c:f>
              <c:numCache>
                <c:formatCode>#,##0.00</c:formatCode>
                <c:ptCount val="18"/>
                <c:pt idx="0">
                  <c:v>3.9124055015246211</c:v>
                </c:pt>
                <c:pt idx="1">
                  <c:v>2.5526741402699931</c:v>
                </c:pt>
                <c:pt idx="2">
                  <c:v>0.50941483769572682</c:v>
                </c:pt>
                <c:pt idx="3">
                  <c:v>2.1993604303941741</c:v>
                </c:pt>
                <c:pt idx="4">
                  <c:v>3.988589800332127</c:v>
                </c:pt>
                <c:pt idx="5">
                  <c:v>2.6804149810827269</c:v>
                </c:pt>
                <c:pt idx="6">
                  <c:v>3.5643215754646991</c:v>
                </c:pt>
                <c:pt idx="7">
                  <c:v>2.949075466902547</c:v>
                </c:pt>
                <c:pt idx="8">
                  <c:v>4.5545599068036751</c:v>
                </c:pt>
                <c:pt idx="9">
                  <c:v>5.2770519743303756</c:v>
                </c:pt>
                <c:pt idx="10">
                  <c:v>5.603806457840629</c:v>
                </c:pt>
                <c:pt idx="11">
                  <c:v>5.5476910828714514</c:v>
                </c:pt>
                <c:pt idx="12">
                  <c:v>3.6221140668034093</c:v>
                </c:pt>
                <c:pt idx="13">
                  <c:v>-1.5262364128473747</c:v>
                </c:pt>
                <c:pt idx="14">
                  <c:v>3.1400511386969949</c:v>
                </c:pt>
                <c:pt idx="15">
                  <c:v>3.5992796050564131</c:v>
                </c:pt>
                <c:pt idx="16">
                  <c:v>2.466829296789093</c:v>
                </c:pt>
                <c:pt idx="17">
                  <c:v>1.890628336917054</c:v>
                </c:pt>
              </c:numCache>
            </c:numRef>
          </c:val>
        </c:ser>
        <c:ser>
          <c:idx val="1"/>
          <c:order val="1"/>
          <c:tx>
            <c:strRef>
              <c:f>Annual!$A$100</c:f>
              <c:strCache>
                <c:ptCount val="1"/>
                <c:pt idx="0">
                  <c:v>KZN - GDPR at constant 2005 prices</c:v>
                </c:pt>
              </c:strCache>
            </c:strRef>
          </c:tx>
          <c:cat>
            <c:strRef>
              <c:f>Annual!$C$84:$T$84</c:f>
              <c:strCach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strCache>
            </c:strRef>
          </c:cat>
          <c:val>
            <c:numRef>
              <c:f>Annual!$C$100:$T$100</c:f>
              <c:numCache>
                <c:formatCode>#,##0.00</c:formatCode>
                <c:ptCount val="18"/>
                <c:pt idx="0">
                  <c:v>5.175490589482723</c:v>
                </c:pt>
                <c:pt idx="1">
                  <c:v>1.9480759691223581</c:v>
                </c:pt>
                <c:pt idx="2">
                  <c:v>0.87285779483851178</c:v>
                </c:pt>
                <c:pt idx="3">
                  <c:v>0.76800943160552615</c:v>
                </c:pt>
                <c:pt idx="4">
                  <c:v>4.6799296586110222</c:v>
                </c:pt>
                <c:pt idx="5">
                  <c:v>4.4541099648747133</c:v>
                </c:pt>
                <c:pt idx="6">
                  <c:v>2.4874919405530238</c:v>
                </c:pt>
                <c:pt idx="7">
                  <c:v>2.7432639906487406</c:v>
                </c:pt>
                <c:pt idx="8">
                  <c:v>4.4967464894428772</c:v>
                </c:pt>
                <c:pt idx="9">
                  <c:v>5.7593018540806664</c:v>
                </c:pt>
                <c:pt idx="10">
                  <c:v>5.5333278654310973</c:v>
                </c:pt>
                <c:pt idx="11">
                  <c:v>5.8948084570002708</c:v>
                </c:pt>
                <c:pt idx="12">
                  <c:v>3.9731293461308819</c:v>
                </c:pt>
                <c:pt idx="13">
                  <c:v>-1.781471351225947</c:v>
                </c:pt>
                <c:pt idx="14">
                  <c:v>4.0111945616728821</c:v>
                </c:pt>
                <c:pt idx="15">
                  <c:v>3.5589624319056061</c:v>
                </c:pt>
                <c:pt idx="16">
                  <c:v>2.8062301206934368</c:v>
                </c:pt>
                <c:pt idx="17">
                  <c:v>1.7394447202940613</c:v>
                </c:pt>
              </c:numCache>
            </c:numRef>
          </c:val>
        </c:ser>
        <c:ser>
          <c:idx val="2"/>
          <c:order val="2"/>
          <c:tx>
            <c:strRef>
              <c:f>Annual!$A$102</c:f>
              <c:strCache>
                <c:ptCount val="1"/>
                <c:pt idx="0">
                  <c:v>Targeted GDP</c:v>
                </c:pt>
              </c:strCache>
            </c:strRef>
          </c:tx>
          <c:val>
            <c:numRef>
              <c:f>Annual!$C$102:$T$102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</c:ser>
        <c:ser>
          <c:idx val="3"/>
          <c:order val="3"/>
          <c:tx>
            <c:strRef>
              <c:f>Annual!$A$103</c:f>
              <c:strCache>
                <c:ptCount val="1"/>
                <c:pt idx="0">
                  <c:v>Potential GDP</c:v>
                </c:pt>
              </c:strCache>
            </c:strRef>
          </c:tx>
          <c:val>
            <c:numRef>
              <c:f>Annual!$C$103:$T$103</c:f>
              <c:numCache>
                <c:formatCode>General</c:formatCode>
                <c:ptCount val="18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</c:numCache>
            </c:numRef>
          </c:val>
        </c:ser>
        <c:marker val="1"/>
        <c:axId val="221743744"/>
        <c:axId val="221749632"/>
      </c:lineChart>
      <c:catAx>
        <c:axId val="22174374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749632"/>
        <c:crosses val="autoZero"/>
        <c:auto val="1"/>
        <c:lblAlgn val="ctr"/>
        <c:lblOffset val="100"/>
      </c:catAx>
      <c:valAx>
        <c:axId val="221749632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74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4310956718645489"/>
          <c:y val="0.43338059920933192"/>
          <c:w val="0.26432679738562176"/>
          <c:h val="0.22687184848781866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chemeClr val="accent3">
        <a:lumMod val="40000"/>
        <a:lumOff val="60000"/>
      </a:schemeClr>
    </a:solidFill>
  </c:spPr>
  <c:printSettings>
    <c:headerFooter/>
    <c:pageMargins b="0.75000000000000766" l="0.70000000000000062" r="0.70000000000000062" t="0.75000000000000766" header="0.30000000000000032" footer="0.30000000000000032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2219742890444877E-2"/>
          <c:y val="2.1111287263588688E-2"/>
          <c:w val="0.94509471332371486"/>
          <c:h val="0.94875442583099945"/>
        </c:manualLayout>
      </c:layout>
      <c:lineChart>
        <c:grouping val="standard"/>
        <c:ser>
          <c:idx val="0"/>
          <c:order val="0"/>
          <c:tx>
            <c:strRef>
              <c:f>Quarterly!$A$61</c:f>
              <c:strCache>
                <c:ptCount val="1"/>
                <c:pt idx="0">
                  <c:v>SA - GDP at constant 2005 prices</c:v>
                </c:pt>
              </c:strCache>
            </c:strRef>
          </c:tx>
          <c:marker>
            <c:symbol val="none"/>
          </c:marker>
          <c:cat>
            <c:strRef>
              <c:f>Quarterly!$C$65:$BY$65</c:f>
              <c:strCache>
                <c:ptCount val="75"/>
                <c:pt idx="0">
                  <c:v>1995q2</c:v>
                </c:pt>
                <c:pt idx="1">
                  <c:v>1995q3</c:v>
                </c:pt>
                <c:pt idx="2">
                  <c:v>1995q4</c:v>
                </c:pt>
                <c:pt idx="3">
                  <c:v>1996q1</c:v>
                </c:pt>
                <c:pt idx="4">
                  <c:v>1996q2</c:v>
                </c:pt>
                <c:pt idx="5">
                  <c:v>1996q3</c:v>
                </c:pt>
                <c:pt idx="6">
                  <c:v>1996q4</c:v>
                </c:pt>
                <c:pt idx="7">
                  <c:v>1997q1</c:v>
                </c:pt>
                <c:pt idx="8">
                  <c:v>1997q2</c:v>
                </c:pt>
                <c:pt idx="9">
                  <c:v>1997q3</c:v>
                </c:pt>
                <c:pt idx="10">
                  <c:v>1997q4</c:v>
                </c:pt>
                <c:pt idx="11">
                  <c:v>1998q1</c:v>
                </c:pt>
                <c:pt idx="12">
                  <c:v>1998q2</c:v>
                </c:pt>
                <c:pt idx="13">
                  <c:v>1998q3</c:v>
                </c:pt>
                <c:pt idx="14">
                  <c:v>1998q4</c:v>
                </c:pt>
                <c:pt idx="15">
                  <c:v>1999q1</c:v>
                </c:pt>
                <c:pt idx="16">
                  <c:v>1999q2</c:v>
                </c:pt>
                <c:pt idx="17">
                  <c:v>1999q3</c:v>
                </c:pt>
                <c:pt idx="18">
                  <c:v>1999q4</c:v>
                </c:pt>
                <c:pt idx="19">
                  <c:v>2000q1</c:v>
                </c:pt>
                <c:pt idx="20">
                  <c:v>2000q2</c:v>
                </c:pt>
                <c:pt idx="21">
                  <c:v>2000q3</c:v>
                </c:pt>
                <c:pt idx="22">
                  <c:v>2000q4</c:v>
                </c:pt>
                <c:pt idx="23">
                  <c:v>2001q1</c:v>
                </c:pt>
                <c:pt idx="24">
                  <c:v>2001q2</c:v>
                </c:pt>
                <c:pt idx="25">
                  <c:v>2001q3</c:v>
                </c:pt>
                <c:pt idx="26">
                  <c:v>2001q4</c:v>
                </c:pt>
                <c:pt idx="27">
                  <c:v>2002q1</c:v>
                </c:pt>
                <c:pt idx="28">
                  <c:v>2002q2</c:v>
                </c:pt>
                <c:pt idx="29">
                  <c:v>2002q3</c:v>
                </c:pt>
                <c:pt idx="30">
                  <c:v>2002q4</c:v>
                </c:pt>
                <c:pt idx="31">
                  <c:v>2003q1</c:v>
                </c:pt>
                <c:pt idx="32">
                  <c:v>2003q2</c:v>
                </c:pt>
                <c:pt idx="33">
                  <c:v>2003q3</c:v>
                </c:pt>
                <c:pt idx="34">
                  <c:v>2003q4</c:v>
                </c:pt>
                <c:pt idx="35">
                  <c:v>2004q1</c:v>
                </c:pt>
                <c:pt idx="36">
                  <c:v>2004q2</c:v>
                </c:pt>
                <c:pt idx="37">
                  <c:v>2004q3</c:v>
                </c:pt>
                <c:pt idx="38">
                  <c:v>2004q4</c:v>
                </c:pt>
                <c:pt idx="39">
                  <c:v>2005q1</c:v>
                </c:pt>
                <c:pt idx="40">
                  <c:v>2005q2</c:v>
                </c:pt>
                <c:pt idx="41">
                  <c:v>2005q3</c:v>
                </c:pt>
                <c:pt idx="42">
                  <c:v>2005q4</c:v>
                </c:pt>
                <c:pt idx="43">
                  <c:v>2006q1</c:v>
                </c:pt>
                <c:pt idx="44">
                  <c:v>2006q2</c:v>
                </c:pt>
                <c:pt idx="45">
                  <c:v>2006q3</c:v>
                </c:pt>
                <c:pt idx="46">
                  <c:v>2006q4</c:v>
                </c:pt>
                <c:pt idx="47">
                  <c:v>2007q1</c:v>
                </c:pt>
                <c:pt idx="48">
                  <c:v>2007q2</c:v>
                </c:pt>
                <c:pt idx="49">
                  <c:v>2007q3</c:v>
                </c:pt>
                <c:pt idx="50">
                  <c:v>2007q4</c:v>
                </c:pt>
                <c:pt idx="51">
                  <c:v>2008q1</c:v>
                </c:pt>
                <c:pt idx="52">
                  <c:v>2008q2</c:v>
                </c:pt>
                <c:pt idx="53">
                  <c:v>2008q3</c:v>
                </c:pt>
                <c:pt idx="54">
                  <c:v>2008q4</c:v>
                </c:pt>
                <c:pt idx="55">
                  <c:v>2009q1</c:v>
                </c:pt>
                <c:pt idx="56">
                  <c:v>2009q2</c:v>
                </c:pt>
                <c:pt idx="57">
                  <c:v>2009q3</c:v>
                </c:pt>
                <c:pt idx="58">
                  <c:v>2009q4</c:v>
                </c:pt>
                <c:pt idx="59">
                  <c:v>2010q1</c:v>
                </c:pt>
                <c:pt idx="60">
                  <c:v>2010q2</c:v>
                </c:pt>
                <c:pt idx="61">
                  <c:v>2010q3</c:v>
                </c:pt>
                <c:pt idx="62">
                  <c:v>2010q4</c:v>
                </c:pt>
                <c:pt idx="63">
                  <c:v>2011q1</c:v>
                </c:pt>
                <c:pt idx="64">
                  <c:v>2011q2</c:v>
                </c:pt>
                <c:pt idx="65">
                  <c:v>2011q3</c:v>
                </c:pt>
                <c:pt idx="66">
                  <c:v>2011q4</c:v>
                </c:pt>
                <c:pt idx="67">
                  <c:v>2012q1</c:v>
                </c:pt>
                <c:pt idx="68">
                  <c:v>2012q2</c:v>
                </c:pt>
                <c:pt idx="69">
                  <c:v>2012q3</c:v>
                </c:pt>
                <c:pt idx="70">
                  <c:v>2012q4</c:v>
                </c:pt>
                <c:pt idx="71">
                  <c:v>2013q1</c:v>
                </c:pt>
                <c:pt idx="72">
                  <c:v>2013q2</c:v>
                </c:pt>
                <c:pt idx="73">
                  <c:v>2013q3</c:v>
                </c:pt>
                <c:pt idx="74">
                  <c:v>2013q4</c:v>
                </c:pt>
              </c:strCache>
            </c:strRef>
          </c:cat>
          <c:val>
            <c:numRef>
              <c:f>Quarterly!$C$61:$BX$61</c:f>
              <c:numCache>
                <c:formatCode>#,##0.00</c:formatCode>
                <c:ptCount val="74"/>
                <c:pt idx="0">
                  <c:v>1.8015684636744733</c:v>
                </c:pt>
                <c:pt idx="1">
                  <c:v>3.4946909729830686</c:v>
                </c:pt>
                <c:pt idx="2">
                  <c:v>1.0107825528995282</c:v>
                </c:pt>
                <c:pt idx="3">
                  <c:v>-2.7908980278111266</c:v>
                </c:pt>
                <c:pt idx="4">
                  <c:v>3.4038716938595908</c:v>
                </c:pt>
                <c:pt idx="5">
                  <c:v>1.8972029310554945</c:v>
                </c:pt>
                <c:pt idx="6">
                  <c:v>1.2171464348461805</c:v>
                </c:pt>
                <c:pt idx="7">
                  <c:v>-3.1912001370346244</c:v>
                </c:pt>
                <c:pt idx="8">
                  <c:v>3.3695295247336317</c:v>
                </c:pt>
                <c:pt idx="9">
                  <c:v>1.0126369570077434</c:v>
                </c:pt>
                <c:pt idx="10">
                  <c:v>0.41263128115475878</c:v>
                </c:pt>
                <c:pt idx="11">
                  <c:v>-3.7797990486740276</c:v>
                </c:pt>
                <c:pt idx="12">
                  <c:v>3.0220401348519825</c:v>
                </c:pt>
                <c:pt idx="13">
                  <c:v>0.71997431588424299</c:v>
                </c:pt>
                <c:pt idx="14">
                  <c:v>0.53059262559089793</c:v>
                </c:pt>
                <c:pt idx="15">
                  <c:v>-3.2455305844243325</c:v>
                </c:pt>
                <c:pt idx="16">
                  <c:v>3.8150615687992548</c:v>
                </c:pt>
                <c:pt idx="17">
                  <c:v>1.6138579901179655</c:v>
                </c:pt>
                <c:pt idx="18">
                  <c:v>1.4025460836992405</c:v>
                </c:pt>
                <c:pt idx="19">
                  <c:v>-3.3173107586497239</c:v>
                </c:pt>
                <c:pt idx="20">
                  <c:v>3.6906521454820864</c:v>
                </c:pt>
                <c:pt idx="21">
                  <c:v>3.22023889359017</c:v>
                </c:pt>
                <c:pt idx="22">
                  <c:v>0.75490597336281162</c:v>
                </c:pt>
                <c:pt idx="23">
                  <c:v>-3.8684488699158699</c:v>
                </c:pt>
                <c:pt idx="24">
                  <c:v>3.6571086297697795</c:v>
                </c:pt>
                <c:pt idx="25">
                  <c:v>1.1713863410705061</c:v>
                </c:pt>
                <c:pt idx="26">
                  <c:v>1.1238125594030772</c:v>
                </c:pt>
                <c:pt idx="27">
                  <c:v>-2.6693435102841043</c:v>
                </c:pt>
                <c:pt idx="28">
                  <c:v>4.1699686729821179</c:v>
                </c:pt>
                <c:pt idx="29">
                  <c:v>0.91944151839081412</c:v>
                </c:pt>
                <c:pt idx="30">
                  <c:v>1.4645546281729385</c:v>
                </c:pt>
                <c:pt idx="31">
                  <c:v>-3.2440896064980067</c:v>
                </c:pt>
                <c:pt idx="32">
                  <c:v>4.1716740103831897</c:v>
                </c:pt>
                <c:pt idx="33">
                  <c:v>0.71939033071751879</c:v>
                </c:pt>
                <c:pt idx="34">
                  <c:v>0.86892772142533847</c:v>
                </c:pt>
                <c:pt idx="35">
                  <c:v>-1.9700342109232927</c:v>
                </c:pt>
                <c:pt idx="36">
                  <c:v>4.1545158808919558</c:v>
                </c:pt>
                <c:pt idx="37">
                  <c:v>1.9719461736711557</c:v>
                </c:pt>
                <c:pt idx="38">
                  <c:v>1.4882678528086455</c:v>
                </c:pt>
                <c:pt idx="39">
                  <c:v>-2.172787052186739</c:v>
                </c:pt>
                <c:pt idx="40">
                  <c:v>3.8994963951544177</c:v>
                </c:pt>
                <c:pt idx="41">
                  <c:v>2.2301951922709216</c:v>
                </c:pt>
                <c:pt idx="42">
                  <c:v>1.0782375489950227</c:v>
                </c:pt>
                <c:pt idx="43">
                  <c:v>-2.1239793808258227</c:v>
                </c:pt>
                <c:pt idx="44">
                  <c:v>3.7549359887712837</c:v>
                </c:pt>
                <c:pt idx="45">
                  <c:v>2.5339322623340248</c:v>
                </c:pt>
                <c:pt idx="46">
                  <c:v>2.8478918553372647</c:v>
                </c:pt>
                <c:pt idx="47">
                  <c:v>-2.5172951879013779</c:v>
                </c:pt>
                <c:pt idx="48">
                  <c:v>2.6623851168140225</c:v>
                </c:pt>
                <c:pt idx="49">
                  <c:v>2.1204832632625465</c:v>
                </c:pt>
                <c:pt idx="50">
                  <c:v>2.7074434103390623</c:v>
                </c:pt>
                <c:pt idx="51">
                  <c:v>-3.631120170495219</c:v>
                </c:pt>
                <c:pt idx="52">
                  <c:v>3.9318035651964767</c:v>
                </c:pt>
                <c:pt idx="53">
                  <c:v>1.0472190477999412</c:v>
                </c:pt>
                <c:pt idx="54">
                  <c:v>0.59441695727283006</c:v>
                </c:pt>
                <c:pt idx="55">
                  <c:v>-6.1818429201302907</c:v>
                </c:pt>
                <c:pt idx="56">
                  <c:v>2.0691580269521093</c:v>
                </c:pt>
                <c:pt idx="57">
                  <c:v>1.7454570475310363</c:v>
                </c:pt>
                <c:pt idx="58">
                  <c:v>2.0691679241754271</c:v>
                </c:pt>
                <c:pt idx="59">
                  <c:v>-3.4550254214360123</c:v>
                </c:pt>
                <c:pt idx="60">
                  <c:v>3.1076859692337431</c:v>
                </c:pt>
                <c:pt idx="61">
                  <c:v>1.7662895608777072</c:v>
                </c:pt>
                <c:pt idx="62">
                  <c:v>2.082704301225772</c:v>
                </c:pt>
                <c:pt idx="63">
                  <c:v>-3.0823022626638052</c:v>
                </c:pt>
                <c:pt idx="64">
                  <c:v>2.9317893019468309</c:v>
                </c:pt>
                <c:pt idx="65">
                  <c:v>1.4037403101422308</c:v>
                </c:pt>
                <c:pt idx="66">
                  <c:v>2.5028412999634706</c:v>
                </c:pt>
                <c:pt idx="67">
                  <c:v>-4.0132894199564273</c:v>
                </c:pt>
                <c:pt idx="68">
                  <c:v>3.1713124487389441</c:v>
                </c:pt>
                <c:pt idx="69">
                  <c:v>0.66014999611175862</c:v>
                </c:pt>
                <c:pt idx="70">
                  <c:v>2.4070510900437467</c:v>
                </c:pt>
                <c:pt idx="71">
                  <c:v>-4.4610025058315559</c:v>
                </c:pt>
                <c:pt idx="72">
                  <c:v>3.8658868425757156</c:v>
                </c:pt>
                <c:pt idx="73">
                  <c:v>5.8104020090114859E-2</c:v>
                </c:pt>
              </c:numCache>
            </c:numRef>
          </c:val>
        </c:ser>
        <c:ser>
          <c:idx val="1"/>
          <c:order val="1"/>
          <c:tx>
            <c:strRef>
              <c:f>Quarterly!$A$81</c:f>
              <c:strCache>
                <c:ptCount val="1"/>
                <c:pt idx="0">
                  <c:v>KZN - GDPR at constant 2005 prices</c:v>
                </c:pt>
              </c:strCache>
            </c:strRef>
          </c:tx>
          <c:marker>
            <c:symbol val="none"/>
          </c:marker>
          <c:cat>
            <c:strRef>
              <c:f>Quarterly!$C$65:$BY$65</c:f>
              <c:strCache>
                <c:ptCount val="75"/>
                <c:pt idx="0">
                  <c:v>1995q2</c:v>
                </c:pt>
                <c:pt idx="1">
                  <c:v>1995q3</c:v>
                </c:pt>
                <c:pt idx="2">
                  <c:v>1995q4</c:v>
                </c:pt>
                <c:pt idx="3">
                  <c:v>1996q1</c:v>
                </c:pt>
                <c:pt idx="4">
                  <c:v>1996q2</c:v>
                </c:pt>
                <c:pt idx="5">
                  <c:v>1996q3</c:v>
                </c:pt>
                <c:pt idx="6">
                  <c:v>1996q4</c:v>
                </c:pt>
                <c:pt idx="7">
                  <c:v>1997q1</c:v>
                </c:pt>
                <c:pt idx="8">
                  <c:v>1997q2</c:v>
                </c:pt>
                <c:pt idx="9">
                  <c:v>1997q3</c:v>
                </c:pt>
                <c:pt idx="10">
                  <c:v>1997q4</c:v>
                </c:pt>
                <c:pt idx="11">
                  <c:v>1998q1</c:v>
                </c:pt>
                <c:pt idx="12">
                  <c:v>1998q2</c:v>
                </c:pt>
                <c:pt idx="13">
                  <c:v>1998q3</c:v>
                </c:pt>
                <c:pt idx="14">
                  <c:v>1998q4</c:v>
                </c:pt>
                <c:pt idx="15">
                  <c:v>1999q1</c:v>
                </c:pt>
                <c:pt idx="16">
                  <c:v>1999q2</c:v>
                </c:pt>
                <c:pt idx="17">
                  <c:v>1999q3</c:v>
                </c:pt>
                <c:pt idx="18">
                  <c:v>1999q4</c:v>
                </c:pt>
                <c:pt idx="19">
                  <c:v>2000q1</c:v>
                </c:pt>
                <c:pt idx="20">
                  <c:v>2000q2</c:v>
                </c:pt>
                <c:pt idx="21">
                  <c:v>2000q3</c:v>
                </c:pt>
                <c:pt idx="22">
                  <c:v>2000q4</c:v>
                </c:pt>
                <c:pt idx="23">
                  <c:v>2001q1</c:v>
                </c:pt>
                <c:pt idx="24">
                  <c:v>2001q2</c:v>
                </c:pt>
                <c:pt idx="25">
                  <c:v>2001q3</c:v>
                </c:pt>
                <c:pt idx="26">
                  <c:v>2001q4</c:v>
                </c:pt>
                <c:pt idx="27">
                  <c:v>2002q1</c:v>
                </c:pt>
                <c:pt idx="28">
                  <c:v>2002q2</c:v>
                </c:pt>
                <c:pt idx="29">
                  <c:v>2002q3</c:v>
                </c:pt>
                <c:pt idx="30">
                  <c:v>2002q4</c:v>
                </c:pt>
                <c:pt idx="31">
                  <c:v>2003q1</c:v>
                </c:pt>
                <c:pt idx="32">
                  <c:v>2003q2</c:v>
                </c:pt>
                <c:pt idx="33">
                  <c:v>2003q3</c:v>
                </c:pt>
                <c:pt idx="34">
                  <c:v>2003q4</c:v>
                </c:pt>
                <c:pt idx="35">
                  <c:v>2004q1</c:v>
                </c:pt>
                <c:pt idx="36">
                  <c:v>2004q2</c:v>
                </c:pt>
                <c:pt idx="37">
                  <c:v>2004q3</c:v>
                </c:pt>
                <c:pt idx="38">
                  <c:v>2004q4</c:v>
                </c:pt>
                <c:pt idx="39">
                  <c:v>2005q1</c:v>
                </c:pt>
                <c:pt idx="40">
                  <c:v>2005q2</c:v>
                </c:pt>
                <c:pt idx="41">
                  <c:v>2005q3</c:v>
                </c:pt>
                <c:pt idx="42">
                  <c:v>2005q4</c:v>
                </c:pt>
                <c:pt idx="43">
                  <c:v>2006q1</c:v>
                </c:pt>
                <c:pt idx="44">
                  <c:v>2006q2</c:v>
                </c:pt>
                <c:pt idx="45">
                  <c:v>2006q3</c:v>
                </c:pt>
                <c:pt idx="46">
                  <c:v>2006q4</c:v>
                </c:pt>
                <c:pt idx="47">
                  <c:v>2007q1</c:v>
                </c:pt>
                <c:pt idx="48">
                  <c:v>2007q2</c:v>
                </c:pt>
                <c:pt idx="49">
                  <c:v>2007q3</c:v>
                </c:pt>
                <c:pt idx="50">
                  <c:v>2007q4</c:v>
                </c:pt>
                <c:pt idx="51">
                  <c:v>2008q1</c:v>
                </c:pt>
                <c:pt idx="52">
                  <c:v>2008q2</c:v>
                </c:pt>
                <c:pt idx="53">
                  <c:v>2008q3</c:v>
                </c:pt>
                <c:pt idx="54">
                  <c:v>2008q4</c:v>
                </c:pt>
                <c:pt idx="55">
                  <c:v>2009q1</c:v>
                </c:pt>
                <c:pt idx="56">
                  <c:v>2009q2</c:v>
                </c:pt>
                <c:pt idx="57">
                  <c:v>2009q3</c:v>
                </c:pt>
                <c:pt idx="58">
                  <c:v>2009q4</c:v>
                </c:pt>
                <c:pt idx="59">
                  <c:v>2010q1</c:v>
                </c:pt>
                <c:pt idx="60">
                  <c:v>2010q2</c:v>
                </c:pt>
                <c:pt idx="61">
                  <c:v>2010q3</c:v>
                </c:pt>
                <c:pt idx="62">
                  <c:v>2010q4</c:v>
                </c:pt>
                <c:pt idx="63">
                  <c:v>2011q1</c:v>
                </c:pt>
                <c:pt idx="64">
                  <c:v>2011q2</c:v>
                </c:pt>
                <c:pt idx="65">
                  <c:v>2011q3</c:v>
                </c:pt>
                <c:pt idx="66">
                  <c:v>2011q4</c:v>
                </c:pt>
                <c:pt idx="67">
                  <c:v>2012q1</c:v>
                </c:pt>
                <c:pt idx="68">
                  <c:v>2012q2</c:v>
                </c:pt>
                <c:pt idx="69">
                  <c:v>2012q3</c:v>
                </c:pt>
                <c:pt idx="70">
                  <c:v>2012q4</c:v>
                </c:pt>
                <c:pt idx="71">
                  <c:v>2013q1</c:v>
                </c:pt>
                <c:pt idx="72">
                  <c:v>2013q2</c:v>
                </c:pt>
                <c:pt idx="73">
                  <c:v>2013q3</c:v>
                </c:pt>
                <c:pt idx="74">
                  <c:v>2013q4</c:v>
                </c:pt>
              </c:strCache>
            </c:strRef>
          </c:cat>
          <c:val>
            <c:numRef>
              <c:f>Quarterly!$C$81:$BY$81</c:f>
              <c:numCache>
                <c:formatCode>#,##0.00</c:formatCode>
                <c:ptCount val="75"/>
                <c:pt idx="0">
                  <c:v>2.7436987782306166</c:v>
                </c:pt>
                <c:pt idx="1">
                  <c:v>4.1065968470611995</c:v>
                </c:pt>
                <c:pt idx="2">
                  <c:v>0.44534992049964595</c:v>
                </c:pt>
                <c:pt idx="3">
                  <c:v>-2.5525403299212077</c:v>
                </c:pt>
                <c:pt idx="4">
                  <c:v>5.3534054727740736</c:v>
                </c:pt>
                <c:pt idx="5">
                  <c:v>1.2364295703727086</c:v>
                </c:pt>
                <c:pt idx="6">
                  <c:v>0.36324037549733801</c:v>
                </c:pt>
                <c:pt idx="7">
                  <c:v>-4.0174567566905219</c:v>
                </c:pt>
                <c:pt idx="8">
                  <c:v>5.0640374759709417</c:v>
                </c:pt>
                <c:pt idx="9">
                  <c:v>0.43439492917982087</c:v>
                </c:pt>
                <c:pt idx="10">
                  <c:v>-0.27893259867842068</c:v>
                </c:pt>
                <c:pt idx="11">
                  <c:v>-3.6951313532066203</c:v>
                </c:pt>
                <c:pt idx="12">
                  <c:v>4.8168158920226976</c:v>
                </c:pt>
                <c:pt idx="13">
                  <c:v>-3.4763517190122745E-2</c:v>
                </c:pt>
                <c:pt idx="14">
                  <c:v>-0.45345280205266891</c:v>
                </c:pt>
                <c:pt idx="15">
                  <c:v>-4.6882022327920314</c:v>
                </c:pt>
                <c:pt idx="16">
                  <c:v>5.614564762152698</c:v>
                </c:pt>
                <c:pt idx="17">
                  <c:v>1.0179058123075313</c:v>
                </c:pt>
                <c:pt idx="18">
                  <c:v>0.50706408189000995</c:v>
                </c:pt>
                <c:pt idx="19">
                  <c:v>-3.3633041960224741</c:v>
                </c:pt>
                <c:pt idx="20">
                  <c:v>5.2239267117847641</c:v>
                </c:pt>
                <c:pt idx="21">
                  <c:v>3.9245410774898883</c:v>
                </c:pt>
                <c:pt idx="22">
                  <c:v>-0.59921787413434335</c:v>
                </c:pt>
                <c:pt idx="23">
                  <c:v>-2.6006800502505629</c:v>
                </c:pt>
                <c:pt idx="24">
                  <c:v>5.2073154068884904</c:v>
                </c:pt>
                <c:pt idx="25">
                  <c:v>0.70717948454016599</c:v>
                </c:pt>
                <c:pt idx="26">
                  <c:v>0.21410205253699061</c:v>
                </c:pt>
                <c:pt idx="27">
                  <c:v>-3.9747513347667009</c:v>
                </c:pt>
                <c:pt idx="28">
                  <c:v>6.0130399994116814</c:v>
                </c:pt>
                <c:pt idx="29">
                  <c:v>0.23362630546579513</c:v>
                </c:pt>
                <c:pt idx="30">
                  <c:v>0.7586098895596648</c:v>
                </c:pt>
                <c:pt idx="31">
                  <c:v>-3.7406311559114505</c:v>
                </c:pt>
                <c:pt idx="32">
                  <c:v>6.3924065400689871</c:v>
                </c:pt>
                <c:pt idx="33">
                  <c:v>-0.4142095681453839</c:v>
                </c:pt>
                <c:pt idx="34">
                  <c:v>-0.23771799783023098</c:v>
                </c:pt>
                <c:pt idx="35">
                  <c:v>-2.2084733872430853</c:v>
                </c:pt>
                <c:pt idx="36">
                  <c:v>6.2498039744359968</c:v>
                </c:pt>
                <c:pt idx="37">
                  <c:v>1.4900191440014401</c:v>
                </c:pt>
                <c:pt idx="38">
                  <c:v>0.65185016302199672</c:v>
                </c:pt>
                <c:pt idx="39">
                  <c:v>-2.3823427422788193</c:v>
                </c:pt>
                <c:pt idx="40">
                  <c:v>5.4461033194405166</c:v>
                </c:pt>
                <c:pt idx="41">
                  <c:v>2.4673865250881182</c:v>
                </c:pt>
                <c:pt idx="42">
                  <c:v>0.29398146657755736</c:v>
                </c:pt>
                <c:pt idx="43">
                  <c:v>-2.7573152057175725</c:v>
                </c:pt>
                <c:pt idx="44">
                  <c:v>4.9397431045306393</c:v>
                </c:pt>
                <c:pt idx="45">
                  <c:v>2.6599975855820834</c:v>
                </c:pt>
                <c:pt idx="46">
                  <c:v>1.9308691150601858</c:v>
                </c:pt>
                <c:pt idx="47">
                  <c:v>-2.5799844274380908</c:v>
                </c:pt>
                <c:pt idx="48">
                  <c:v>3.9063843370947704</c:v>
                </c:pt>
                <c:pt idx="49">
                  <c:v>2.0721097693941681</c:v>
                </c:pt>
                <c:pt idx="50">
                  <c:v>1.976428792900798</c:v>
                </c:pt>
                <c:pt idx="51">
                  <c:v>-3.4209058739890157</c:v>
                </c:pt>
                <c:pt idx="52">
                  <c:v>5.0514772493639404</c:v>
                </c:pt>
                <c:pt idx="53">
                  <c:v>0.945567144786154</c:v>
                </c:pt>
                <c:pt idx="54">
                  <c:v>-0.65283287709970972</c:v>
                </c:pt>
                <c:pt idx="55">
                  <c:v>-5.9244569961609805</c:v>
                </c:pt>
                <c:pt idx="56">
                  <c:v>2.8439143428187821</c:v>
                </c:pt>
                <c:pt idx="57">
                  <c:v>1.8218147463487662</c:v>
                </c:pt>
                <c:pt idx="58">
                  <c:v>1.2746002667266743</c:v>
                </c:pt>
                <c:pt idx="59">
                  <c:v>-3.1761182324103965</c:v>
                </c:pt>
                <c:pt idx="60">
                  <c:v>4.5813086151923095</c:v>
                </c:pt>
                <c:pt idx="61">
                  <c:v>1.3472535045476159</c:v>
                </c:pt>
                <c:pt idx="62">
                  <c:v>1.2202702854046832</c:v>
                </c:pt>
                <c:pt idx="63">
                  <c:v>-3.2133135849504191</c:v>
                </c:pt>
                <c:pt idx="64">
                  <c:v>3.918632533208942</c:v>
                </c:pt>
                <c:pt idx="65">
                  <c:v>1.522200818604333</c:v>
                </c:pt>
                <c:pt idx="66">
                  <c:v>1.7247561904051234</c:v>
                </c:pt>
                <c:pt idx="67">
                  <c:v>-3.8078758538808697</c:v>
                </c:pt>
                <c:pt idx="68">
                  <c:v>3.963095260307588</c:v>
                </c:pt>
                <c:pt idx="69">
                  <c:v>0.59387972186059568</c:v>
                </c:pt>
                <c:pt idx="70">
                  <c:v>1.8075132446648194</c:v>
                </c:pt>
                <c:pt idx="71">
                  <c:v>-4.7272953630268155</c:v>
                </c:pt>
                <c:pt idx="72">
                  <c:v>5.0869223941139579</c:v>
                </c:pt>
                <c:pt idx="73">
                  <c:v>-0.53436240668777935</c:v>
                </c:pt>
                <c:pt idx="74">
                  <c:v>2.0201608229927088</c:v>
                </c:pt>
              </c:numCache>
            </c:numRef>
          </c:val>
        </c:ser>
        <c:marker val="1"/>
        <c:axId val="221751552"/>
        <c:axId val="221757440"/>
      </c:lineChart>
      <c:catAx>
        <c:axId val="22175155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757440"/>
        <c:crosses val="autoZero"/>
        <c:auto val="1"/>
        <c:lblAlgn val="ctr"/>
        <c:lblOffset val="100"/>
      </c:catAx>
      <c:valAx>
        <c:axId val="221757440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175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705391912383363"/>
          <c:y val="2.4074583613851244E-2"/>
          <c:w val="0.29273978468622303"/>
          <c:h val="0.12231790728761142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rgbClr val="9BBB59">
        <a:lumMod val="40000"/>
        <a:lumOff val="60000"/>
      </a:srgbClr>
    </a:solidFill>
  </c:spPr>
  <c:printSettings>
    <c:headerFooter/>
    <c:pageMargins b="0.75000000000000788" l="0.70000000000000062" r="0.70000000000000062" t="0.75000000000000788" header="0.30000000000000032" footer="0.30000000000000032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2219742890444877E-2"/>
          <c:y val="2.1111287263588688E-2"/>
          <c:w val="0.94509471332371531"/>
          <c:h val="0.94875442583099945"/>
        </c:manualLayout>
      </c:layout>
      <c:lineChart>
        <c:grouping val="standard"/>
        <c:ser>
          <c:idx val="0"/>
          <c:order val="0"/>
          <c:tx>
            <c:strRef>
              <c:f>Quarterly!$A$61</c:f>
              <c:strCache>
                <c:ptCount val="1"/>
                <c:pt idx="0">
                  <c:v>SA - GDP at constant 2005 prices</c:v>
                </c:pt>
              </c:strCache>
            </c:strRef>
          </c:tx>
          <c:marker>
            <c:symbol val="none"/>
          </c:marker>
          <c:cat>
            <c:strRef>
              <c:f>Quarterly!$F$85:$BY$85</c:f>
              <c:strCache>
                <c:ptCount val="72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  <c:pt idx="71">
                  <c:v>2013q4</c:v>
                </c:pt>
              </c:strCache>
            </c:strRef>
          </c:cat>
          <c:val>
            <c:numRef>
              <c:f>Quarterly!$F$101:$BY$101</c:f>
              <c:numCache>
                <c:formatCode>#,##0.00</c:formatCode>
                <c:ptCount val="72"/>
                <c:pt idx="0">
                  <c:v>3.4539811899135437</c:v>
                </c:pt>
                <c:pt idx="1">
                  <c:v>5.0822925287045377</c:v>
                </c:pt>
                <c:pt idx="2">
                  <c:v>3.4602991283207243</c:v>
                </c:pt>
                <c:pt idx="3">
                  <c:v>3.6716673448207873</c:v>
                </c:pt>
                <c:pt idx="4">
                  <c:v>3.2447527219830867</c:v>
                </c:pt>
                <c:pt idx="5">
                  <c:v>3.2104633989503535</c:v>
                </c:pt>
                <c:pt idx="6">
                  <c:v>2.3144970577527029</c:v>
                </c:pt>
                <c:pt idx="7">
                  <c:v>1.5012597138382116</c:v>
                </c:pt>
                <c:pt idx="8">
                  <c:v>0.88413057803483819</c:v>
                </c:pt>
                <c:pt idx="9">
                  <c:v>0.54499616246304294</c:v>
                </c:pt>
                <c:pt idx="10">
                  <c:v>0.25368841112513246</c:v>
                </c:pt>
                <c:pt idx="11">
                  <c:v>0.37146303488282689</c:v>
                </c:pt>
                <c:pt idx="12">
                  <c:v>0.9287816320167992</c:v>
                </c:pt>
                <c:pt idx="13">
                  <c:v>1.7056900200821634</c:v>
                </c:pt>
                <c:pt idx="14">
                  <c:v>2.6083218615131383</c:v>
                </c:pt>
                <c:pt idx="15">
                  <c:v>3.4982965323186197</c:v>
                </c:pt>
                <c:pt idx="16">
                  <c:v>3.4215132498305332</c:v>
                </c:pt>
                <c:pt idx="17">
                  <c:v>3.2975754451655179</c:v>
                </c:pt>
                <c:pt idx="18">
                  <c:v>4.9305736980832506</c:v>
                </c:pt>
                <c:pt idx="19">
                  <c:v>4.2604006999476969</c:v>
                </c:pt>
                <c:pt idx="20">
                  <c:v>3.6660659666824911</c:v>
                </c:pt>
                <c:pt idx="21">
                  <c:v>3.6325304045017486</c:v>
                </c:pt>
                <c:pt idx="22">
                  <c:v>1.575494141853452</c:v>
                </c:pt>
                <c:pt idx="23">
                  <c:v>1.9474052503718882</c:v>
                </c:pt>
                <c:pt idx="24">
                  <c:v>3.2190551779887957</c:v>
                </c:pt>
                <c:pt idx="25">
                  <c:v>3.7297478820270102</c:v>
                </c:pt>
                <c:pt idx="26">
                  <c:v>3.4714320292754968</c:v>
                </c:pt>
                <c:pt idx="27">
                  <c:v>3.8200845268019759</c:v>
                </c:pt>
                <c:pt idx="28">
                  <c:v>3.2070177866564213</c:v>
                </c:pt>
                <c:pt idx="29">
                  <c:v>3.2087073598580531</c:v>
                </c:pt>
                <c:pt idx="30">
                  <c:v>3.0041181927469509</c:v>
                </c:pt>
                <c:pt idx="31">
                  <c:v>2.3994535931117311</c:v>
                </c:pt>
                <c:pt idx="32">
                  <c:v>3.7478216237945188</c:v>
                </c:pt>
                <c:pt idx="33">
                  <c:v>3.7307333070830397</c:v>
                </c:pt>
                <c:pt idx="34">
                  <c:v>5.0207384954685619</c:v>
                </c:pt>
                <c:pt idx="35">
                  <c:v>5.665570947315274</c:v>
                </c:pt>
                <c:pt idx="36">
                  <c:v>5.4470255815095907</c:v>
                </c:pt>
                <c:pt idx="37">
                  <c:v>5.1888414210925671</c:v>
                </c:pt>
                <c:pt idx="38">
                  <c:v>5.4552373866886166</c:v>
                </c:pt>
                <c:pt idx="39">
                  <c:v>5.0291798340352036</c:v>
                </c:pt>
                <c:pt idx="40">
                  <c:v>5.0815806899747553</c:v>
                </c:pt>
                <c:pt idx="41">
                  <c:v>4.93537559240478</c:v>
                </c:pt>
                <c:pt idx="42">
                  <c:v>5.2471500487526637</c:v>
                </c:pt>
                <c:pt idx="43">
                  <c:v>7.0897927068593898</c:v>
                </c:pt>
                <c:pt idx="44">
                  <c:v>6.6594512607973613</c:v>
                </c:pt>
                <c:pt idx="45">
                  <c:v>5.5363155240062127</c:v>
                </c:pt>
                <c:pt idx="46">
                  <c:v>5.110759973211044</c:v>
                </c:pt>
                <c:pt idx="47">
                  <c:v>4.967221369507028</c:v>
                </c:pt>
                <c:pt idx="48">
                  <c:v>3.7678792529728886</c:v>
                </c:pt>
                <c:pt idx="49">
                  <c:v>5.0509671154199189</c:v>
                </c:pt>
                <c:pt idx="50">
                  <c:v>3.9469041478166349</c:v>
                </c:pt>
                <c:pt idx="51">
                  <c:v>1.8083779525811465</c:v>
                </c:pt>
                <c:pt idx="52">
                  <c:v>-0.88631919660775538</c:v>
                </c:pt>
                <c:pt idx="53">
                  <c:v>-2.6626152772545875</c:v>
                </c:pt>
                <c:pt idx="54">
                  <c:v>-1.9900122957146853</c:v>
                </c:pt>
                <c:pt idx="55">
                  <c:v>-0.55315000747855536</c:v>
                </c:pt>
                <c:pt idx="56">
                  <c:v>2.3372650165426041</c:v>
                </c:pt>
                <c:pt idx="57">
                  <c:v>3.3785208798298876</c:v>
                </c:pt>
                <c:pt idx="58">
                  <c:v>3.3996877650990949</c:v>
                </c:pt>
                <c:pt idx="59">
                  <c:v>3.4134005952214692</c:v>
                </c:pt>
                <c:pt idx="60">
                  <c:v>3.8126401154293359</c:v>
                </c:pt>
                <c:pt idx="61">
                  <c:v>3.635540830861856</c:v>
                </c:pt>
                <c:pt idx="62">
                  <c:v>3.2663322467627145</c:v>
                </c:pt>
                <c:pt idx="63">
                  <c:v>3.6913406475274657</c:v>
                </c:pt>
                <c:pt idx="64">
                  <c:v>2.6952861732772622</c:v>
                </c:pt>
                <c:pt idx="65">
                  <c:v>2.9342589752828987</c:v>
                </c:pt>
                <c:pt idx="66">
                  <c:v>2.1794454178951241</c:v>
                </c:pt>
                <c:pt idx="67">
                  <c:v>2.0839574255435931</c:v>
                </c:pt>
                <c:pt idx="68">
                  <c:v>1.6078048069035116</c:v>
                </c:pt>
                <c:pt idx="69">
                  <c:v>2.2918532866386605</c:v>
                </c:pt>
                <c:pt idx="70">
                  <c:v>1.6800481318341429</c:v>
                </c:pt>
                <c:pt idx="71">
                  <c:v>1.972966491917671</c:v>
                </c:pt>
              </c:numCache>
            </c:numRef>
          </c:val>
        </c:ser>
        <c:ser>
          <c:idx val="1"/>
          <c:order val="1"/>
          <c:tx>
            <c:strRef>
              <c:f>Quarterly!$A$81</c:f>
              <c:strCache>
                <c:ptCount val="1"/>
                <c:pt idx="0">
                  <c:v>KZN - GDPR at constant 2005 prices</c:v>
                </c:pt>
              </c:strCache>
            </c:strRef>
          </c:tx>
          <c:marker>
            <c:symbol val="none"/>
          </c:marker>
          <c:cat>
            <c:strRef>
              <c:f>Quarterly!$F$85:$BY$85</c:f>
              <c:strCache>
                <c:ptCount val="72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  <c:pt idx="71">
                  <c:v>2013q4</c:v>
                </c:pt>
              </c:strCache>
            </c:strRef>
          </c:cat>
          <c:val>
            <c:numRef>
              <c:f>Quarterly!$F$121:$BY$121</c:f>
              <c:numCache>
                <c:formatCode>#,##0.00</c:formatCode>
                <c:ptCount val="72"/>
                <c:pt idx="0">
                  <c:v>4.6968955955301572</c:v>
                </c:pt>
                <c:pt idx="1">
                  <c:v>7.3562138075728036</c:v>
                </c:pt>
                <c:pt idx="2">
                  <c:v>4.3964562018916729</c:v>
                </c:pt>
                <c:pt idx="3">
                  <c:v>4.3111168056391316</c:v>
                </c:pt>
                <c:pt idx="4">
                  <c:v>2.7430198124431886</c:v>
                </c:pt>
                <c:pt idx="5">
                  <c:v>2.4608216082635024</c:v>
                </c:pt>
                <c:pt idx="6">
                  <c:v>1.6490868538509305</c:v>
                </c:pt>
                <c:pt idx="7">
                  <c:v>0.99868640660586527</c:v>
                </c:pt>
                <c:pt idx="8">
                  <c:v>1.337856856224291</c:v>
                </c:pt>
                <c:pt idx="9">
                  <c:v>1.0994031846561676</c:v>
                </c:pt>
                <c:pt idx="10">
                  <c:v>0.62713829013982481</c:v>
                </c:pt>
                <c:pt idx="11">
                  <c:v>0.45103238697406034</c:v>
                </c:pt>
                <c:pt idx="12">
                  <c:v>-0.58479265997818874</c:v>
                </c:pt>
                <c:pt idx="13">
                  <c:v>0.17184518151989553</c:v>
                </c:pt>
                <c:pt idx="14">
                  <c:v>1.2266901737578348</c:v>
                </c:pt>
                <c:pt idx="15">
                  <c:v>2.2034186264703943</c:v>
                </c:pt>
                <c:pt idx="16">
                  <c:v>3.8038121635194071</c:v>
                </c:pt>
                <c:pt idx="17">
                  <c:v>3.3199193228160588</c:v>
                </c:pt>
                <c:pt idx="18">
                  <c:v>6.656733934299468</c:v>
                </c:pt>
                <c:pt idx="19">
                  <c:v>5.3519071646716805</c:v>
                </c:pt>
                <c:pt idx="20">
                  <c:v>5.8713244702761607</c:v>
                </c:pt>
                <c:pt idx="21">
                  <c:v>5.8546109631347187</c:v>
                </c:pt>
                <c:pt idx="22">
                  <c:v>2.5774970474188819</c:v>
                </c:pt>
                <c:pt idx="23">
                  <c:v>3.416809581912776</c:v>
                </c:pt>
                <c:pt idx="24">
                  <c:v>1.9578459212209613</c:v>
                </c:pt>
                <c:pt idx="25">
                  <c:v>2.7386846256561403</c:v>
                </c:pt>
                <c:pt idx="26">
                  <c:v>2.2555787441547386</c:v>
                </c:pt>
                <c:pt idx="27">
                  <c:v>2.8111788330154051</c:v>
                </c:pt>
                <c:pt idx="28">
                  <c:v>3.0618438603002498</c:v>
                </c:pt>
                <c:pt idx="29">
                  <c:v>3.4306495768353331</c:v>
                </c:pt>
                <c:pt idx="30">
                  <c:v>2.7621505142295644</c:v>
                </c:pt>
                <c:pt idx="31">
                  <c:v>1.7460110851752375</c:v>
                </c:pt>
                <c:pt idx="32">
                  <c:v>3.365499589901106</c:v>
                </c:pt>
                <c:pt idx="33">
                  <c:v>3.2269541248739153</c:v>
                </c:pt>
                <c:pt idx="34">
                  <c:v>5.2008073127597605</c:v>
                </c:pt>
                <c:pt idx="35">
                  <c:v>6.1388701437538025</c:v>
                </c:pt>
                <c:pt idx="36">
                  <c:v>5.9501595515857018</c:v>
                </c:pt>
                <c:pt idx="37">
                  <c:v>5.1487254835381693</c:v>
                </c:pt>
                <c:pt idx="38">
                  <c:v>6.1613268734800881</c:v>
                </c:pt>
                <c:pt idx="39">
                  <c:v>5.7838691754895342</c:v>
                </c:pt>
                <c:pt idx="40">
                  <c:v>5.3775283645018925</c:v>
                </c:pt>
                <c:pt idx="41">
                  <c:v>4.8714974517456939</c:v>
                </c:pt>
                <c:pt idx="42">
                  <c:v>5.0686275926108095</c:v>
                </c:pt>
                <c:pt idx="43">
                  <c:v>6.7834417443122161</c:v>
                </c:pt>
                <c:pt idx="44">
                  <c:v>6.9781709506472707</c:v>
                </c:pt>
                <c:pt idx="45">
                  <c:v>5.924739451715654</c:v>
                </c:pt>
                <c:pt idx="46">
                  <c:v>5.3181559214108702</c:v>
                </c:pt>
                <c:pt idx="47">
                  <c:v>5.3652296027814321</c:v>
                </c:pt>
                <c:pt idx="48">
                  <c:v>4.4557257316006078</c:v>
                </c:pt>
                <c:pt idx="49">
                  <c:v>5.6068726216044276</c:v>
                </c:pt>
                <c:pt idx="50">
                  <c:v>4.4413177630973353</c:v>
                </c:pt>
                <c:pt idx="51">
                  <c:v>1.7485037784407969</c:v>
                </c:pt>
                <c:pt idx="52">
                  <c:v>-0.88905027110819967</c:v>
                </c:pt>
                <c:pt idx="53">
                  <c:v>-2.9717783010492367</c:v>
                </c:pt>
                <c:pt idx="54">
                  <c:v>-2.1295348132728416</c:v>
                </c:pt>
                <c:pt idx="55">
                  <c:v>-0.23075114519659801</c:v>
                </c:pt>
                <c:pt idx="56">
                  <c:v>2.6839245005952663</c:v>
                </c:pt>
                <c:pt idx="57">
                  <c:v>4.41861598362736</c:v>
                </c:pt>
                <c:pt idx="58">
                  <c:v>3.9319518223983483</c:v>
                </c:pt>
                <c:pt idx="59">
                  <c:v>3.8761962727699371</c:v>
                </c:pt>
                <c:pt idx="60">
                  <c:v>3.8362917402274759</c:v>
                </c:pt>
                <c:pt idx="61">
                  <c:v>3.1783364335934565</c:v>
                </c:pt>
                <c:pt idx="62">
                  <c:v>3.3564445934469207</c:v>
                </c:pt>
                <c:pt idx="63">
                  <c:v>3.8715772772594774</c:v>
                </c:pt>
                <c:pt idx="64">
                  <c:v>3.2334924026671685</c:v>
                </c:pt>
                <c:pt idx="65">
                  <c:v>3.2776619850437747</c:v>
                </c:pt>
                <c:pt idx="66">
                  <c:v>2.3332889152125764</c:v>
                </c:pt>
                <c:pt idx="67">
                  <c:v>2.4165410345637182</c:v>
                </c:pt>
                <c:pt idx="68">
                  <c:v>1.4376275661035955</c:v>
                </c:pt>
                <c:pt idx="69">
                  <c:v>2.5341547324244709</c:v>
                </c:pt>
                <c:pt idx="70">
                  <c:v>1.3841508424852382</c:v>
                </c:pt>
                <c:pt idx="71">
                  <c:v>1.5959141345094026</c:v>
                </c:pt>
              </c:numCache>
            </c:numRef>
          </c:val>
        </c:ser>
        <c:marker val="1"/>
        <c:axId val="222230400"/>
        <c:axId val="219693056"/>
      </c:lineChart>
      <c:catAx>
        <c:axId val="22223040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19693056"/>
        <c:crosses val="autoZero"/>
        <c:auto val="1"/>
        <c:lblAlgn val="ctr"/>
        <c:lblOffset val="100"/>
      </c:catAx>
      <c:valAx>
        <c:axId val="219693056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223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705388062233653"/>
          <c:y val="2.407463112054814E-2"/>
          <c:w val="0.29273973833118494"/>
          <c:h val="0.12231796868088105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rgbClr val="9BBB59">
        <a:lumMod val="40000"/>
        <a:lumOff val="60000"/>
      </a:srgbClr>
    </a:solidFill>
  </c:spPr>
  <c:printSettings>
    <c:headerFooter/>
    <c:pageMargins b="0.7500000000000081" l="0.70000000000000062" r="0.70000000000000062" t="0.7500000000000081" header="0.30000000000000032" footer="0.30000000000000032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5.2219742890444877E-2"/>
          <c:y val="2.1111287263588688E-2"/>
          <c:w val="0.94509471332371453"/>
          <c:h val="0.94875442583099945"/>
        </c:manualLayout>
      </c:layout>
      <c:lineChart>
        <c:grouping val="standard"/>
        <c:ser>
          <c:idx val="0"/>
          <c:order val="0"/>
          <c:tx>
            <c:strRef>
              <c:f>Seasonal!$A$61</c:f>
              <c:strCache>
                <c:ptCount val="1"/>
                <c:pt idx="0">
                  <c:v>SA - GDP at constant 2005 prices</c:v>
                </c:pt>
              </c:strCache>
            </c:strRef>
          </c:tx>
          <c:marker>
            <c:symbol val="none"/>
          </c:marker>
          <c:cat>
            <c:strRef>
              <c:f>Seasonal!$C$65:$BY$65</c:f>
              <c:strCache>
                <c:ptCount val="75"/>
                <c:pt idx="0">
                  <c:v>1995q2</c:v>
                </c:pt>
                <c:pt idx="1">
                  <c:v>1995q3</c:v>
                </c:pt>
                <c:pt idx="2">
                  <c:v>1995q4</c:v>
                </c:pt>
                <c:pt idx="3">
                  <c:v>1996q1</c:v>
                </c:pt>
                <c:pt idx="4">
                  <c:v>1996q2</c:v>
                </c:pt>
                <c:pt idx="5">
                  <c:v>1996q3</c:v>
                </c:pt>
                <c:pt idx="6">
                  <c:v>1996q4</c:v>
                </c:pt>
                <c:pt idx="7">
                  <c:v>1997q1</c:v>
                </c:pt>
                <c:pt idx="8">
                  <c:v>1997q2</c:v>
                </c:pt>
                <c:pt idx="9">
                  <c:v>1997q3</c:v>
                </c:pt>
                <c:pt idx="10">
                  <c:v>1997q4</c:v>
                </c:pt>
                <c:pt idx="11">
                  <c:v>1998q1</c:v>
                </c:pt>
                <c:pt idx="12">
                  <c:v>1998q2</c:v>
                </c:pt>
                <c:pt idx="13">
                  <c:v>1998q3</c:v>
                </c:pt>
                <c:pt idx="14">
                  <c:v>1998q4</c:v>
                </c:pt>
                <c:pt idx="15">
                  <c:v>1999q1</c:v>
                </c:pt>
                <c:pt idx="16">
                  <c:v>1999q2</c:v>
                </c:pt>
                <c:pt idx="17">
                  <c:v>1999q3</c:v>
                </c:pt>
                <c:pt idx="18">
                  <c:v>1999q4</c:v>
                </c:pt>
                <c:pt idx="19">
                  <c:v>2000q1</c:v>
                </c:pt>
                <c:pt idx="20">
                  <c:v>2000q2</c:v>
                </c:pt>
                <c:pt idx="21">
                  <c:v>2000q3</c:v>
                </c:pt>
                <c:pt idx="22">
                  <c:v>2000q4</c:v>
                </c:pt>
                <c:pt idx="23">
                  <c:v>2001q1</c:v>
                </c:pt>
                <c:pt idx="24">
                  <c:v>2001q2</c:v>
                </c:pt>
                <c:pt idx="25">
                  <c:v>2001q3</c:v>
                </c:pt>
                <c:pt idx="26">
                  <c:v>2001q4</c:v>
                </c:pt>
                <c:pt idx="27">
                  <c:v>2002q1</c:v>
                </c:pt>
                <c:pt idx="28">
                  <c:v>2002q2</c:v>
                </c:pt>
                <c:pt idx="29">
                  <c:v>2002q3</c:v>
                </c:pt>
                <c:pt idx="30">
                  <c:v>2002q4</c:v>
                </c:pt>
                <c:pt idx="31">
                  <c:v>2003q1</c:v>
                </c:pt>
                <c:pt idx="32">
                  <c:v>2003q2</c:v>
                </c:pt>
                <c:pt idx="33">
                  <c:v>2003q3</c:v>
                </c:pt>
                <c:pt idx="34">
                  <c:v>2003q4</c:v>
                </c:pt>
                <c:pt idx="35">
                  <c:v>2004q1</c:v>
                </c:pt>
                <c:pt idx="36">
                  <c:v>2004q2</c:v>
                </c:pt>
                <c:pt idx="37">
                  <c:v>2004q3</c:v>
                </c:pt>
                <c:pt idx="38">
                  <c:v>2004q4</c:v>
                </c:pt>
                <c:pt idx="39">
                  <c:v>2005q1</c:v>
                </c:pt>
                <c:pt idx="40">
                  <c:v>2005q2</c:v>
                </c:pt>
                <c:pt idx="41">
                  <c:v>2005q3</c:v>
                </c:pt>
                <c:pt idx="42">
                  <c:v>2005q4</c:v>
                </c:pt>
                <c:pt idx="43">
                  <c:v>2006q1</c:v>
                </c:pt>
                <c:pt idx="44">
                  <c:v>2006q2</c:v>
                </c:pt>
                <c:pt idx="45">
                  <c:v>2006q3</c:v>
                </c:pt>
                <c:pt idx="46">
                  <c:v>2006q4</c:v>
                </c:pt>
                <c:pt idx="47">
                  <c:v>2007q1</c:v>
                </c:pt>
                <c:pt idx="48">
                  <c:v>2007q2</c:v>
                </c:pt>
                <c:pt idx="49">
                  <c:v>2007q3</c:v>
                </c:pt>
                <c:pt idx="50">
                  <c:v>2007q4</c:v>
                </c:pt>
                <c:pt idx="51">
                  <c:v>2008q1</c:v>
                </c:pt>
                <c:pt idx="52">
                  <c:v>2008q2</c:v>
                </c:pt>
                <c:pt idx="53">
                  <c:v>2008q3</c:v>
                </c:pt>
                <c:pt idx="54">
                  <c:v>2008q4</c:v>
                </c:pt>
                <c:pt idx="55">
                  <c:v>2009q1</c:v>
                </c:pt>
                <c:pt idx="56">
                  <c:v>2009q2</c:v>
                </c:pt>
                <c:pt idx="57">
                  <c:v>2009q3</c:v>
                </c:pt>
                <c:pt idx="58">
                  <c:v>2009q4</c:v>
                </c:pt>
                <c:pt idx="59">
                  <c:v>2010q1</c:v>
                </c:pt>
                <c:pt idx="60">
                  <c:v>2010q2</c:v>
                </c:pt>
                <c:pt idx="61">
                  <c:v>2010q3</c:v>
                </c:pt>
                <c:pt idx="62">
                  <c:v>2010q4</c:v>
                </c:pt>
                <c:pt idx="63">
                  <c:v>2011q1</c:v>
                </c:pt>
                <c:pt idx="64">
                  <c:v>2011q2</c:v>
                </c:pt>
                <c:pt idx="65">
                  <c:v>2011q3</c:v>
                </c:pt>
                <c:pt idx="66">
                  <c:v>2011q4</c:v>
                </c:pt>
                <c:pt idx="67">
                  <c:v>2012q1</c:v>
                </c:pt>
                <c:pt idx="68">
                  <c:v>2012q2</c:v>
                </c:pt>
                <c:pt idx="69">
                  <c:v>2012q3</c:v>
                </c:pt>
                <c:pt idx="70">
                  <c:v>2012q4</c:v>
                </c:pt>
                <c:pt idx="71">
                  <c:v>2013q1</c:v>
                </c:pt>
                <c:pt idx="72">
                  <c:v>2013q2</c:v>
                </c:pt>
                <c:pt idx="73">
                  <c:v>2013q3</c:v>
                </c:pt>
                <c:pt idx="74">
                  <c:v>2013q4</c:v>
                </c:pt>
              </c:strCache>
            </c:strRef>
          </c:cat>
          <c:val>
            <c:numRef>
              <c:f>Seasonal!$C$61:$BY$61</c:f>
              <c:numCache>
                <c:formatCode>#,##0.00</c:formatCode>
                <c:ptCount val="75"/>
                <c:pt idx="0">
                  <c:v>0.26681393746179505</c:v>
                </c:pt>
                <c:pt idx="1">
                  <c:v>0.59101498678808317</c:v>
                </c:pt>
                <c:pt idx="2">
                  <c:v>0.28887815842270781</c:v>
                </c:pt>
                <c:pt idx="3">
                  <c:v>1.4518550814069835</c:v>
                </c:pt>
                <c:pt idx="4">
                  <c:v>1.2664801279486917</c:v>
                </c:pt>
                <c:pt idx="5">
                  <c:v>1.2070738917556036</c:v>
                </c:pt>
                <c:pt idx="6">
                  <c:v>1.0750389973809045</c:v>
                </c:pt>
                <c:pt idx="7">
                  <c:v>0.27707894018267853</c:v>
                </c:pt>
                <c:pt idx="8">
                  <c:v>0.63980757974648528</c:v>
                </c:pt>
                <c:pt idx="9">
                  <c:v>0.15216406423912984</c:v>
                </c:pt>
                <c:pt idx="10">
                  <c:v>-7.4540111432992648E-2</c:v>
                </c:pt>
                <c:pt idx="11">
                  <c:v>0.33132966435387728</c:v>
                </c:pt>
                <c:pt idx="12">
                  <c:v>0.11864971723709369</c:v>
                </c:pt>
                <c:pt idx="13">
                  <c:v>-0.22226978067033465</c:v>
                </c:pt>
                <c:pt idx="14">
                  <c:v>8.1778080303601744E-2</c:v>
                </c:pt>
                <c:pt idx="15">
                  <c:v>0.85474596562020588</c:v>
                </c:pt>
                <c:pt idx="16">
                  <c:v>0.73767768321495231</c:v>
                </c:pt>
                <c:pt idx="17">
                  <c:v>1.053310613824193</c:v>
                </c:pt>
                <c:pt idx="18">
                  <c:v>1.0611866157973291</c:v>
                </c:pt>
                <c:pt idx="19">
                  <c:v>1.0757632202211558</c:v>
                </c:pt>
                <c:pt idx="20">
                  <c:v>0.87325903222287338</c:v>
                </c:pt>
                <c:pt idx="21">
                  <c:v>0.96296867569518296</c:v>
                </c:pt>
                <c:pt idx="22">
                  <c:v>0.84838971065071445</c:v>
                </c:pt>
                <c:pt idx="23">
                  <c:v>0.64661060897428002</c:v>
                </c:pt>
                <c:pt idx="24">
                  <c:v>0.48646380291528774</c:v>
                </c:pt>
                <c:pt idx="25">
                  <c:v>0.24817142945355455</c:v>
                </c:pt>
                <c:pt idx="26">
                  <c:v>0.74716069090971904</c:v>
                </c:pt>
                <c:pt idx="27">
                  <c:v>1.2249634449172211</c:v>
                </c:pt>
                <c:pt idx="28">
                  <c:v>1.2109433108539298</c:v>
                </c:pt>
                <c:pt idx="29">
                  <c:v>0.82024598876727206</c:v>
                </c:pt>
                <c:pt idx="30">
                  <c:v>0.66792101946743487</c:v>
                </c:pt>
                <c:pt idx="31">
                  <c:v>0.92543907980240214</c:v>
                </c:pt>
                <c:pt idx="32">
                  <c:v>0.4883734104936685</c:v>
                </c:pt>
                <c:pt idx="33">
                  <c:v>0.54269272731033646</c:v>
                </c:pt>
                <c:pt idx="34">
                  <c:v>0.57693161408175597</c:v>
                </c:pt>
                <c:pt idx="35">
                  <c:v>1.5137801231013281</c:v>
                </c:pt>
                <c:pt idx="36">
                  <c:v>1.3974492309938524</c:v>
                </c:pt>
                <c:pt idx="37">
                  <c:v>1.6351180790347315</c:v>
                </c:pt>
                <c:pt idx="38">
                  <c:v>1.0679310494391605</c:v>
                </c:pt>
                <c:pt idx="39">
                  <c:v>1.016640956172608</c:v>
                </c:pt>
                <c:pt idx="40">
                  <c:v>1.7945551305910978</c:v>
                </c:pt>
                <c:pt idx="41">
                  <c:v>1.3636199324897216</c:v>
                </c:pt>
                <c:pt idx="42">
                  <c:v>0.66935777754421588</c:v>
                </c:pt>
                <c:pt idx="43">
                  <c:v>1.5203357638529329</c:v>
                </c:pt>
                <c:pt idx="44">
                  <c:v>1.6452163650888176</c:v>
                </c:pt>
                <c:pt idx="45">
                  <c:v>1.425144562498956</c:v>
                </c:pt>
                <c:pt idx="46">
                  <c:v>1.5558764224621968</c:v>
                </c:pt>
                <c:pt idx="47">
                  <c:v>1.5880673229301467</c:v>
                </c:pt>
                <c:pt idx="48">
                  <c:v>0.77256394507515647</c:v>
                </c:pt>
                <c:pt idx="49">
                  <c:v>1.2380293081265026</c:v>
                </c:pt>
                <c:pt idx="50">
                  <c:v>1.4654860896887802</c:v>
                </c:pt>
                <c:pt idx="51">
                  <c:v>0.73912044849540681</c:v>
                </c:pt>
                <c:pt idx="52">
                  <c:v>1.092231343018379</c:v>
                </c:pt>
                <c:pt idx="53">
                  <c:v>0.44284048056925268</c:v>
                </c:pt>
                <c:pt idx="54">
                  <c:v>-0.42210499595988382</c:v>
                </c:pt>
                <c:pt idx="55">
                  <c:v>-1.60433011529835</c:v>
                </c:pt>
                <c:pt idx="56">
                  <c:v>-0.69010021796462451</c:v>
                </c:pt>
                <c:pt idx="57">
                  <c:v>0.42213846239889385</c:v>
                </c:pt>
                <c:pt idx="58">
                  <c:v>0.85684537242589098</c:v>
                </c:pt>
                <c:pt idx="59">
                  <c:v>1.1318747069313584</c:v>
                </c:pt>
                <c:pt idx="60">
                  <c:v>0.74168285627062436</c:v>
                </c:pt>
                <c:pt idx="61">
                  <c:v>0.90943948648363138</c:v>
                </c:pt>
                <c:pt idx="62">
                  <c:v>1.1171351559598748</c:v>
                </c:pt>
                <c:pt idx="63">
                  <c:v>1.2466985552138421</c:v>
                </c:pt>
                <c:pt idx="64">
                  <c:v>0.50092179563068573</c:v>
                </c:pt>
                <c:pt idx="65">
                  <c:v>0.44414927954944999</c:v>
                </c:pt>
                <c:pt idx="66">
                  <c:v>0.93638868919849916</c:v>
                </c:pt>
                <c:pt idx="67">
                  <c:v>0.60248932041599912</c:v>
                </c:pt>
                <c:pt idx="68">
                  <c:v>0.6505997632854803</c:v>
                </c:pt>
                <c:pt idx="69">
                  <c:v>0.3209353841561603</c:v>
                </c:pt>
                <c:pt idx="70">
                  <c:v>0.58137050230115661</c:v>
                </c:pt>
                <c:pt idx="71">
                  <c:v>0.19232306289097753</c:v>
                </c:pt>
                <c:pt idx="72">
                  <c:v>0.80139002282713223</c:v>
                </c:pt>
                <c:pt idx="73">
                  <c:v>0.1785078470253787</c:v>
                </c:pt>
                <c:pt idx="74">
                  <c:v>0.94508969897561368</c:v>
                </c:pt>
              </c:numCache>
            </c:numRef>
          </c:val>
        </c:ser>
        <c:ser>
          <c:idx val="1"/>
          <c:order val="1"/>
          <c:tx>
            <c:strRef>
              <c:f>Seasonal!$A$81</c:f>
              <c:strCache>
                <c:ptCount val="1"/>
                <c:pt idx="0">
                  <c:v>KZN - GDPR at constant 2005 prices</c:v>
                </c:pt>
              </c:strCache>
            </c:strRef>
          </c:tx>
          <c:marker>
            <c:symbol val="none"/>
          </c:marker>
          <c:cat>
            <c:strRef>
              <c:f>Seasonal!$C$65:$BY$65</c:f>
              <c:strCache>
                <c:ptCount val="75"/>
                <c:pt idx="0">
                  <c:v>1995q2</c:v>
                </c:pt>
                <c:pt idx="1">
                  <c:v>1995q3</c:v>
                </c:pt>
                <c:pt idx="2">
                  <c:v>1995q4</c:v>
                </c:pt>
                <c:pt idx="3">
                  <c:v>1996q1</c:v>
                </c:pt>
                <c:pt idx="4">
                  <c:v>1996q2</c:v>
                </c:pt>
                <c:pt idx="5">
                  <c:v>1996q3</c:v>
                </c:pt>
                <c:pt idx="6">
                  <c:v>1996q4</c:v>
                </c:pt>
                <c:pt idx="7">
                  <c:v>1997q1</c:v>
                </c:pt>
                <c:pt idx="8">
                  <c:v>1997q2</c:v>
                </c:pt>
                <c:pt idx="9">
                  <c:v>1997q3</c:v>
                </c:pt>
                <c:pt idx="10">
                  <c:v>1997q4</c:v>
                </c:pt>
                <c:pt idx="11">
                  <c:v>1998q1</c:v>
                </c:pt>
                <c:pt idx="12">
                  <c:v>1998q2</c:v>
                </c:pt>
                <c:pt idx="13">
                  <c:v>1998q3</c:v>
                </c:pt>
                <c:pt idx="14">
                  <c:v>1998q4</c:v>
                </c:pt>
                <c:pt idx="15">
                  <c:v>1999q1</c:v>
                </c:pt>
                <c:pt idx="16">
                  <c:v>1999q2</c:v>
                </c:pt>
                <c:pt idx="17">
                  <c:v>1999q3</c:v>
                </c:pt>
                <c:pt idx="18">
                  <c:v>1999q4</c:v>
                </c:pt>
                <c:pt idx="19">
                  <c:v>2000q1</c:v>
                </c:pt>
                <c:pt idx="20">
                  <c:v>2000q2</c:v>
                </c:pt>
                <c:pt idx="21">
                  <c:v>2000q3</c:v>
                </c:pt>
                <c:pt idx="22">
                  <c:v>2000q4</c:v>
                </c:pt>
                <c:pt idx="23">
                  <c:v>2001q1</c:v>
                </c:pt>
                <c:pt idx="24">
                  <c:v>2001q2</c:v>
                </c:pt>
                <c:pt idx="25">
                  <c:v>2001q3</c:v>
                </c:pt>
                <c:pt idx="26">
                  <c:v>2001q4</c:v>
                </c:pt>
                <c:pt idx="27">
                  <c:v>2002q1</c:v>
                </c:pt>
                <c:pt idx="28">
                  <c:v>2002q2</c:v>
                </c:pt>
                <c:pt idx="29">
                  <c:v>2002q3</c:v>
                </c:pt>
                <c:pt idx="30">
                  <c:v>2002q4</c:v>
                </c:pt>
                <c:pt idx="31">
                  <c:v>2003q1</c:v>
                </c:pt>
                <c:pt idx="32">
                  <c:v>2003q2</c:v>
                </c:pt>
                <c:pt idx="33">
                  <c:v>2003q3</c:v>
                </c:pt>
                <c:pt idx="34">
                  <c:v>2003q4</c:v>
                </c:pt>
                <c:pt idx="35">
                  <c:v>2004q1</c:v>
                </c:pt>
                <c:pt idx="36">
                  <c:v>2004q2</c:v>
                </c:pt>
                <c:pt idx="37">
                  <c:v>2004q3</c:v>
                </c:pt>
                <c:pt idx="38">
                  <c:v>2004q4</c:v>
                </c:pt>
                <c:pt idx="39">
                  <c:v>2005q1</c:v>
                </c:pt>
                <c:pt idx="40">
                  <c:v>2005q2</c:v>
                </c:pt>
                <c:pt idx="41">
                  <c:v>2005q3</c:v>
                </c:pt>
                <c:pt idx="42">
                  <c:v>2005q4</c:v>
                </c:pt>
                <c:pt idx="43">
                  <c:v>2006q1</c:v>
                </c:pt>
                <c:pt idx="44">
                  <c:v>2006q2</c:v>
                </c:pt>
                <c:pt idx="45">
                  <c:v>2006q3</c:v>
                </c:pt>
                <c:pt idx="46">
                  <c:v>2006q4</c:v>
                </c:pt>
                <c:pt idx="47">
                  <c:v>2007q1</c:v>
                </c:pt>
                <c:pt idx="48">
                  <c:v>2007q2</c:v>
                </c:pt>
                <c:pt idx="49">
                  <c:v>2007q3</c:v>
                </c:pt>
                <c:pt idx="50">
                  <c:v>2007q4</c:v>
                </c:pt>
                <c:pt idx="51">
                  <c:v>2008q1</c:v>
                </c:pt>
                <c:pt idx="52">
                  <c:v>2008q2</c:v>
                </c:pt>
                <c:pt idx="53">
                  <c:v>2008q3</c:v>
                </c:pt>
                <c:pt idx="54">
                  <c:v>2008q4</c:v>
                </c:pt>
                <c:pt idx="55">
                  <c:v>2009q1</c:v>
                </c:pt>
                <c:pt idx="56">
                  <c:v>2009q2</c:v>
                </c:pt>
                <c:pt idx="57">
                  <c:v>2009q3</c:v>
                </c:pt>
                <c:pt idx="58">
                  <c:v>2009q4</c:v>
                </c:pt>
                <c:pt idx="59">
                  <c:v>2010q1</c:v>
                </c:pt>
                <c:pt idx="60">
                  <c:v>2010q2</c:v>
                </c:pt>
                <c:pt idx="61">
                  <c:v>2010q3</c:v>
                </c:pt>
                <c:pt idx="62">
                  <c:v>2010q4</c:v>
                </c:pt>
                <c:pt idx="63">
                  <c:v>2011q1</c:v>
                </c:pt>
                <c:pt idx="64">
                  <c:v>2011q2</c:v>
                </c:pt>
                <c:pt idx="65">
                  <c:v>2011q3</c:v>
                </c:pt>
                <c:pt idx="66">
                  <c:v>2011q4</c:v>
                </c:pt>
                <c:pt idx="67">
                  <c:v>2012q1</c:v>
                </c:pt>
                <c:pt idx="68">
                  <c:v>2012q2</c:v>
                </c:pt>
                <c:pt idx="69">
                  <c:v>2012q3</c:v>
                </c:pt>
                <c:pt idx="70">
                  <c:v>2012q4</c:v>
                </c:pt>
                <c:pt idx="71">
                  <c:v>2013q1</c:v>
                </c:pt>
                <c:pt idx="72">
                  <c:v>2013q2</c:v>
                </c:pt>
                <c:pt idx="73">
                  <c:v>2013q3</c:v>
                </c:pt>
                <c:pt idx="74">
                  <c:v>2013q4</c:v>
                </c:pt>
              </c:strCache>
            </c:strRef>
          </c:cat>
          <c:val>
            <c:numRef>
              <c:f>Seasonal!$C$81:$BY$81</c:f>
              <c:numCache>
                <c:formatCode>#,##0.00</c:formatCode>
                <c:ptCount val="75"/>
                <c:pt idx="0">
                  <c:v>8.5586134566683542E-2</c:v>
                </c:pt>
                <c:pt idx="1">
                  <c:v>0.49727492189653055</c:v>
                </c:pt>
                <c:pt idx="2">
                  <c:v>0.343725280199216</c:v>
                </c:pt>
                <c:pt idx="3">
                  <c:v>2.401405380299936</c:v>
                </c:pt>
                <c:pt idx="4">
                  <c:v>1.6116128445658437</c:v>
                </c:pt>
                <c:pt idx="5">
                  <c:v>1.343624067728252</c:v>
                </c:pt>
                <c:pt idx="6">
                  <c:v>1.0829528750688155</c:v>
                </c:pt>
                <c:pt idx="7">
                  <c:v>-0.54111269221823166</c:v>
                </c:pt>
                <c:pt idx="8">
                  <c:v>0.72654699991861893</c:v>
                </c:pt>
                <c:pt idx="9">
                  <c:v>0.15672183568722803</c:v>
                </c:pt>
                <c:pt idx="10">
                  <c:v>-5.3888751971941276E-2</c:v>
                </c:pt>
                <c:pt idx="11">
                  <c:v>0.67341816224111339</c:v>
                </c:pt>
                <c:pt idx="12">
                  <c:v>0.10285422434146869</c:v>
                </c:pt>
                <c:pt idx="13">
                  <c:v>-0.26945200879324177</c:v>
                </c:pt>
                <c:pt idx="14">
                  <c:v>0.14933504824353852</c:v>
                </c:pt>
                <c:pt idx="15">
                  <c:v>-0.82438945336368519</c:v>
                </c:pt>
                <c:pt idx="16">
                  <c:v>0.89155582583853188</c:v>
                </c:pt>
                <c:pt idx="17">
                  <c:v>1.2161752812986673</c:v>
                </c:pt>
                <c:pt idx="18">
                  <c:v>1.2565180142828605</c:v>
                </c:pt>
                <c:pt idx="19">
                  <c:v>1.1373369501056076</c:v>
                </c:pt>
                <c:pt idx="20">
                  <c:v>1.0491539212069276</c:v>
                </c:pt>
                <c:pt idx="21">
                  <c:v>1.1436304956264485</c:v>
                </c:pt>
                <c:pt idx="22">
                  <c:v>0.89308144948342083</c:v>
                </c:pt>
                <c:pt idx="23">
                  <c:v>2.1797671229169606</c:v>
                </c:pt>
                <c:pt idx="24">
                  <c:v>0.42619388846515965</c:v>
                </c:pt>
                <c:pt idx="25">
                  <c:v>0.23261443486567787</c:v>
                </c:pt>
                <c:pt idx="26">
                  <c:v>0.8427197247248106</c:v>
                </c:pt>
                <c:pt idx="27">
                  <c:v>-7.6768456878507224E-2</c:v>
                </c:pt>
                <c:pt idx="28">
                  <c:v>1.3482329379119891</c:v>
                </c:pt>
                <c:pt idx="29">
                  <c:v>0.9259098017639239</c:v>
                </c:pt>
                <c:pt idx="30">
                  <c:v>0.69426325104963948</c:v>
                </c:pt>
                <c:pt idx="31">
                  <c:v>0.86394462032802233</c:v>
                </c:pt>
                <c:pt idx="32">
                  <c:v>0.32018071218298277</c:v>
                </c:pt>
                <c:pt idx="33">
                  <c:v>0.33379449118606658</c:v>
                </c:pt>
                <c:pt idx="34">
                  <c:v>0.52237029309025973</c:v>
                </c:pt>
                <c:pt idx="35">
                  <c:v>1.4486469340876691</c:v>
                </c:pt>
                <c:pt idx="36">
                  <c:v>1.5717811924635154</c:v>
                </c:pt>
                <c:pt idx="37">
                  <c:v>1.6685867366336233</c:v>
                </c:pt>
                <c:pt idx="38">
                  <c:v>1.2581788407752286</c:v>
                </c:pt>
                <c:pt idx="39">
                  <c:v>1.0343837071414514</c:v>
                </c:pt>
                <c:pt idx="40">
                  <c:v>2.0052145862075479</c:v>
                </c:pt>
                <c:pt idx="41">
                  <c:v>1.5060250483495579</c:v>
                </c:pt>
                <c:pt idx="42">
                  <c:v>0.72588182881863228</c:v>
                </c:pt>
                <c:pt idx="43">
                  <c:v>1.4005246818059995</c:v>
                </c:pt>
                <c:pt idx="44">
                  <c:v>1.5482945100742089</c:v>
                </c:pt>
                <c:pt idx="45">
                  <c:v>1.3684235059667527</c:v>
                </c:pt>
                <c:pt idx="46">
                  <c:v>1.5160865594686432</c:v>
                </c:pt>
                <c:pt idx="47">
                  <c:v>1.7938528289186246</c:v>
                </c:pt>
                <c:pt idx="48">
                  <c:v>0.98713618736797448</c:v>
                </c:pt>
                <c:pt idx="49">
                  <c:v>1.2064463765090851</c:v>
                </c:pt>
                <c:pt idx="50">
                  <c:v>1.6316669477012595</c:v>
                </c:pt>
                <c:pt idx="51">
                  <c:v>0.92226838362334163</c:v>
                </c:pt>
                <c:pt idx="52">
                  <c:v>1.2191221505700256</c:v>
                </c:pt>
                <c:pt idx="53">
                  <c:v>0.49501774003626708</c:v>
                </c:pt>
                <c:pt idx="54">
                  <c:v>-0.66262635900785571</c:v>
                </c:pt>
                <c:pt idx="55">
                  <c:v>-1.3342533772834488</c:v>
                </c:pt>
                <c:pt idx="56">
                  <c:v>-1.0072857581651133</c:v>
                </c:pt>
                <c:pt idx="57">
                  <c:v>0.51873081919327257</c:v>
                </c:pt>
                <c:pt idx="58">
                  <c:v>0.87202875336974373</c:v>
                </c:pt>
                <c:pt idx="59">
                  <c:v>1.6235035068696213</c:v>
                </c:pt>
                <c:pt idx="60">
                  <c:v>1.099740351497297</c:v>
                </c:pt>
                <c:pt idx="61">
                  <c:v>0.64449063538508111</c:v>
                </c:pt>
                <c:pt idx="62">
                  <c:v>1.030733428002113</c:v>
                </c:pt>
                <c:pt idx="63">
                  <c:v>1.3287456899343952</c:v>
                </c:pt>
                <c:pt idx="64">
                  <c:v>0.39896334361443214</c:v>
                </c:pt>
                <c:pt idx="65">
                  <c:v>0.5668342131964188</c:v>
                </c:pt>
                <c:pt idx="66">
                  <c:v>0.94276843999969939</c:v>
                </c:pt>
                <c:pt idx="67">
                  <c:v>0.95084581457201067</c:v>
                </c:pt>
                <c:pt idx="68">
                  <c:v>0.45470499562350097</c:v>
                </c:pt>
                <c:pt idx="69">
                  <c:v>0.43568429457585511</c:v>
                </c:pt>
                <c:pt idx="70">
                  <c:v>0.71647922384440443</c:v>
                </c:pt>
                <c:pt idx="71">
                  <c:v>-9.7821802505338243E-2</c:v>
                </c:pt>
                <c:pt idx="72">
                  <c:v>0.94829971460769436</c:v>
                </c:pt>
                <c:pt idx="73">
                  <c:v>2.0226640514525673E-2</c:v>
                </c:pt>
                <c:pt idx="74">
                  <c:v>0.95493407891593751</c:v>
                </c:pt>
              </c:numCache>
            </c:numRef>
          </c:val>
        </c:ser>
        <c:marker val="1"/>
        <c:axId val="222232960"/>
        <c:axId val="222234496"/>
      </c:lineChart>
      <c:catAx>
        <c:axId val="22223296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2234496"/>
        <c:crosses val="autoZero"/>
        <c:auto val="1"/>
        <c:lblAlgn val="ctr"/>
        <c:lblOffset val="100"/>
      </c:catAx>
      <c:valAx>
        <c:axId val="222234496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223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705396581524026"/>
          <c:y val="2.4074720785425212E-2"/>
          <c:w val="0.28231761591837412"/>
          <c:h val="0.11438517884009268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rgbClr val="9BBB59">
        <a:lumMod val="40000"/>
        <a:lumOff val="60000"/>
      </a:srgbClr>
    </a:solidFill>
  </c:spPr>
  <c:printSettings>
    <c:headerFooter/>
    <c:pageMargins b="0.75000000000000766" l="0.70000000000000062" r="0.70000000000000062" t="0.75000000000000766" header="0.30000000000000032" footer="0.30000000000000032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4.4591618844254832E-2"/>
          <c:y val="1.8237623314327121E-2"/>
          <c:w val="0.94509471332371486"/>
          <c:h val="0.94875442583099945"/>
        </c:manualLayout>
      </c:layout>
      <c:lineChart>
        <c:grouping val="standard"/>
        <c:ser>
          <c:idx val="0"/>
          <c:order val="0"/>
          <c:tx>
            <c:strRef>
              <c:f>Seasonal!$A$61</c:f>
              <c:strCache>
                <c:ptCount val="1"/>
                <c:pt idx="0">
                  <c:v>SA - GDP at constant 2005 prices</c:v>
                </c:pt>
              </c:strCache>
            </c:strRef>
          </c:tx>
          <c:marker>
            <c:symbol val="none"/>
          </c:marker>
          <c:cat>
            <c:strRef>
              <c:f>Seasonal!$F$85:$BY$85</c:f>
              <c:strCache>
                <c:ptCount val="72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  <c:pt idx="71">
                  <c:v>2013q4</c:v>
                </c:pt>
              </c:strCache>
            </c:strRef>
          </c:cat>
          <c:val>
            <c:numRef>
              <c:f>Seasonal!$F$101:$BY$101</c:f>
              <c:numCache>
                <c:formatCode>#,##0.00</c:formatCode>
                <c:ptCount val="72"/>
                <c:pt idx="0">
                  <c:v>2.6193291739602507</c:v>
                </c:pt>
                <c:pt idx="1">
                  <c:v>3.6424500834332281</c:v>
                </c:pt>
                <c:pt idx="2">
                  <c:v>4.2771971760531509</c:v>
                </c:pt>
                <c:pt idx="3">
                  <c:v>5.0946223015654386</c:v>
                </c:pt>
                <c:pt idx="4">
                  <c:v>3.8776642207911647</c:v>
                </c:pt>
                <c:pt idx="5">
                  <c:v>3.2348327482615882</c:v>
                </c:pt>
                <c:pt idx="6">
                  <c:v>2.1587870192383716</c:v>
                </c:pt>
                <c:pt idx="7">
                  <c:v>0.99688187921534466</c:v>
                </c:pt>
                <c:pt idx="8">
                  <c:v>1.0515220226946822</c:v>
                </c:pt>
                <c:pt idx="9">
                  <c:v>0.52823211895616684</c:v>
                </c:pt>
                <c:pt idx="10">
                  <c:v>0.15239228737640925</c:v>
                </c:pt>
                <c:pt idx="11">
                  <c:v>0.30906548035360731</c:v>
                </c:pt>
                <c:pt idx="12">
                  <c:v>0.8323656320893843</c:v>
                </c:pt>
                <c:pt idx="13">
                  <c:v>1.4558064633256622</c:v>
                </c:pt>
                <c:pt idx="14">
                  <c:v>2.7528397526956598</c:v>
                </c:pt>
                <c:pt idx="15">
                  <c:v>3.7583875180367219</c:v>
                </c:pt>
                <c:pt idx="16">
                  <c:v>3.9857679326269801</c:v>
                </c:pt>
                <c:pt idx="17">
                  <c:v>4.1257208382147494</c:v>
                </c:pt>
                <c:pt idx="18">
                  <c:v>4.032632156879477</c:v>
                </c:pt>
                <c:pt idx="19">
                  <c:v>3.8135785033596434</c:v>
                </c:pt>
                <c:pt idx="20">
                  <c:v>3.3728015368723274</c:v>
                </c:pt>
                <c:pt idx="21">
                  <c:v>2.9764218931666595</c:v>
                </c:pt>
                <c:pt idx="22">
                  <c:v>2.2473698084019298</c:v>
                </c:pt>
                <c:pt idx="23">
                  <c:v>2.1447365284209958</c:v>
                </c:pt>
                <c:pt idx="24">
                  <c:v>2.7316981527659419</c:v>
                </c:pt>
                <c:pt idx="25">
                  <c:v>3.4723651770667585</c:v>
                </c:pt>
                <c:pt idx="26">
                  <c:v>4.062838867167673</c:v>
                </c:pt>
                <c:pt idx="27">
                  <c:v>3.9809913480451842</c:v>
                </c:pt>
                <c:pt idx="28">
                  <c:v>3.6733119045798319</c:v>
                </c:pt>
                <c:pt idx="29">
                  <c:v>2.9331625471844345</c:v>
                </c:pt>
                <c:pt idx="30">
                  <c:v>2.6497925286245616</c:v>
                </c:pt>
                <c:pt idx="31">
                  <c:v>2.5570117947963875</c:v>
                </c:pt>
                <c:pt idx="32">
                  <c:v>3.1548640297444139</c:v>
                </c:pt>
                <c:pt idx="33">
                  <c:v>4.0880624632920721</c:v>
                </c:pt>
                <c:pt idx="34">
                  <c:v>5.219009279637743</c:v>
                </c:pt>
                <c:pt idx="35">
                  <c:v>5.7326705468495813</c:v>
                </c:pt>
                <c:pt idx="36">
                  <c:v>5.2148703852452378</c:v>
                </c:pt>
                <c:pt idx="37">
                  <c:v>5.6269265668574393</c:v>
                </c:pt>
                <c:pt idx="38">
                  <c:v>5.3447650922591894</c:v>
                </c:pt>
                <c:pt idx="39">
                  <c:v>4.9293256223516959</c:v>
                </c:pt>
                <c:pt idx="40">
                  <c:v>5.4525300764802722</c:v>
                </c:pt>
                <c:pt idx="41">
                  <c:v>5.2978248406205495</c:v>
                </c:pt>
                <c:pt idx="42">
                  <c:v>5.3617374131826887</c:v>
                </c:pt>
                <c:pt idx="43">
                  <c:v>6.2895782849218564</c:v>
                </c:pt>
                <c:pt idx="44">
                  <c:v>6.3604917506499783</c:v>
                </c:pt>
                <c:pt idx="45">
                  <c:v>5.4473573815255856</c:v>
                </c:pt>
                <c:pt idx="46">
                  <c:v>5.2528217051461557</c:v>
                </c:pt>
                <c:pt idx="47">
                  <c:v>5.159140887113602</c:v>
                </c:pt>
                <c:pt idx="48">
                  <c:v>4.2803514158012881</c:v>
                </c:pt>
                <c:pt idx="49">
                  <c:v>4.6111461012661028</c:v>
                </c:pt>
                <c:pt idx="50">
                  <c:v>3.7894626371944788</c:v>
                </c:pt>
                <c:pt idx="51">
                  <c:v>1.8586379596774352</c:v>
                </c:pt>
                <c:pt idx="52">
                  <c:v>-0.51085545550390987</c:v>
                </c:pt>
                <c:pt idx="53">
                  <c:v>-2.2649233986199131</c:v>
                </c:pt>
                <c:pt idx="54">
                  <c:v>-2.2850673264698487</c:v>
                </c:pt>
                <c:pt idx="55">
                  <c:v>-1.0300443202641829</c:v>
                </c:pt>
                <c:pt idx="56">
                  <c:v>1.7221303466096221</c:v>
                </c:pt>
                <c:pt idx="57">
                  <c:v>3.1886913322221933</c:v>
                </c:pt>
                <c:pt idx="58">
                  <c:v>3.6894171256585042</c:v>
                </c:pt>
                <c:pt idx="59">
                  <c:v>3.9570171664761733</c:v>
                </c:pt>
                <c:pt idx="60">
                  <c:v>4.0750486456869996</c:v>
                </c:pt>
                <c:pt idx="61">
                  <c:v>3.826321223356381</c:v>
                </c:pt>
                <c:pt idx="62">
                  <c:v>3.3475813677683313</c:v>
                </c:pt>
                <c:pt idx="63">
                  <c:v>3.1628479874985391</c:v>
                </c:pt>
                <c:pt idx="64">
                  <c:v>2.5064467387669551</c:v>
                </c:pt>
                <c:pt idx="65">
                  <c:v>2.6591115735290987</c:v>
                </c:pt>
                <c:pt idx="66">
                  <c:v>2.5331806046741092</c:v>
                </c:pt>
                <c:pt idx="67">
                  <c:v>2.1725461065727862</c:v>
                </c:pt>
                <c:pt idx="68">
                  <c:v>1.7559785728921755</c:v>
                </c:pt>
                <c:pt idx="69">
                  <c:v>1.9084248618860555</c:v>
                </c:pt>
                <c:pt idx="70">
                  <c:v>1.7637435357961868</c:v>
                </c:pt>
                <c:pt idx="71">
                  <c:v>2.1317383927421703</c:v>
                </c:pt>
              </c:numCache>
            </c:numRef>
          </c:val>
        </c:ser>
        <c:ser>
          <c:idx val="1"/>
          <c:order val="1"/>
          <c:tx>
            <c:strRef>
              <c:f>Seasonal!$A$81</c:f>
              <c:strCache>
                <c:ptCount val="1"/>
                <c:pt idx="0">
                  <c:v>KZN - GDPR at constant 2005 prices</c:v>
                </c:pt>
              </c:strCache>
            </c:strRef>
          </c:tx>
          <c:marker>
            <c:symbol val="none"/>
          </c:marker>
          <c:cat>
            <c:strRef>
              <c:f>Seasonal!$F$85:$BY$85</c:f>
              <c:strCache>
                <c:ptCount val="72"/>
                <c:pt idx="0">
                  <c:v>1996q1</c:v>
                </c:pt>
                <c:pt idx="1">
                  <c:v>1996q2</c:v>
                </c:pt>
                <c:pt idx="2">
                  <c:v>1996q3</c:v>
                </c:pt>
                <c:pt idx="3">
                  <c:v>1996q4</c:v>
                </c:pt>
                <c:pt idx="4">
                  <c:v>1997q1</c:v>
                </c:pt>
                <c:pt idx="5">
                  <c:v>1997q2</c:v>
                </c:pt>
                <c:pt idx="6">
                  <c:v>1997q3</c:v>
                </c:pt>
                <c:pt idx="7">
                  <c:v>1997q4</c:v>
                </c:pt>
                <c:pt idx="8">
                  <c:v>1998q1</c:v>
                </c:pt>
                <c:pt idx="9">
                  <c:v>1998q2</c:v>
                </c:pt>
                <c:pt idx="10">
                  <c:v>1998q3</c:v>
                </c:pt>
                <c:pt idx="11">
                  <c:v>1998q4</c:v>
                </c:pt>
                <c:pt idx="12">
                  <c:v>1999q1</c:v>
                </c:pt>
                <c:pt idx="13">
                  <c:v>1999q2</c:v>
                </c:pt>
                <c:pt idx="14">
                  <c:v>1999q3</c:v>
                </c:pt>
                <c:pt idx="15">
                  <c:v>1999q4</c:v>
                </c:pt>
                <c:pt idx="16">
                  <c:v>2000q1</c:v>
                </c:pt>
                <c:pt idx="17">
                  <c:v>2000q2</c:v>
                </c:pt>
                <c:pt idx="18">
                  <c:v>2000q3</c:v>
                </c:pt>
                <c:pt idx="19">
                  <c:v>2000q4</c:v>
                </c:pt>
                <c:pt idx="20">
                  <c:v>2001q1</c:v>
                </c:pt>
                <c:pt idx="21">
                  <c:v>2001q2</c:v>
                </c:pt>
                <c:pt idx="22">
                  <c:v>2001q3</c:v>
                </c:pt>
                <c:pt idx="23">
                  <c:v>2001q4</c:v>
                </c:pt>
                <c:pt idx="24">
                  <c:v>2002q1</c:v>
                </c:pt>
                <c:pt idx="25">
                  <c:v>2002q2</c:v>
                </c:pt>
                <c:pt idx="26">
                  <c:v>2002q3</c:v>
                </c:pt>
                <c:pt idx="27">
                  <c:v>2002q4</c:v>
                </c:pt>
                <c:pt idx="28">
                  <c:v>2003q1</c:v>
                </c:pt>
                <c:pt idx="29">
                  <c:v>2003q2</c:v>
                </c:pt>
                <c:pt idx="30">
                  <c:v>2003q3</c:v>
                </c:pt>
                <c:pt idx="31">
                  <c:v>2003q4</c:v>
                </c:pt>
                <c:pt idx="32">
                  <c:v>2004q1</c:v>
                </c:pt>
                <c:pt idx="33">
                  <c:v>2004q2</c:v>
                </c:pt>
                <c:pt idx="34">
                  <c:v>2004q3</c:v>
                </c:pt>
                <c:pt idx="35">
                  <c:v>2004q4</c:v>
                </c:pt>
                <c:pt idx="36">
                  <c:v>2005q1</c:v>
                </c:pt>
                <c:pt idx="37">
                  <c:v>2005q2</c:v>
                </c:pt>
                <c:pt idx="38">
                  <c:v>2005q3</c:v>
                </c:pt>
                <c:pt idx="39">
                  <c:v>2005q4</c:v>
                </c:pt>
                <c:pt idx="40">
                  <c:v>2006q1</c:v>
                </c:pt>
                <c:pt idx="41">
                  <c:v>2006q2</c:v>
                </c:pt>
                <c:pt idx="42">
                  <c:v>2006q3</c:v>
                </c:pt>
                <c:pt idx="43">
                  <c:v>2006q4</c:v>
                </c:pt>
                <c:pt idx="44">
                  <c:v>2007q1</c:v>
                </c:pt>
                <c:pt idx="45">
                  <c:v>2007q2</c:v>
                </c:pt>
                <c:pt idx="46">
                  <c:v>2007q3</c:v>
                </c:pt>
                <c:pt idx="47">
                  <c:v>2007q4</c:v>
                </c:pt>
                <c:pt idx="48">
                  <c:v>2008q1</c:v>
                </c:pt>
                <c:pt idx="49">
                  <c:v>2008q2</c:v>
                </c:pt>
                <c:pt idx="50">
                  <c:v>2008q3</c:v>
                </c:pt>
                <c:pt idx="51">
                  <c:v>2008q4</c:v>
                </c:pt>
                <c:pt idx="52">
                  <c:v>2009q1</c:v>
                </c:pt>
                <c:pt idx="53">
                  <c:v>2009q2</c:v>
                </c:pt>
                <c:pt idx="54">
                  <c:v>2009q3</c:v>
                </c:pt>
                <c:pt idx="55">
                  <c:v>2009q4</c:v>
                </c:pt>
                <c:pt idx="56">
                  <c:v>2010q1</c:v>
                </c:pt>
                <c:pt idx="57">
                  <c:v>2010q2</c:v>
                </c:pt>
                <c:pt idx="58">
                  <c:v>2010q3</c:v>
                </c:pt>
                <c:pt idx="59">
                  <c:v>2010q4</c:v>
                </c:pt>
                <c:pt idx="60">
                  <c:v>2011q1</c:v>
                </c:pt>
                <c:pt idx="61">
                  <c:v>2011q2</c:v>
                </c:pt>
                <c:pt idx="62">
                  <c:v>2011q3</c:v>
                </c:pt>
                <c:pt idx="63">
                  <c:v>2011q4</c:v>
                </c:pt>
                <c:pt idx="64">
                  <c:v>2012q1</c:v>
                </c:pt>
                <c:pt idx="65">
                  <c:v>2012q2</c:v>
                </c:pt>
                <c:pt idx="66">
                  <c:v>2012q3</c:v>
                </c:pt>
                <c:pt idx="67">
                  <c:v>2012q4</c:v>
                </c:pt>
                <c:pt idx="68">
                  <c:v>2013q1</c:v>
                </c:pt>
                <c:pt idx="69">
                  <c:v>2013q2</c:v>
                </c:pt>
                <c:pt idx="70">
                  <c:v>2013q3</c:v>
                </c:pt>
                <c:pt idx="71">
                  <c:v>2013q4</c:v>
                </c:pt>
              </c:strCache>
            </c:strRef>
          </c:cat>
          <c:val>
            <c:numRef>
              <c:f>Seasonal!$F$121:$BY$121</c:f>
              <c:numCache>
                <c:formatCode>#,##0.00</c:formatCode>
                <c:ptCount val="72"/>
                <c:pt idx="0">
                  <c:v>3.3527316793841986</c:v>
                </c:pt>
                <c:pt idx="1">
                  <c:v>4.9285732684224133</c:v>
                </c:pt>
                <c:pt idx="2">
                  <c:v>5.8122410935260094</c:v>
                </c:pt>
                <c:pt idx="3">
                  <c:v>6.5917549921072141</c:v>
                </c:pt>
                <c:pt idx="4">
                  <c:v>3.5288266633321097</c:v>
                </c:pt>
                <c:pt idx="5">
                  <c:v>2.6270613448710858</c:v>
                </c:pt>
                <c:pt idx="6">
                  <c:v>1.4251279297345425</c:v>
                </c:pt>
                <c:pt idx="7">
                  <c:v>0.28443798965172684</c:v>
                </c:pt>
                <c:pt idx="8">
                  <c:v>1.5090499620703772</c:v>
                </c:pt>
                <c:pt idx="9">
                  <c:v>0.88051197478987986</c:v>
                </c:pt>
                <c:pt idx="10">
                  <c:v>0.45125835273158088</c:v>
                </c:pt>
                <c:pt idx="11">
                  <c:v>0.65550928559888477</c:v>
                </c:pt>
                <c:pt idx="12">
                  <c:v>-0.84203188378494198</c:v>
                </c:pt>
                <c:pt idx="13">
                  <c:v>-6.0774956992572716E-2</c:v>
                </c:pt>
                <c:pt idx="14">
                  <c:v>1.4279608723505026</c:v>
                </c:pt>
                <c:pt idx="15">
                  <c:v>2.5492794562819179</c:v>
                </c:pt>
                <c:pt idx="16">
                  <c:v>4.855574195268292</c:v>
                </c:pt>
                <c:pt idx="17">
                  <c:v>4.9927483648039717</c:v>
                </c:pt>
                <c:pt idx="18">
                  <c:v>4.8947105247930143</c:v>
                </c:pt>
                <c:pt idx="19">
                  <c:v>4.4770048500899273</c:v>
                </c:pt>
                <c:pt idx="20">
                  <c:v>5.3652773751010105</c:v>
                </c:pt>
                <c:pt idx="21">
                  <c:v>4.7157087830213582</c:v>
                </c:pt>
                <c:pt idx="22">
                  <c:v>3.7725184699209677</c:v>
                </c:pt>
                <c:pt idx="23">
                  <c:v>3.7207194472564984</c:v>
                </c:pt>
                <c:pt idx="24">
                  <c:v>1.4301535124842197</c:v>
                </c:pt>
                <c:pt idx="25">
                  <c:v>2.3614101767939766</c:v>
                </c:pt>
                <c:pt idx="26">
                  <c:v>3.0694301344182349</c:v>
                </c:pt>
                <c:pt idx="27">
                  <c:v>2.9176955899391301</c:v>
                </c:pt>
                <c:pt idx="28">
                  <c:v>3.8865996237887153</c:v>
                </c:pt>
                <c:pt idx="29">
                  <c:v>2.832798813743191</c:v>
                </c:pt>
                <c:pt idx="30">
                  <c:v>2.2294961065713039</c:v>
                </c:pt>
                <c:pt idx="31">
                  <c:v>2.0549823864337045</c:v>
                </c:pt>
                <c:pt idx="32">
                  <c:v>2.6465890755897186</c:v>
                </c:pt>
                <c:pt idx="33">
                  <c:v>3.9272139635646734</c:v>
                </c:pt>
                <c:pt idx="34">
                  <c:v>5.3098113226401473</c:v>
                </c:pt>
                <c:pt idx="35">
                  <c:v>6.0806632146156421</c:v>
                </c:pt>
                <c:pt idx="36">
                  <c:v>5.6474852552444004</c:v>
                </c:pt>
                <c:pt idx="37">
                  <c:v>6.0983107457212862</c:v>
                </c:pt>
                <c:pt idx="38">
                  <c:v>5.9286662068078995</c:v>
                </c:pt>
                <c:pt idx="39">
                  <c:v>5.3718172376881244</c:v>
                </c:pt>
                <c:pt idx="40">
                  <c:v>5.7536767438282581</c:v>
                </c:pt>
                <c:pt idx="41">
                  <c:v>5.2799658828179803</c:v>
                </c:pt>
                <c:pt idx="42">
                  <c:v>5.1372483871758785</c:v>
                </c:pt>
                <c:pt idx="43">
                  <c:v>5.9620607346543952</c:v>
                </c:pt>
                <c:pt idx="44">
                  <c:v>6.3730828782160964</c:v>
                </c:pt>
                <c:pt idx="45">
                  <c:v>5.7852626587134521</c:v>
                </c:pt>
                <c:pt idx="46">
                  <c:v>5.616227839074817</c:v>
                </c:pt>
                <c:pt idx="47">
                  <c:v>5.7364764127839081</c:v>
                </c:pt>
                <c:pt idx="48">
                  <c:v>4.8311342375879152</c:v>
                </c:pt>
                <c:pt idx="49">
                  <c:v>5.071950568932821</c:v>
                </c:pt>
                <c:pt idx="50">
                  <c:v>4.3333494501196457</c:v>
                </c:pt>
                <c:pt idx="51">
                  <c:v>1.9780667661001961</c:v>
                </c:pt>
                <c:pt idx="52">
                  <c:v>-0.30206159881328565</c:v>
                </c:pt>
                <c:pt idx="53">
                  <c:v>-2.4950096685544811</c:v>
                </c:pt>
                <c:pt idx="54">
                  <c:v>-2.4720021244400678</c:v>
                </c:pt>
                <c:pt idx="55">
                  <c:v>-0.96529991303877172</c:v>
                </c:pt>
                <c:pt idx="56">
                  <c:v>2.0035172902843819</c:v>
                </c:pt>
                <c:pt idx="57">
                  <c:v>4.1746273144320192</c:v>
                </c:pt>
                <c:pt idx="58">
                  <c:v>4.3049610529914357</c:v>
                </c:pt>
                <c:pt idx="59">
                  <c:v>4.4690668523000872</c:v>
                </c:pt>
                <c:pt idx="60">
                  <c:v>4.1660555112222557</c:v>
                </c:pt>
                <c:pt idx="61">
                  <c:v>3.4440242137102874</c:v>
                </c:pt>
                <c:pt idx="62">
                  <c:v>3.3642076955231532</c:v>
                </c:pt>
                <c:pt idx="63">
                  <c:v>3.2742110085616032</c:v>
                </c:pt>
                <c:pt idx="64">
                  <c:v>2.8890556293791998</c:v>
                </c:pt>
                <c:pt idx="65">
                  <c:v>2.9461797842851212</c:v>
                </c:pt>
                <c:pt idx="66">
                  <c:v>2.8119269443042518</c:v>
                </c:pt>
                <c:pt idx="67">
                  <c:v>2.5814475279063265</c:v>
                </c:pt>
                <c:pt idx="68">
                  <c:v>1.5158413780279207</c:v>
                </c:pt>
                <c:pt idx="69">
                  <c:v>2.0146501018165641</c:v>
                </c:pt>
                <c:pt idx="70">
                  <c:v>1.592660970076492</c:v>
                </c:pt>
                <c:pt idx="71">
                  <c:v>1.8331902601652554</c:v>
                </c:pt>
              </c:numCache>
            </c:numRef>
          </c:val>
        </c:ser>
        <c:marker val="1"/>
        <c:axId val="222271360"/>
        <c:axId val="222272896"/>
      </c:lineChart>
      <c:catAx>
        <c:axId val="22227136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2272896"/>
        <c:crosses val="autoZero"/>
        <c:auto val="1"/>
        <c:lblAlgn val="ctr"/>
        <c:lblOffset val="100"/>
      </c:catAx>
      <c:valAx>
        <c:axId val="222272896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227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705391698919794"/>
          <c:y val="2.4074576884785991E-2"/>
          <c:w val="0.29273977934961942"/>
          <c:h val="0.12231785681962135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rgbClr val="9BBB59">
        <a:lumMod val="40000"/>
        <a:lumOff val="60000"/>
      </a:srgbClr>
    </a:solidFill>
  </c:spPr>
  <c:printSettings>
    <c:headerFooter/>
    <c:pageMargins b="0.75000000000000788" l="0.70000000000000062" r="0.70000000000000062" t="0.75000000000000788" header="0.30000000000000032" footer="0.30000000000000032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9.4462540716612767E-2"/>
          <c:y val="9.0301003344481628E-2"/>
          <c:w val="0.89902280130292656"/>
          <c:h val="0.85618729096989965"/>
        </c:manualLayout>
      </c:layout>
      <c:lineChart>
        <c:grouping val="standard"/>
        <c:ser>
          <c:idx val="0"/>
          <c:order val="0"/>
          <c:tx>
            <c:strRef>
              <c:f>'Growth Rates Annualised'!$B$2</c:f>
              <c:strCache>
                <c:ptCount val="1"/>
                <c:pt idx="0">
                  <c:v>Primary Industries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Annualised'!$B$3:$B$20</c:f>
              <c:numCache>
                <c:formatCode>0.00</c:formatCode>
                <c:ptCount val="18"/>
                <c:pt idx="0">
                  <c:v>24.327178822247081</c:v>
                </c:pt>
                <c:pt idx="1">
                  <c:v>0.21275362758618852</c:v>
                </c:pt>
                <c:pt idx="2">
                  <c:v>1.8089305926057522E-2</c:v>
                </c:pt>
                <c:pt idx="3">
                  <c:v>-12.301400422253449</c:v>
                </c:pt>
                <c:pt idx="4">
                  <c:v>1.7227066681637493</c:v>
                </c:pt>
                <c:pt idx="5">
                  <c:v>-1.8158586540644353</c:v>
                </c:pt>
                <c:pt idx="6">
                  <c:v>0.10661873370909471</c:v>
                </c:pt>
                <c:pt idx="7">
                  <c:v>5.3662048379077429</c:v>
                </c:pt>
                <c:pt idx="8">
                  <c:v>0.75567788508223666</c:v>
                </c:pt>
                <c:pt idx="9">
                  <c:v>-5.9574073835498673</c:v>
                </c:pt>
                <c:pt idx="10">
                  <c:v>-0.50635611208716658</c:v>
                </c:pt>
                <c:pt idx="11">
                  <c:v>3.6647028392462868</c:v>
                </c:pt>
                <c:pt idx="12">
                  <c:v>9.1361298427343591</c:v>
                </c:pt>
                <c:pt idx="13">
                  <c:v>-1.8424699641277273</c:v>
                </c:pt>
                <c:pt idx="14">
                  <c:v>1.928555932876326</c:v>
                </c:pt>
                <c:pt idx="15">
                  <c:v>0.49440363995346853</c:v>
                </c:pt>
                <c:pt idx="16">
                  <c:v>2.3917533896266869</c:v>
                </c:pt>
                <c:pt idx="17">
                  <c:v>2.9899081775716629</c:v>
                </c:pt>
              </c:numCache>
            </c:numRef>
          </c:val>
        </c:ser>
        <c:ser>
          <c:idx val="1"/>
          <c:order val="1"/>
          <c:tx>
            <c:strRef>
              <c:f>'Growth Rates Annualised'!$E$2</c:f>
              <c:strCache>
                <c:ptCount val="1"/>
                <c:pt idx="0">
                  <c:v>Secondary Industries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Annualised'!$E$3:$E$20</c:f>
              <c:numCache>
                <c:formatCode>0.00</c:formatCode>
                <c:ptCount val="18"/>
                <c:pt idx="0">
                  <c:v>2.2634245211871051</c:v>
                </c:pt>
                <c:pt idx="1">
                  <c:v>2.9974216511283585</c:v>
                </c:pt>
                <c:pt idx="2">
                  <c:v>-1.9763677256198697</c:v>
                </c:pt>
                <c:pt idx="3">
                  <c:v>0.86303659176368785</c:v>
                </c:pt>
                <c:pt idx="4">
                  <c:v>7.9829223019315849</c:v>
                </c:pt>
                <c:pt idx="5">
                  <c:v>4.9791564011893703</c:v>
                </c:pt>
                <c:pt idx="6">
                  <c:v>1.0269937440988337</c:v>
                </c:pt>
                <c:pt idx="7">
                  <c:v>-1.4938695307479761</c:v>
                </c:pt>
                <c:pt idx="8">
                  <c:v>5.2864306206426095</c:v>
                </c:pt>
                <c:pt idx="9">
                  <c:v>6.7971079153581915</c:v>
                </c:pt>
                <c:pt idx="10">
                  <c:v>5.9365850043237858</c:v>
                </c:pt>
                <c:pt idx="11">
                  <c:v>5.9345847172376498</c:v>
                </c:pt>
                <c:pt idx="12">
                  <c:v>2.687272694892648</c:v>
                </c:pt>
                <c:pt idx="13">
                  <c:v>-8.3894488920458841</c:v>
                </c:pt>
                <c:pt idx="14">
                  <c:v>5.9145179254686644</c:v>
                </c:pt>
                <c:pt idx="15">
                  <c:v>2.7934196697021081</c:v>
                </c:pt>
                <c:pt idx="16">
                  <c:v>1.7605599259382085</c:v>
                </c:pt>
                <c:pt idx="17">
                  <c:v>0.89089645608922385</c:v>
                </c:pt>
              </c:numCache>
            </c:numRef>
          </c:val>
        </c:ser>
        <c:ser>
          <c:idx val="2"/>
          <c:order val="2"/>
          <c:tx>
            <c:strRef>
              <c:f>'Growth Rates Annualised'!$I$2</c:f>
              <c:strCache>
                <c:ptCount val="1"/>
                <c:pt idx="0">
                  <c:v>Tertiary industries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Annualised'!$I$3:$I$20</c:f>
              <c:numCache>
                <c:formatCode>0.00</c:formatCode>
                <c:ptCount val="18"/>
                <c:pt idx="0">
                  <c:v>4.1991954303656254</c:v>
                </c:pt>
                <c:pt idx="1">
                  <c:v>1.5145199579551749</c:v>
                </c:pt>
                <c:pt idx="2">
                  <c:v>2.7470317028769098</c:v>
                </c:pt>
                <c:pt idx="3">
                  <c:v>3.205049508043869</c:v>
                </c:pt>
                <c:pt idx="4">
                  <c:v>3.6950185386219956</c:v>
                </c:pt>
                <c:pt idx="5">
                  <c:v>4.4785613796745904</c:v>
                </c:pt>
                <c:pt idx="6">
                  <c:v>4.0041102129596284</c:v>
                </c:pt>
                <c:pt idx="7">
                  <c:v>4.6851053389306321</c:v>
                </c:pt>
                <c:pt idx="8">
                  <c:v>4.5034154413494942</c:v>
                </c:pt>
                <c:pt idx="9">
                  <c:v>6.7740470832468134</c:v>
                </c:pt>
                <c:pt idx="10">
                  <c:v>5.7542002180562237</c:v>
                </c:pt>
                <c:pt idx="11">
                  <c:v>6.2681907143523734</c:v>
                </c:pt>
                <c:pt idx="12">
                  <c:v>4.3522368737448147</c:v>
                </c:pt>
                <c:pt idx="13">
                  <c:v>1.3057585421395359</c:v>
                </c:pt>
                <c:pt idx="14">
                  <c:v>3.272210809599045</c:v>
                </c:pt>
                <c:pt idx="15">
                  <c:v>4.1573386689550826</c:v>
                </c:pt>
                <c:pt idx="16">
                  <c:v>3.0508918256614113</c:v>
                </c:pt>
                <c:pt idx="17">
                  <c:v>2.1873694084255932</c:v>
                </c:pt>
              </c:numCache>
            </c:numRef>
          </c:val>
        </c:ser>
        <c:marker val="1"/>
        <c:axId val="222950144"/>
        <c:axId val="222951680"/>
      </c:lineChart>
      <c:catAx>
        <c:axId val="22295014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951680"/>
        <c:crosses val="autoZero"/>
        <c:auto val="1"/>
        <c:lblAlgn val="ctr"/>
        <c:lblOffset val="100"/>
        <c:tickLblSkip val="1"/>
        <c:tickMarkSkip val="1"/>
      </c:catAx>
      <c:valAx>
        <c:axId val="222951680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950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377850162866449"/>
          <c:y val="1.6722309711286364E-2"/>
          <c:w val="0.75407166123779135"/>
          <c:h val="0.1070232990107006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6.5146579804560303E-2"/>
          <c:y val="1.3377926421404658E-2"/>
          <c:w val="0.91368078175894762"/>
          <c:h val="0.86622073578595316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Annualised'!$B$2</c:f>
              <c:strCache>
                <c:ptCount val="1"/>
                <c:pt idx="0">
                  <c:v>Primary Industries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'Growth Rates Annualised'!$A$21</c:f>
              <c:strCache>
                <c:ptCount val="1"/>
                <c:pt idx="0">
                  <c:v>Average Year on Year Growth Rate</c:v>
                </c:pt>
              </c:strCache>
            </c:strRef>
          </c:cat>
          <c:val>
            <c:numRef>
              <c:f>'Growth Rates Annualised'!$B$21</c:f>
              <c:numCache>
                <c:formatCode>0.00</c:formatCode>
                <c:ptCount val="1"/>
                <c:pt idx="0">
                  <c:v>1.7050661759193497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Annualised'!$E$2</c:f>
              <c:strCache>
                <c:ptCount val="1"/>
                <c:pt idx="0">
                  <c:v>Secondary Industries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Annualised'!$E$21</c:f>
              <c:numCache>
                <c:formatCode>0.00</c:formatCode>
                <c:ptCount val="1"/>
                <c:pt idx="0">
                  <c:v>2.5697024440299057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'Growth Rates Annualised'!$I$2</c:f>
              <c:strCache>
                <c:ptCount val="1"/>
                <c:pt idx="0">
                  <c:v>Tertiary industries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Annualised'!$I$21</c:f>
              <c:numCache>
                <c:formatCode>0.00</c:formatCode>
                <c:ptCount val="1"/>
                <c:pt idx="0">
                  <c:v>3.8974584252754898</c:v>
                </c:pt>
              </c:numCache>
            </c:numRef>
          </c:val>
          <c:shape val="cylinder"/>
        </c:ser>
        <c:shape val="box"/>
        <c:axId val="222846336"/>
        <c:axId val="222864512"/>
        <c:axId val="0"/>
      </c:bar3DChart>
      <c:catAx>
        <c:axId val="222846336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864512"/>
        <c:crosses val="autoZero"/>
        <c:auto val="1"/>
        <c:lblAlgn val="ctr"/>
        <c:lblOffset val="100"/>
        <c:tickLblSkip val="1"/>
        <c:tickMarkSkip val="1"/>
      </c:catAx>
      <c:valAx>
        <c:axId val="222864512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8463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4288816503800224E-3"/>
          <c:y val="8.4665577793489911E-3"/>
          <c:w val="0.63463626492942471"/>
          <c:h val="0.1003343003177233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3">
        <a:lumMod val="60000"/>
        <a:lumOff val="4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8.6178998632810325E-2"/>
          <c:y val="8.6666948785643669E-2"/>
          <c:w val="0.90731851390770057"/>
          <c:h val="0.86333614367234257"/>
        </c:manualLayout>
      </c:layout>
      <c:lineChart>
        <c:grouping val="standard"/>
        <c:ser>
          <c:idx val="0"/>
          <c:order val="0"/>
          <c:tx>
            <c:strRef>
              <c:f>'Growth Rates Annualised'!$C$2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Annualised'!$C$3:$C$20</c:f>
              <c:numCache>
                <c:formatCode>0.00</c:formatCode>
                <c:ptCount val="18"/>
                <c:pt idx="0">
                  <c:v>16.333389661194087</c:v>
                </c:pt>
                <c:pt idx="1">
                  <c:v>-0.3577582931626867</c:v>
                </c:pt>
                <c:pt idx="2">
                  <c:v>0.90679689008445941</c:v>
                </c:pt>
                <c:pt idx="3">
                  <c:v>-2.6298178119234397</c:v>
                </c:pt>
                <c:pt idx="4">
                  <c:v>3.7541218973935253</c:v>
                </c:pt>
                <c:pt idx="5">
                  <c:v>-0.35508425423581069</c:v>
                </c:pt>
                <c:pt idx="6">
                  <c:v>4.6535995212617367</c:v>
                </c:pt>
                <c:pt idx="7">
                  <c:v>5.1810405632529344</c:v>
                </c:pt>
                <c:pt idx="8">
                  <c:v>0.30146776810064102</c:v>
                </c:pt>
                <c:pt idx="9">
                  <c:v>-5.8366160720212283</c:v>
                </c:pt>
                <c:pt idx="10">
                  <c:v>0.5295114378516087</c:v>
                </c:pt>
                <c:pt idx="11">
                  <c:v>4.0860734635827018</c:v>
                </c:pt>
                <c:pt idx="12">
                  <c:v>14.542220760037633</c:v>
                </c:pt>
                <c:pt idx="13">
                  <c:v>-2.8799951416067211</c:v>
                </c:pt>
                <c:pt idx="14">
                  <c:v>2.3561205061513402</c:v>
                </c:pt>
                <c:pt idx="15">
                  <c:v>1.0426824996273878</c:v>
                </c:pt>
                <c:pt idx="16">
                  <c:v>2.5222650964121804</c:v>
                </c:pt>
                <c:pt idx="17">
                  <c:v>3.4274041478283586</c:v>
                </c:pt>
              </c:numCache>
            </c:numRef>
          </c:val>
        </c:ser>
        <c:ser>
          <c:idx val="1"/>
          <c:order val="1"/>
          <c:tx>
            <c:strRef>
              <c:f>'Growth Rates Annualised'!$D$2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Annualised'!$D$3:$D$20</c:f>
              <c:numCache>
                <c:formatCode>0.00</c:formatCode>
                <c:ptCount val="18"/>
                <c:pt idx="0">
                  <c:v>39.29112934414519</c:v>
                </c:pt>
                <c:pt idx="1">
                  <c:v>1.1047009794468841</c:v>
                </c:pt>
                <c:pt idx="2">
                  <c:v>-1.351232499277359</c:v>
                </c:pt>
                <c:pt idx="3">
                  <c:v>-27.54448783377434</c:v>
                </c:pt>
                <c:pt idx="4">
                  <c:v>-2.5798703215106769</c:v>
                </c:pt>
                <c:pt idx="5">
                  <c:v>-5.1109673962744733</c:v>
                </c:pt>
                <c:pt idx="6">
                  <c:v>-10.664217301363346</c:v>
                </c:pt>
                <c:pt idx="7">
                  <c:v>5.8719380036837112</c:v>
                </c:pt>
                <c:pt idx="8">
                  <c:v>2.0029645322294729</c:v>
                </c:pt>
                <c:pt idx="9">
                  <c:v>-6.257482883260959</c:v>
                </c:pt>
                <c:pt idx="10">
                  <c:v>-3.3422109236834716</c:v>
                </c:pt>
                <c:pt idx="11">
                  <c:v>2.492336595723593</c:v>
                </c:pt>
                <c:pt idx="12">
                  <c:v>-6.5363134879644038</c:v>
                </c:pt>
                <c:pt idx="13">
                  <c:v>-6.3954457596395118</c:v>
                </c:pt>
                <c:pt idx="14">
                  <c:v>9.4190030483959752</c:v>
                </c:pt>
                <c:pt idx="15">
                  <c:v>-1.3813072964211506</c:v>
                </c:pt>
                <c:pt idx="16">
                  <c:v>1.9342866696991108</c:v>
                </c:pt>
                <c:pt idx="17">
                  <c:v>1.4475615159219939</c:v>
                </c:pt>
              </c:numCache>
            </c:numRef>
          </c:val>
        </c:ser>
        <c:marker val="1"/>
        <c:axId val="223024256"/>
        <c:axId val="223025792"/>
      </c:lineChart>
      <c:catAx>
        <c:axId val="22302425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025792"/>
        <c:crosses val="autoZero"/>
        <c:auto val="1"/>
        <c:lblAlgn val="ctr"/>
        <c:lblOffset val="100"/>
        <c:tickLblSkip val="1"/>
        <c:tickMarkSkip val="1"/>
      </c:catAx>
      <c:valAx>
        <c:axId val="223025792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024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032544213479043"/>
          <c:y val="1.6666588318251539E-2"/>
          <c:w val="0.7528468024966668"/>
          <c:h val="0.1066669800603286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8.6039029239033726E-2"/>
          <c:y val="8.6378877665070963E-2"/>
          <c:w val="0.90746825178527957"/>
          <c:h val="0.8637887766507214"/>
        </c:manualLayout>
      </c:layout>
      <c:lineChart>
        <c:grouping val="standard"/>
        <c:ser>
          <c:idx val="0"/>
          <c:order val="0"/>
          <c:tx>
            <c:strRef>
              <c:f>'Growth Rates Annualised'!$F$2</c:f>
              <c:strCache>
                <c:ptCount val="1"/>
                <c:pt idx="0">
                  <c:v>Manufacturing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Annualised'!$F$3:$F$20</c:f>
              <c:numCache>
                <c:formatCode>0.00</c:formatCode>
                <c:ptCount val="18"/>
                <c:pt idx="0">
                  <c:v>1.7479865100412453</c:v>
                </c:pt>
                <c:pt idx="1">
                  <c:v>2.6509811171693163</c:v>
                </c:pt>
                <c:pt idx="2">
                  <c:v>-0.45016265487669321</c:v>
                </c:pt>
                <c:pt idx="3">
                  <c:v>1.6032162029260777</c:v>
                </c:pt>
                <c:pt idx="4">
                  <c:v>8.5899492696371755</c:v>
                </c:pt>
                <c:pt idx="5">
                  <c:v>2.9761256863385848</c:v>
                </c:pt>
                <c:pt idx="6">
                  <c:v>2.6356048186201808</c:v>
                </c:pt>
                <c:pt idx="7">
                  <c:v>-0.91605471872023903</c:v>
                </c:pt>
                <c:pt idx="8">
                  <c:v>4.7001760233957999</c:v>
                </c:pt>
                <c:pt idx="9">
                  <c:v>6.1687914449954455</c:v>
                </c:pt>
                <c:pt idx="10">
                  <c:v>6.036168576729219</c:v>
                </c:pt>
                <c:pt idx="11">
                  <c:v>5.2996246307200439</c:v>
                </c:pt>
                <c:pt idx="12">
                  <c:v>2.5596069215934913</c:v>
                </c:pt>
                <c:pt idx="13">
                  <c:v>-9.9543463069773903</c:v>
                </c:pt>
                <c:pt idx="14">
                  <c:v>6.0837594194649842</c:v>
                </c:pt>
                <c:pt idx="15">
                  <c:v>3.2768041468602385</c:v>
                </c:pt>
                <c:pt idx="16">
                  <c:v>2.1242757927267482</c:v>
                </c:pt>
                <c:pt idx="17">
                  <c:v>0.74625617331509708</c:v>
                </c:pt>
              </c:numCache>
            </c:numRef>
          </c:val>
        </c:ser>
        <c:ser>
          <c:idx val="1"/>
          <c:order val="1"/>
          <c:tx>
            <c:strRef>
              <c:f>'Growth Rates Annualised'!$G$2</c:f>
              <c:strCache>
                <c:ptCount val="1"/>
                <c:pt idx="0">
                  <c:v>Electricity, gas and water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Annualised'!$G$3:$G$20</c:f>
              <c:numCache>
                <c:formatCode>0.00</c:formatCode>
                <c:ptCount val="18"/>
                <c:pt idx="0">
                  <c:v>11.074059626964919</c:v>
                </c:pt>
                <c:pt idx="1">
                  <c:v>3.4431570966822234</c:v>
                </c:pt>
                <c:pt idx="2">
                  <c:v>-6.1115588922262223</c:v>
                </c:pt>
                <c:pt idx="3">
                  <c:v>5.8738189568442158E-2</c:v>
                </c:pt>
                <c:pt idx="4">
                  <c:v>5.8676268172194277</c:v>
                </c:pt>
                <c:pt idx="5">
                  <c:v>-0.15546150218985691</c:v>
                </c:pt>
                <c:pt idx="6">
                  <c:v>9.7037840654843333</c:v>
                </c:pt>
                <c:pt idx="7">
                  <c:v>-11.509926472880784</c:v>
                </c:pt>
                <c:pt idx="8">
                  <c:v>7.3184307014032184</c:v>
                </c:pt>
                <c:pt idx="9">
                  <c:v>6.5109752045458391</c:v>
                </c:pt>
                <c:pt idx="10">
                  <c:v>3.3018254086246044</c:v>
                </c:pt>
                <c:pt idx="11">
                  <c:v>3.3333848851099455</c:v>
                </c:pt>
                <c:pt idx="12">
                  <c:v>-4.0239550888765931</c:v>
                </c:pt>
                <c:pt idx="13">
                  <c:v>-3.9174595548279525</c:v>
                </c:pt>
                <c:pt idx="14">
                  <c:v>1.1912040995581175</c:v>
                </c:pt>
                <c:pt idx="15">
                  <c:v>1.1951674328474109</c:v>
                </c:pt>
                <c:pt idx="16">
                  <c:v>-3.3031718719698002</c:v>
                </c:pt>
                <c:pt idx="17">
                  <c:v>-0.70049305668010831</c:v>
                </c:pt>
              </c:numCache>
            </c:numRef>
          </c:val>
        </c:ser>
        <c:ser>
          <c:idx val="2"/>
          <c:order val="2"/>
          <c:tx>
            <c:strRef>
              <c:f>'Growth Rates Annualised'!$H$2</c:f>
              <c:strCache>
                <c:ptCount val="1"/>
                <c:pt idx="0">
                  <c:v>Construction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Annualised'!$H$3:$H$20</c:f>
              <c:numCache>
                <c:formatCode>0.00</c:formatCode>
                <c:ptCount val="18"/>
                <c:pt idx="0">
                  <c:v>-1.7304780763978587</c:v>
                </c:pt>
                <c:pt idx="1">
                  <c:v>5.7190779192565628</c:v>
                </c:pt>
                <c:pt idx="2">
                  <c:v>-11.254456509814501</c:v>
                </c:pt>
                <c:pt idx="3">
                  <c:v>-5.6966269183352605</c:v>
                </c:pt>
                <c:pt idx="4">
                  <c:v>3.941044202206661</c:v>
                </c:pt>
                <c:pt idx="5">
                  <c:v>34.108681314950161</c:v>
                </c:pt>
                <c:pt idx="6">
                  <c:v>-21.006937512957489</c:v>
                </c:pt>
                <c:pt idx="7">
                  <c:v>4.7497428617470439</c:v>
                </c:pt>
                <c:pt idx="8">
                  <c:v>9.3854882281274872</c:v>
                </c:pt>
                <c:pt idx="9">
                  <c:v>13.557312528495702</c:v>
                </c:pt>
                <c:pt idx="10">
                  <c:v>7.5978260116048659</c:v>
                </c:pt>
                <c:pt idx="11">
                  <c:v>14.424716897190359</c:v>
                </c:pt>
                <c:pt idx="12">
                  <c:v>8.5556573784848684</c:v>
                </c:pt>
                <c:pt idx="13">
                  <c:v>8.3931078425761161</c:v>
                </c:pt>
                <c:pt idx="14">
                  <c:v>1.6492341187670074</c:v>
                </c:pt>
                <c:pt idx="15">
                  <c:v>0.41834048042517591</c:v>
                </c:pt>
                <c:pt idx="16">
                  <c:v>2.5206935625257496</c:v>
                </c:pt>
                <c:pt idx="17">
                  <c:v>2.9647373067400324</c:v>
                </c:pt>
              </c:numCache>
            </c:numRef>
          </c:val>
        </c:ser>
        <c:marker val="1"/>
        <c:axId val="223063424"/>
        <c:axId val="223077504"/>
      </c:lineChart>
      <c:catAx>
        <c:axId val="2230634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077504"/>
        <c:crosses val="autoZero"/>
        <c:auto val="1"/>
        <c:lblAlgn val="ctr"/>
        <c:lblOffset val="100"/>
        <c:tickLblSkip val="1"/>
        <c:tickMarkSkip val="1"/>
      </c:catAx>
      <c:valAx>
        <c:axId val="223077504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063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012990192919842"/>
          <c:y val="1.6611292490877665E-2"/>
          <c:w val="0.75162390298594062"/>
          <c:h val="0.10631233595800543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7.9416531604539875E-2"/>
          <c:y val="8.4967591425370928E-2"/>
          <c:w val="0.91410048622366291"/>
          <c:h val="0.80065614996984136"/>
        </c:manualLayout>
      </c:layout>
      <c:lineChart>
        <c:grouping val="standard"/>
        <c:ser>
          <c:idx val="0"/>
          <c:order val="0"/>
          <c:tx>
            <c:strRef>
              <c:f>'Growth Rates Annualised'!$J$2</c:f>
              <c:strCache>
                <c:ptCount val="1"/>
                <c:pt idx="0">
                  <c:v>Wholesale &amp; retail trade; hotels &amp; restaurants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Annualised'!$J$3:$J$20</c:f>
              <c:numCache>
                <c:formatCode>0.00</c:formatCode>
                <c:ptCount val="18"/>
                <c:pt idx="0">
                  <c:v>2.2470205122525559</c:v>
                </c:pt>
                <c:pt idx="1">
                  <c:v>0.55422679345200143</c:v>
                </c:pt>
                <c:pt idx="2">
                  <c:v>0.88094178663700917</c:v>
                </c:pt>
                <c:pt idx="3">
                  <c:v>7.153438110640173</c:v>
                </c:pt>
                <c:pt idx="4">
                  <c:v>8.2442430596969913</c:v>
                </c:pt>
                <c:pt idx="5">
                  <c:v>7.8119454402685991</c:v>
                </c:pt>
                <c:pt idx="6">
                  <c:v>2.4495687567601099</c:v>
                </c:pt>
                <c:pt idx="7">
                  <c:v>3.4685181819147157</c:v>
                </c:pt>
                <c:pt idx="8">
                  <c:v>5.436724967095766</c:v>
                </c:pt>
                <c:pt idx="9">
                  <c:v>6.467755570474333</c:v>
                </c:pt>
                <c:pt idx="10">
                  <c:v>6.4027775150125237</c:v>
                </c:pt>
                <c:pt idx="11">
                  <c:v>5.5921563971629666</c:v>
                </c:pt>
                <c:pt idx="12">
                  <c:v>1.0583020032393908</c:v>
                </c:pt>
                <c:pt idx="13">
                  <c:v>6.3531302635537995E-2</c:v>
                </c:pt>
                <c:pt idx="14">
                  <c:v>4.1695925907504501</c:v>
                </c:pt>
                <c:pt idx="15">
                  <c:v>5.0860616415897564</c:v>
                </c:pt>
                <c:pt idx="16">
                  <c:v>3.7381161108823671</c:v>
                </c:pt>
                <c:pt idx="17">
                  <c:v>2.8308062428081819</c:v>
                </c:pt>
              </c:numCache>
            </c:numRef>
          </c:val>
        </c:ser>
        <c:ser>
          <c:idx val="1"/>
          <c:order val="1"/>
          <c:tx>
            <c:strRef>
              <c:f>'Growth Rates Annualised'!$K$2</c:f>
              <c:strCache>
                <c:ptCount val="1"/>
                <c:pt idx="0">
                  <c:v>Transport , storage and communication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Annualised'!$K$3:$K$20</c:f>
              <c:numCache>
                <c:formatCode>0.00</c:formatCode>
                <c:ptCount val="18"/>
                <c:pt idx="0">
                  <c:v>4.4671965229658666</c:v>
                </c:pt>
                <c:pt idx="1">
                  <c:v>5.5598837816904023</c:v>
                </c:pt>
                <c:pt idx="2">
                  <c:v>4.5286472045194284</c:v>
                </c:pt>
                <c:pt idx="3">
                  <c:v>3.5515228165262891</c:v>
                </c:pt>
                <c:pt idx="4">
                  <c:v>6.4544516753365295</c:v>
                </c:pt>
                <c:pt idx="5">
                  <c:v>4.3137983896882419</c:v>
                </c:pt>
                <c:pt idx="6">
                  <c:v>9.3551417802024215</c:v>
                </c:pt>
                <c:pt idx="7">
                  <c:v>6.9910452895022734</c:v>
                </c:pt>
                <c:pt idx="8">
                  <c:v>4.4789047295174713</c:v>
                </c:pt>
                <c:pt idx="9">
                  <c:v>5.9155791352759435</c:v>
                </c:pt>
                <c:pt idx="10">
                  <c:v>5.2002254287003886</c:v>
                </c:pt>
                <c:pt idx="11">
                  <c:v>7.1322797925044883</c:v>
                </c:pt>
                <c:pt idx="12">
                  <c:v>4.18879282917261</c:v>
                </c:pt>
                <c:pt idx="13">
                  <c:v>1.5923054248031046</c:v>
                </c:pt>
                <c:pt idx="14">
                  <c:v>2.6750308403047143</c:v>
                </c:pt>
                <c:pt idx="15">
                  <c:v>2.9019164395214703</c:v>
                </c:pt>
                <c:pt idx="16">
                  <c:v>2.5631789056679177</c:v>
                </c:pt>
                <c:pt idx="17">
                  <c:v>1.7156017825355701</c:v>
                </c:pt>
              </c:numCache>
            </c:numRef>
          </c:val>
        </c:ser>
        <c:ser>
          <c:idx val="2"/>
          <c:order val="2"/>
          <c:tx>
            <c:strRef>
              <c:f>'Growth Rates Annualised'!$L$2</c:f>
              <c:strCache>
                <c:ptCount val="1"/>
                <c:pt idx="0">
                  <c:v>Finance, real estate and business services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Annualised'!$L$3:$L$20</c:f>
              <c:numCache>
                <c:formatCode>0.00</c:formatCode>
                <c:ptCount val="18"/>
                <c:pt idx="0">
                  <c:v>6.8454417881424288</c:v>
                </c:pt>
                <c:pt idx="1">
                  <c:v>4.2397690664207577</c:v>
                </c:pt>
                <c:pt idx="2">
                  <c:v>2.4268725064224799</c:v>
                </c:pt>
                <c:pt idx="3">
                  <c:v>6.0813331708891418</c:v>
                </c:pt>
                <c:pt idx="4">
                  <c:v>1.1933287562376913</c:v>
                </c:pt>
                <c:pt idx="5">
                  <c:v>5.7000743655677866</c:v>
                </c:pt>
                <c:pt idx="6">
                  <c:v>5.0548030717983794</c:v>
                </c:pt>
                <c:pt idx="7">
                  <c:v>5.5895925346991957</c:v>
                </c:pt>
                <c:pt idx="8">
                  <c:v>7.2250771810823515</c:v>
                </c:pt>
                <c:pt idx="9">
                  <c:v>10.575790858750496</c:v>
                </c:pt>
                <c:pt idx="10">
                  <c:v>7.6947753159013086</c:v>
                </c:pt>
                <c:pt idx="11">
                  <c:v>7.7600516477831105</c:v>
                </c:pt>
                <c:pt idx="12">
                  <c:v>7.3847387311771424</c:v>
                </c:pt>
                <c:pt idx="13">
                  <c:v>1.6209403006868479</c:v>
                </c:pt>
                <c:pt idx="14">
                  <c:v>2.4452309646419557</c:v>
                </c:pt>
                <c:pt idx="15">
                  <c:v>4.8132820447818787</c:v>
                </c:pt>
                <c:pt idx="16">
                  <c:v>3.3433570285832568</c:v>
                </c:pt>
                <c:pt idx="17">
                  <c:v>2.4952662435787505</c:v>
                </c:pt>
              </c:numCache>
            </c:numRef>
          </c:val>
        </c:ser>
        <c:ser>
          <c:idx val="3"/>
          <c:order val="3"/>
          <c:tx>
            <c:strRef>
              <c:f>'Growth Rates Annualised'!$M$2</c:f>
              <c:strCache>
                <c:ptCount val="1"/>
                <c:pt idx="0">
                  <c:v>Personal services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Annualised'!$M$3:$M$20</c:f>
              <c:numCache>
                <c:formatCode>0.00</c:formatCode>
                <c:ptCount val="18"/>
                <c:pt idx="0">
                  <c:v>2.5993756666897951</c:v>
                </c:pt>
                <c:pt idx="1">
                  <c:v>-0.10203571415376578</c:v>
                </c:pt>
                <c:pt idx="2">
                  <c:v>6.2204660235137315</c:v>
                </c:pt>
                <c:pt idx="3">
                  <c:v>3.6957968062409501</c:v>
                </c:pt>
                <c:pt idx="4">
                  <c:v>4.7073160157575709</c:v>
                </c:pt>
                <c:pt idx="5">
                  <c:v>2.3313694955157054</c:v>
                </c:pt>
                <c:pt idx="6">
                  <c:v>2.411459265991736</c:v>
                </c:pt>
                <c:pt idx="7">
                  <c:v>5.5714173598928376</c:v>
                </c:pt>
                <c:pt idx="8">
                  <c:v>1.7682853612014979</c:v>
                </c:pt>
                <c:pt idx="9">
                  <c:v>3.3769873624156377</c:v>
                </c:pt>
                <c:pt idx="10">
                  <c:v>5.3055692510047248</c:v>
                </c:pt>
                <c:pt idx="11">
                  <c:v>5.5076826940719625</c:v>
                </c:pt>
                <c:pt idx="12">
                  <c:v>3.7697570928601003</c:v>
                </c:pt>
                <c:pt idx="13">
                  <c:v>-2.2682734021946482E-2</c:v>
                </c:pt>
                <c:pt idx="14">
                  <c:v>0.66604117936195084</c:v>
                </c:pt>
                <c:pt idx="15">
                  <c:v>2.5547119095466639</c:v>
                </c:pt>
                <c:pt idx="16">
                  <c:v>2.2575201417636266</c:v>
                </c:pt>
                <c:pt idx="17">
                  <c:v>1.9919065978230448</c:v>
                </c:pt>
              </c:numCache>
            </c:numRef>
          </c:val>
        </c:ser>
        <c:ser>
          <c:idx val="4"/>
          <c:order val="4"/>
          <c:tx>
            <c:strRef>
              <c:f>'Growth Rates Annualised'!$N$2</c:f>
              <c:strCache>
                <c:ptCount val="1"/>
                <c:pt idx="0">
                  <c:v>General government services</c:v>
                </c:pt>
              </c:strCache>
            </c:strRef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'Growth Rates Annualised'!$A$3:$A$20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'Growth Rates Annualised'!$N$3:$N$20</c:f>
              <c:numCache>
                <c:formatCode>0.00</c:formatCode>
                <c:ptCount val="18"/>
                <c:pt idx="0">
                  <c:v>3.784687181258374</c:v>
                </c:pt>
                <c:pt idx="1">
                  <c:v>-2.419891015264688</c:v>
                </c:pt>
                <c:pt idx="2">
                  <c:v>1.9185776304905107</c:v>
                </c:pt>
                <c:pt idx="3">
                  <c:v>-3.4818138516285417</c:v>
                </c:pt>
                <c:pt idx="4">
                  <c:v>-0.29083884431686502</c:v>
                </c:pt>
                <c:pt idx="5">
                  <c:v>0.93167194546765941</c:v>
                </c:pt>
                <c:pt idx="6">
                  <c:v>0.41607279782576079</c:v>
                </c:pt>
                <c:pt idx="7">
                  <c:v>2.1974951064812722</c:v>
                </c:pt>
                <c:pt idx="8">
                  <c:v>1.3494582078885304</c:v>
                </c:pt>
                <c:pt idx="9">
                  <c:v>4.5039283876418814</c:v>
                </c:pt>
                <c:pt idx="10">
                  <c:v>2.9800543201634762</c:v>
                </c:pt>
                <c:pt idx="11">
                  <c:v>4.0691697388377337</c:v>
                </c:pt>
                <c:pt idx="12">
                  <c:v>4.9247090623668122</c:v>
                </c:pt>
                <c:pt idx="13">
                  <c:v>3.8975244164054477</c:v>
                </c:pt>
                <c:pt idx="14">
                  <c:v>3.590002353916137</c:v>
                </c:pt>
                <c:pt idx="15">
                  <c:v>4.1947895632822823</c:v>
                </c:pt>
                <c:pt idx="16">
                  <c:v>2.6974343637254323</c:v>
                </c:pt>
                <c:pt idx="17">
                  <c:v>1.545640534648169</c:v>
                </c:pt>
              </c:numCache>
            </c:numRef>
          </c:val>
        </c:ser>
        <c:marker val="1"/>
        <c:axId val="222985600"/>
        <c:axId val="222991488"/>
      </c:lineChart>
      <c:catAx>
        <c:axId val="22298560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991488"/>
        <c:crosses val="autoZero"/>
        <c:auto val="1"/>
        <c:lblAlgn val="ctr"/>
        <c:lblOffset val="100"/>
        <c:tickLblSkip val="1"/>
        <c:tickMarkSkip val="1"/>
      </c:catAx>
      <c:valAx>
        <c:axId val="222991488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985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3922204213938432"/>
          <c:y val="1.6340023970992063E-2"/>
          <c:w val="0.52998379254457806"/>
          <c:h val="0.222222930226208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6305358171694532E-2"/>
          <c:y val="2.5555555555555581E-2"/>
          <c:w val="0.91219657043408664"/>
          <c:h val="0.87000283204048512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Annualised'!$C$2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'Growth Rates Annualised'!$A$21</c:f>
              <c:strCache>
                <c:ptCount val="1"/>
                <c:pt idx="0">
                  <c:v>Average Year on Year Growth Rate</c:v>
                </c:pt>
              </c:strCache>
            </c:strRef>
          </c:cat>
          <c:val>
            <c:numRef>
              <c:f>'Growth Rates Annualised'!$C$21</c:f>
              <c:numCache>
                <c:formatCode>0.00</c:formatCode>
                <c:ptCount val="1"/>
                <c:pt idx="0">
                  <c:v>2.6431901466571506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Annualised'!$D$2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Annualised'!$D$21</c:f>
              <c:numCache>
                <c:formatCode>0.00</c:formatCode>
                <c:ptCount val="1"/>
                <c:pt idx="0">
                  <c:v>-0.42220083410687553</c:v>
                </c:pt>
              </c:numCache>
            </c:numRef>
          </c:val>
          <c:shape val="cylinder"/>
        </c:ser>
        <c:shape val="box"/>
        <c:axId val="223086464"/>
        <c:axId val="223088000"/>
        <c:axId val="0"/>
      </c:bar3DChart>
      <c:catAx>
        <c:axId val="223086464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088000"/>
        <c:crosses val="autoZero"/>
        <c:auto val="1"/>
        <c:lblAlgn val="ctr"/>
        <c:lblOffset val="100"/>
        <c:tickLblSkip val="1"/>
        <c:tickMarkSkip val="1"/>
      </c:catAx>
      <c:valAx>
        <c:axId val="223088000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086464"/>
        <c:crosses val="autoZero"/>
        <c:crossBetween val="between"/>
      </c:valAx>
      <c:spPr>
        <a:solidFill>
          <a:srgbClr val="9BBB59">
            <a:lumMod val="60000"/>
            <a:lumOff val="40000"/>
          </a:srgbClr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1.1538629786661406E-2"/>
          <c:y val="1.6666823832649665E-2"/>
          <c:w val="0.66218604885927823"/>
          <c:h val="0.1000003143319659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1140046518575421E-2"/>
          <c:y val="2.5555555555555581E-2"/>
          <c:w val="0.90731851390770057"/>
          <c:h val="0.87000283204048512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Annualised'!$F$2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'Growth Rates Annualised'!$A$21</c:f>
              <c:strCache>
                <c:ptCount val="1"/>
                <c:pt idx="0">
                  <c:v>Average Year on Year Growth Rate</c:v>
                </c:pt>
              </c:strCache>
            </c:strRef>
          </c:cat>
          <c:val>
            <c:numRef>
              <c:f>'Growth Rates Annualised'!$F$21</c:f>
              <c:numCache>
                <c:formatCode>0.00</c:formatCode>
                <c:ptCount val="1"/>
                <c:pt idx="0">
                  <c:v>2.5488201696644071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Annualised'!$G$2</c:f>
              <c:strCache>
                <c:ptCount val="1"/>
                <c:pt idx="0">
                  <c:v>Electricity, gas and water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Annualised'!$G$21</c:f>
              <c:numCache>
                <c:formatCode>0.00</c:formatCode>
                <c:ptCount val="1"/>
                <c:pt idx="0">
                  <c:v>1.2931292826865086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'Growth Rates Annualised'!$H$2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Annualised'!$H$21</c:f>
              <c:numCache>
                <c:formatCode>0.00</c:formatCode>
                <c:ptCount val="1"/>
                <c:pt idx="0">
                  <c:v>4.3498423130884829</c:v>
                </c:pt>
              </c:numCache>
            </c:numRef>
          </c:val>
          <c:shape val="cylinder"/>
        </c:ser>
        <c:shape val="box"/>
        <c:axId val="223130368"/>
        <c:axId val="223131904"/>
        <c:axId val="0"/>
      </c:bar3DChart>
      <c:catAx>
        <c:axId val="223130368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131904"/>
        <c:crosses val="autoZero"/>
        <c:auto val="1"/>
        <c:lblAlgn val="ctr"/>
        <c:lblOffset val="100"/>
        <c:tickLblSkip val="1"/>
        <c:tickMarkSkip val="1"/>
      </c:catAx>
      <c:valAx>
        <c:axId val="223131904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130368"/>
        <c:crosses val="autoZero"/>
        <c:crossBetween val="between"/>
      </c:valAx>
      <c:spPr>
        <a:solidFill>
          <a:srgbClr val="9BBB59">
            <a:lumMod val="60000"/>
            <a:lumOff val="40000"/>
          </a:srgbClr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1.055482765785134E-2"/>
          <c:y val="1.2601626016260307E-2"/>
          <c:w val="0.65000072083073734"/>
          <c:h val="0.1000003200819411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4628455533967339E-2"/>
          <c:y val="2.5470653377630131E-2"/>
          <c:w val="0.9188318971564845"/>
          <c:h val="0.87043330570185851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Annualised'!$J$2</c:f>
              <c:strCache>
                <c:ptCount val="1"/>
                <c:pt idx="0">
                  <c:v>Wholesale &amp; retail trade; hotels &amp; restaurants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'Growth Rates Annualised'!$A$21</c:f>
              <c:strCache>
                <c:ptCount val="1"/>
                <c:pt idx="0">
                  <c:v>Average Year on Year Growth Rate</c:v>
                </c:pt>
              </c:strCache>
            </c:strRef>
          </c:cat>
          <c:val>
            <c:numRef>
              <c:f>'Growth Rates Annualised'!$J$21</c:f>
              <c:numCache>
                <c:formatCode>0.00</c:formatCode>
                <c:ptCount val="1"/>
                <c:pt idx="0">
                  <c:v>4.0919848324040791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Annualised'!$K$2</c:f>
              <c:strCache>
                <c:ptCount val="1"/>
                <c:pt idx="0">
                  <c:v>Transport , storage and communication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Annualised'!$K$21</c:f>
              <c:numCache>
                <c:formatCode>0.00</c:formatCode>
                <c:ptCount val="1"/>
                <c:pt idx="0">
                  <c:v>4.6436390426908405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'Growth Rates Annualised'!$L$2</c:f>
              <c:strCache>
                <c:ptCount val="1"/>
                <c:pt idx="0">
                  <c:v>Finance, real estate and business services</c:v>
                </c:pt>
              </c:strCache>
            </c:strRef>
          </c:tx>
          <c:spPr>
            <a:solidFill>
              <a:srgbClr val="04AC3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Annualised'!$L$21</c:f>
              <c:numCache>
                <c:formatCode>0.00</c:formatCode>
                <c:ptCount val="1"/>
                <c:pt idx="0">
                  <c:v>5.1383180876191643</c:v>
                </c:pt>
              </c:numCache>
            </c:numRef>
          </c:val>
          <c:shape val="cylinder"/>
        </c:ser>
        <c:ser>
          <c:idx val="3"/>
          <c:order val="3"/>
          <c:tx>
            <c:strRef>
              <c:f>'Growth Rates Annualised'!$M$2</c:f>
              <c:strCache>
                <c:ptCount val="1"/>
                <c:pt idx="0">
                  <c:v>Personal services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Annualised'!$M$21</c:f>
              <c:numCache>
                <c:formatCode>0.00</c:formatCode>
                <c:ptCount val="1"/>
                <c:pt idx="0">
                  <c:v>3.0339413208597676</c:v>
                </c:pt>
              </c:numCache>
            </c:numRef>
          </c:val>
          <c:shape val="cylinder"/>
        </c:ser>
        <c:ser>
          <c:idx val="4"/>
          <c:order val="4"/>
          <c:tx>
            <c:strRef>
              <c:f>'Growth Rates Annualised'!$N$2</c:f>
              <c:strCache>
                <c:ptCount val="1"/>
                <c:pt idx="0">
                  <c:v>General government services</c:v>
                </c:pt>
              </c:strCache>
            </c:strRef>
          </c:tx>
          <c:spPr>
            <a:solidFill>
              <a:srgbClr val="7030A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Annualised'!$N$21</c:f>
              <c:numCache>
                <c:formatCode>0.00</c:formatCode>
                <c:ptCount val="1"/>
                <c:pt idx="0">
                  <c:v>2.0449262166216329</c:v>
                </c:pt>
              </c:numCache>
            </c:numRef>
          </c:val>
          <c:shape val="cylinder"/>
        </c:ser>
        <c:shape val="box"/>
        <c:axId val="223270016"/>
        <c:axId val="223271552"/>
        <c:axId val="0"/>
      </c:bar3DChart>
      <c:catAx>
        <c:axId val="223270016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271552"/>
        <c:crosses val="autoZero"/>
        <c:auto val="1"/>
        <c:lblAlgn val="ctr"/>
        <c:lblOffset val="100"/>
        <c:tickLblSkip val="1"/>
        <c:tickMarkSkip val="1"/>
      </c:catAx>
      <c:valAx>
        <c:axId val="223271552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270016"/>
        <c:crosses val="autoZero"/>
        <c:crossBetween val="between"/>
      </c:valAx>
      <c:spPr>
        <a:solidFill>
          <a:srgbClr val="9BBB59">
            <a:lumMod val="60000"/>
            <a:lumOff val="40000"/>
          </a:srgbClr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50974060060674264"/>
          <c:y val="1.6611290640693041E-2"/>
          <c:w val="0.46266267852882031"/>
          <c:h val="0.2392031920865404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7.6092824791849423E-2"/>
          <c:y val="3.054382908018851E-2"/>
          <c:w val="0.91739244419935451"/>
          <c:h val="0.94582324268290063"/>
        </c:manualLayout>
      </c:layout>
      <c:lineChart>
        <c:grouping val="standard"/>
        <c:ser>
          <c:idx val="0"/>
          <c:order val="0"/>
          <c:tx>
            <c:strRef>
              <c:f>'Growth Rates SeaAdj'!$B$2</c:f>
              <c:strCache>
                <c:ptCount val="1"/>
                <c:pt idx="0">
                  <c:v>Primary Industries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SeaAdj'!$B$3:$B$74</c:f>
              <c:numCache>
                <c:formatCode>0.00</c:formatCode>
                <c:ptCount val="27"/>
                <c:pt idx="0">
                  <c:v>3.1620794006813813</c:v>
                </c:pt>
                <c:pt idx="1">
                  <c:v>4.8890312139723706</c:v>
                </c:pt>
                <c:pt idx="2">
                  <c:v>6.7039181017791538</c:v>
                </c:pt>
                <c:pt idx="3">
                  <c:v>5.6690914946248565</c:v>
                </c:pt>
                <c:pt idx="4">
                  <c:v>7.7226579700301139</c:v>
                </c:pt>
                <c:pt idx="5">
                  <c:v>11.580169284162183</c:v>
                </c:pt>
                <c:pt idx="6">
                  <c:v>11.331334613094556</c:v>
                </c:pt>
                <c:pt idx="7">
                  <c:v>5.1751933534444978</c:v>
                </c:pt>
                <c:pt idx="8">
                  <c:v>-0.65430679694918736</c:v>
                </c:pt>
                <c:pt idx="9">
                  <c:v>-7.6046020456617871</c:v>
                </c:pt>
                <c:pt idx="10">
                  <c:v>-10.682923851500801</c:v>
                </c:pt>
                <c:pt idx="11">
                  <c:v>-3.3555778637184863</c:v>
                </c:pt>
                <c:pt idx="12">
                  <c:v>5.0115461954638799E-2</c:v>
                </c:pt>
                <c:pt idx="13">
                  <c:v>7.4860708177941824</c:v>
                </c:pt>
                <c:pt idx="14">
                  <c:v>11.987532092033772</c:v>
                </c:pt>
                <c:pt idx="15">
                  <c:v>6.7673674690197192</c:v>
                </c:pt>
                <c:pt idx="16">
                  <c:v>3.9993600205592812</c:v>
                </c:pt>
                <c:pt idx="17">
                  <c:v>-2.4790341838732091</c:v>
                </c:pt>
                <c:pt idx="18">
                  <c:v>-5.7141275421946771</c:v>
                </c:pt>
                <c:pt idx="19">
                  <c:v>-3.36113733301625</c:v>
                </c:pt>
                <c:pt idx="20">
                  <c:v>1.505208443923455</c:v>
                </c:pt>
                <c:pt idx="21">
                  <c:v>4.652743558679246</c:v>
                </c:pt>
                <c:pt idx="22">
                  <c:v>7.079931302282624</c:v>
                </c:pt>
                <c:pt idx="23">
                  <c:v>5.6021844962545826</c:v>
                </c:pt>
                <c:pt idx="24">
                  <c:v>1.6252401253071234</c:v>
                </c:pt>
                <c:pt idx="25">
                  <c:v>2.104650728006269</c:v>
                </c:pt>
                <c:pt idx="26">
                  <c:v>2.716485440760648</c:v>
                </c:pt>
              </c:numCache>
            </c:numRef>
          </c:val>
        </c:ser>
        <c:ser>
          <c:idx val="1"/>
          <c:order val="1"/>
          <c:tx>
            <c:strRef>
              <c:f>'Growth Rates SeaAdj'!$E$2</c:f>
              <c:strCache>
                <c:ptCount val="1"/>
                <c:pt idx="0">
                  <c:v>Secondary Industries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SeaAdj'!$E$3:$E$74</c:f>
              <c:numCache>
                <c:formatCode>0.00</c:formatCode>
                <c:ptCount val="27"/>
                <c:pt idx="0">
                  <c:v>6.3914540484822799</c:v>
                </c:pt>
                <c:pt idx="1">
                  <c:v>4.6993000176530382</c:v>
                </c:pt>
                <c:pt idx="2">
                  <c:v>5.1823992428298578</c:v>
                </c:pt>
                <c:pt idx="3">
                  <c:v>2.7901621744015754</c:v>
                </c:pt>
                <c:pt idx="4">
                  <c:v>5.5500767901059875</c:v>
                </c:pt>
                <c:pt idx="5">
                  <c:v>4.3351875659479937</c:v>
                </c:pt>
                <c:pt idx="6">
                  <c:v>-2.194906769028282</c:v>
                </c:pt>
                <c:pt idx="7">
                  <c:v>-6.6868328677075084</c:v>
                </c:pt>
                <c:pt idx="8">
                  <c:v>-11.666094351382062</c:v>
                </c:pt>
                <c:pt idx="9">
                  <c:v>-9.0452287629086836</c:v>
                </c:pt>
                <c:pt idx="10">
                  <c:v>-2.9811346290506355</c:v>
                </c:pt>
                <c:pt idx="11">
                  <c:v>4.0667609686452266</c:v>
                </c:pt>
                <c:pt idx="12">
                  <c:v>7.7873002097817192</c:v>
                </c:pt>
                <c:pt idx="13">
                  <c:v>5.0730953930932801</c:v>
                </c:pt>
                <c:pt idx="14">
                  <c:v>3.8550945975184545</c:v>
                </c:pt>
                <c:pt idx="15">
                  <c:v>4.5379844439537234</c:v>
                </c:pt>
                <c:pt idx="16">
                  <c:v>2.0471197155501963</c:v>
                </c:pt>
                <c:pt idx="17">
                  <c:v>2.4195247564782512</c:v>
                </c:pt>
                <c:pt idx="18">
                  <c:v>2.1951177473073566</c:v>
                </c:pt>
                <c:pt idx="19">
                  <c:v>0.99872517582512632</c:v>
                </c:pt>
                <c:pt idx="20">
                  <c:v>1.686047997335256</c:v>
                </c:pt>
                <c:pt idx="21">
                  <c:v>2.1385619114896235</c:v>
                </c:pt>
                <c:pt idx="22">
                  <c:v>2.2238129180645529</c:v>
                </c:pt>
                <c:pt idx="23">
                  <c:v>-0.73145358000353622</c:v>
                </c:pt>
                <c:pt idx="24">
                  <c:v>2.0030626393422173</c:v>
                </c:pt>
                <c:pt idx="25">
                  <c:v>0.43249986672514068</c:v>
                </c:pt>
                <c:pt idx="26">
                  <c:v>1.8538280703101599</c:v>
                </c:pt>
              </c:numCache>
            </c:numRef>
          </c:val>
        </c:ser>
        <c:ser>
          <c:idx val="2"/>
          <c:order val="2"/>
          <c:tx>
            <c:strRef>
              <c:f>'Growth Rates SeaAdj'!$I$2</c:f>
              <c:strCache>
                <c:ptCount val="1"/>
                <c:pt idx="0">
                  <c:v>Tertiary industries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SeaAdj'!$I$3:$I$74</c:f>
              <c:numCache>
                <c:formatCode>0.00</c:formatCode>
                <c:ptCount val="27"/>
                <c:pt idx="0">
                  <c:v>5.9733592713472259</c:v>
                </c:pt>
                <c:pt idx="1">
                  <c:v>6.2112552671177665</c:v>
                </c:pt>
                <c:pt idx="2">
                  <c:v>6.4483990610430713</c:v>
                </c:pt>
                <c:pt idx="3">
                  <c:v>5.96925998910418</c:v>
                </c:pt>
                <c:pt idx="4">
                  <c:v>4.9139217223651919</c:v>
                </c:pt>
                <c:pt idx="5">
                  <c:v>3.9922514660995652</c:v>
                </c:pt>
                <c:pt idx="6">
                  <c:v>3.2477633818822951</c:v>
                </c:pt>
                <c:pt idx="7">
                  <c:v>2.2986695165285078</c:v>
                </c:pt>
                <c:pt idx="8">
                  <c:v>1.7770664303201635</c:v>
                </c:pt>
                <c:pt idx="9">
                  <c:v>1.2123405181073721</c:v>
                </c:pt>
                <c:pt idx="10">
                  <c:v>0.8906295019785182</c:v>
                </c:pt>
                <c:pt idx="11">
                  <c:v>1.4892702702821807</c:v>
                </c:pt>
                <c:pt idx="12">
                  <c:v>2.8516409254864414</c:v>
                </c:pt>
                <c:pt idx="13">
                  <c:v>3.3831726435695724</c:v>
                </c:pt>
                <c:pt idx="14">
                  <c:v>3.905268003048032</c:v>
                </c:pt>
                <c:pt idx="15">
                  <c:v>3.9679102894313161</c:v>
                </c:pt>
                <c:pt idx="16">
                  <c:v>3.9661958959911634</c:v>
                </c:pt>
                <c:pt idx="17">
                  <c:v>4.2722045900473464</c:v>
                </c:pt>
                <c:pt idx="18">
                  <c:v>4.4159771401859347</c:v>
                </c:pt>
                <c:pt idx="19">
                  <c:v>3.8457037275034689</c:v>
                </c:pt>
                <c:pt idx="20">
                  <c:v>3.298337497948181</c:v>
                </c:pt>
                <c:pt idx="21">
                  <c:v>2.7433151161105536</c:v>
                </c:pt>
                <c:pt idx="22">
                  <c:v>2.3424349410933236</c:v>
                </c:pt>
                <c:pt idx="23">
                  <c:v>2.3141107519269735</c:v>
                </c:pt>
                <c:pt idx="24">
                  <c:v>2.324413004191086</c:v>
                </c:pt>
                <c:pt idx="25">
                  <c:v>2.1806252895866032</c:v>
                </c:pt>
                <c:pt idx="26">
                  <c:v>1.9339186846750185</c:v>
                </c:pt>
              </c:numCache>
            </c:numRef>
          </c:val>
        </c:ser>
        <c:marker val="1"/>
        <c:axId val="223360128"/>
        <c:axId val="223361664"/>
      </c:lineChart>
      <c:catAx>
        <c:axId val="22336012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361664"/>
        <c:crosses val="autoZero"/>
        <c:auto val="1"/>
        <c:lblAlgn val="ctr"/>
        <c:lblOffset val="100"/>
        <c:tickLblSkip val="4"/>
        <c:tickMarkSkip val="1"/>
      </c:catAx>
      <c:valAx>
        <c:axId val="223361664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360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234713772144705"/>
          <c:y val="4.6600994024683103E-2"/>
          <c:w val="0.25043600893171925"/>
          <c:h val="0.1443716982185717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81" r="0.7500000000000081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600083784315235E-2"/>
          <c:y val="2.2612285823822652E-2"/>
          <c:w val="0.91368078175894729"/>
          <c:h val="0.86622073578595316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SeaAdj'!$B$2</c:f>
              <c:strCache>
                <c:ptCount val="1"/>
                <c:pt idx="0">
                  <c:v>Primary Industries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'Growth Rates SeaAdj'!$A$75</c:f>
              <c:strCache>
                <c:ptCount val="1"/>
                <c:pt idx="0">
                  <c:v>Average Year on Year Growth Rate</c:v>
                </c:pt>
              </c:strCache>
            </c:strRef>
          </c:cat>
          <c:val>
            <c:numRef>
              <c:f>'Growth Rates SeaAdj'!$B$75</c:f>
              <c:numCache>
                <c:formatCode>0.00</c:formatCode>
                <c:ptCount val="1"/>
                <c:pt idx="0">
                  <c:v>1.8319400812109876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SeaAdj'!$E$2</c:f>
              <c:strCache>
                <c:ptCount val="1"/>
                <c:pt idx="0">
                  <c:v>Secondary Industries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SeaAdj'!$E$75</c:f>
              <c:numCache>
                <c:formatCode>0.00</c:formatCode>
                <c:ptCount val="1"/>
                <c:pt idx="0">
                  <c:v>2.5790345895394675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'Growth Rates SeaAdj'!$I$2</c:f>
              <c:strCache>
                <c:ptCount val="1"/>
                <c:pt idx="0">
                  <c:v>Tertiary industries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SeaAdj'!$I$75</c:f>
              <c:numCache>
                <c:formatCode>0.00</c:formatCode>
                <c:ptCount val="1"/>
                <c:pt idx="0">
                  <c:v>3.8988792452835037</c:v>
                </c:pt>
              </c:numCache>
            </c:numRef>
          </c:val>
          <c:shape val="cylinder"/>
        </c:ser>
        <c:shape val="box"/>
        <c:axId val="223402624"/>
        <c:axId val="223408512"/>
        <c:axId val="0"/>
      </c:bar3DChart>
      <c:catAx>
        <c:axId val="223402624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08512"/>
        <c:crosses val="autoZero"/>
        <c:auto val="1"/>
        <c:lblAlgn val="ctr"/>
        <c:lblOffset val="100"/>
        <c:tickLblSkip val="1"/>
        <c:tickMarkSkip val="1"/>
      </c:catAx>
      <c:valAx>
        <c:axId val="223408512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02624"/>
        <c:crosses val="autoZero"/>
        <c:crossBetween val="between"/>
      </c:valAx>
      <c:spPr>
        <a:solidFill>
          <a:schemeClr val="accent3">
            <a:lumMod val="60000"/>
            <a:lumOff val="40000"/>
          </a:schemeClr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2.1400969738595791E-2"/>
          <c:y val="1.6722434008645513E-2"/>
          <c:w val="0.83876223415998263"/>
          <c:h val="0.10033438209230185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81" r="0.7500000000000081" t="1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7.7408519811312512E-2"/>
          <c:y val="2.935167040771533E-2"/>
          <c:w val="0.92259148018868775"/>
          <c:h val="0.93573425493759665"/>
        </c:manualLayout>
      </c:layout>
      <c:lineChart>
        <c:grouping val="standard"/>
        <c:ser>
          <c:idx val="0"/>
          <c:order val="0"/>
          <c:tx>
            <c:strRef>
              <c:f>'Growth Rates SeaAdj'!$C$2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SeaAdj'!$C$3:$C$74</c:f>
              <c:numCache>
                <c:formatCode>0.00</c:formatCode>
                <c:ptCount val="27"/>
                <c:pt idx="0">
                  <c:v>3.1975017807751631</c:v>
                </c:pt>
                <c:pt idx="1">
                  <c:v>6.1458921550302534</c:v>
                </c:pt>
                <c:pt idx="2">
                  <c:v>9.8303564268195984</c:v>
                </c:pt>
                <c:pt idx="3">
                  <c:v>11.135067855999857</c:v>
                </c:pt>
                <c:pt idx="4">
                  <c:v>12.01997332969483</c:v>
                </c:pt>
                <c:pt idx="5">
                  <c:v>17.936303397824179</c:v>
                </c:pt>
                <c:pt idx="6">
                  <c:v>16.864913649754996</c:v>
                </c:pt>
                <c:pt idx="7">
                  <c:v>9.0426823275332975</c:v>
                </c:pt>
                <c:pt idx="8">
                  <c:v>1.2806448197730829</c:v>
                </c:pt>
                <c:pt idx="9">
                  <c:v>-8.0317739723350066</c:v>
                </c:pt>
                <c:pt idx="10">
                  <c:v>-12.291558816150495</c:v>
                </c:pt>
                <c:pt idx="11">
                  <c:v>-7.1391749679374605</c:v>
                </c:pt>
                <c:pt idx="12">
                  <c:v>-0.49072307718814973</c:v>
                </c:pt>
                <c:pt idx="13">
                  <c:v>6.5556225933508054</c:v>
                </c:pt>
                <c:pt idx="14">
                  <c:v>11.591944121114691</c:v>
                </c:pt>
                <c:pt idx="15">
                  <c:v>8.3971729242607367</c:v>
                </c:pt>
                <c:pt idx="16">
                  <c:v>3.134005250137252</c:v>
                </c:pt>
                <c:pt idx="17">
                  <c:v>-1.8341683493420171</c:v>
                </c:pt>
                <c:pt idx="18">
                  <c:v>-4.9006226431704363</c:v>
                </c:pt>
                <c:pt idx="19">
                  <c:v>-3.3563720012674492</c:v>
                </c:pt>
                <c:pt idx="20">
                  <c:v>1.1556306709343638</c:v>
                </c:pt>
                <c:pt idx="21">
                  <c:v>4.5059032913261889</c:v>
                </c:pt>
                <c:pt idx="22">
                  <c:v>8.0980265134213809</c:v>
                </c:pt>
                <c:pt idx="23">
                  <c:v>6.4045517155479734</c:v>
                </c:pt>
                <c:pt idx="24">
                  <c:v>3.3449179085222069</c:v>
                </c:pt>
                <c:pt idx="25">
                  <c:v>2.4721664344296741</c:v>
                </c:pt>
                <c:pt idx="26">
                  <c:v>1.642466779146877</c:v>
                </c:pt>
              </c:numCache>
            </c:numRef>
          </c:val>
        </c:ser>
        <c:ser>
          <c:idx val="1"/>
          <c:order val="1"/>
          <c:tx>
            <c:strRef>
              <c:f>'Growth Rates SeaAdj'!$D$2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SeaAdj'!$D$3:$D$74</c:f>
              <c:numCache>
                <c:formatCode>0.00</c:formatCode>
                <c:ptCount val="27"/>
                <c:pt idx="0">
                  <c:v>3.0609427657366926</c:v>
                </c:pt>
                <c:pt idx="1">
                  <c:v>1.4134810665454367</c:v>
                </c:pt>
                <c:pt idx="2">
                  <c:v>-1.7790672469975317</c:v>
                </c:pt>
                <c:pt idx="3">
                  <c:v>-9.2199585386663099</c:v>
                </c:pt>
                <c:pt idx="4">
                  <c:v>-4.5631312291256805</c:v>
                </c:pt>
                <c:pt idx="5">
                  <c:v>-6.8164017872275942</c:v>
                </c:pt>
                <c:pt idx="6">
                  <c:v>-5.4576065612651306</c:v>
                </c:pt>
                <c:pt idx="7">
                  <c:v>-7.72181753910158</c:v>
                </c:pt>
                <c:pt idx="8">
                  <c:v>-7.1474536714891261</c:v>
                </c:pt>
                <c:pt idx="9">
                  <c:v>-6.0398174263331255</c:v>
                </c:pt>
                <c:pt idx="10">
                  <c:v>-4.649938873589913</c:v>
                </c:pt>
                <c:pt idx="11">
                  <c:v>11.553897474782936</c:v>
                </c:pt>
                <c:pt idx="12">
                  <c:v>2.0297516645977995</c:v>
                </c:pt>
                <c:pt idx="13">
                  <c:v>10.822162935607837</c:v>
                </c:pt>
                <c:pt idx="14">
                  <c:v>13.352235366363315</c:v>
                </c:pt>
                <c:pt idx="15">
                  <c:v>1.4212187804637135</c:v>
                </c:pt>
                <c:pt idx="16">
                  <c:v>7.0885789642833412</c:v>
                </c:pt>
                <c:pt idx="17">
                  <c:v>-4.7021645958481706</c:v>
                </c:pt>
                <c:pt idx="18">
                  <c:v>-8.4769824848581159</c:v>
                </c:pt>
                <c:pt idx="19">
                  <c:v>-3.3778439123371298</c:v>
                </c:pt>
                <c:pt idx="20">
                  <c:v>2.7070771768434976</c:v>
                </c:pt>
                <c:pt idx="21">
                  <c:v>5.1742000187346324</c:v>
                </c:pt>
                <c:pt idx="22">
                  <c:v>3.4871262813190862</c:v>
                </c:pt>
                <c:pt idx="23">
                  <c:v>2.788573358160261</c:v>
                </c:pt>
                <c:pt idx="24">
                  <c:v>-4.1978028865508916</c:v>
                </c:pt>
                <c:pt idx="25">
                  <c:v>0.80782864972449364</c:v>
                </c:pt>
                <c:pt idx="26">
                  <c:v>6.6755129545685286</c:v>
                </c:pt>
              </c:numCache>
            </c:numRef>
          </c:val>
        </c:ser>
        <c:marker val="1"/>
        <c:axId val="223306880"/>
        <c:axId val="223308416"/>
      </c:lineChart>
      <c:catAx>
        <c:axId val="22330688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308416"/>
        <c:crosses val="autoZero"/>
        <c:auto val="1"/>
        <c:lblAlgn val="ctr"/>
        <c:lblOffset val="100"/>
        <c:tickLblSkip val="4"/>
        <c:tickMarkSkip val="4"/>
      </c:catAx>
      <c:valAx>
        <c:axId val="223308416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306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505241827589418"/>
          <c:y val="0.10113142509546805"/>
          <c:w val="0.32520256273808068"/>
          <c:h val="0.1066671172541200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81" r="0.7500000000000081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6.9219461099472704E-2"/>
          <c:y val="2.6677411592207802E-2"/>
          <c:w val="0.92887500300994563"/>
          <c:h val="0.92349030997990456"/>
        </c:manualLayout>
      </c:layout>
      <c:lineChart>
        <c:grouping val="standard"/>
        <c:ser>
          <c:idx val="0"/>
          <c:order val="0"/>
          <c:tx>
            <c:strRef>
              <c:f>'Growth Rates SeaAdj'!$F$2</c:f>
              <c:strCache>
                <c:ptCount val="1"/>
                <c:pt idx="0">
                  <c:v>Manufacturing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SeaAdj'!$F$3:$F$74</c:f>
              <c:numCache>
                <c:formatCode>0.00</c:formatCode>
                <c:ptCount val="27"/>
                <c:pt idx="0">
                  <c:v>5.8879422021523169</c:v>
                </c:pt>
                <c:pt idx="1">
                  <c:v>3.8258114296108516</c:v>
                </c:pt>
                <c:pt idx="2">
                  <c:v>4.1447692790476065</c:v>
                </c:pt>
                <c:pt idx="3">
                  <c:v>2.4611396372450409</c:v>
                </c:pt>
                <c:pt idx="4">
                  <c:v>6.1666524556639901</c:v>
                </c:pt>
                <c:pt idx="5">
                  <c:v>4.3963555672457755</c:v>
                </c:pt>
                <c:pt idx="6">
                  <c:v>-2.672757833043411</c:v>
                </c:pt>
                <c:pt idx="7">
                  <c:v>-8.8359594404168273</c:v>
                </c:pt>
                <c:pt idx="8">
                  <c:v>-14.742565697313722</c:v>
                </c:pt>
                <c:pt idx="9">
                  <c:v>-11.390385062568999</c:v>
                </c:pt>
                <c:pt idx="10">
                  <c:v>-4.4817745792894286</c:v>
                </c:pt>
                <c:pt idx="11">
                  <c:v>4.3137487096479923</c:v>
                </c:pt>
                <c:pt idx="12">
                  <c:v>9.2047386103527966</c:v>
                </c:pt>
                <c:pt idx="13">
                  <c:v>6.2468255712305609</c:v>
                </c:pt>
                <c:pt idx="14">
                  <c:v>4.6839098354319404</c:v>
                </c:pt>
                <c:pt idx="15">
                  <c:v>5.5180824759591847</c:v>
                </c:pt>
                <c:pt idx="16">
                  <c:v>2.296067419798923</c:v>
                </c:pt>
                <c:pt idx="17">
                  <c:v>2.7438876154822589</c:v>
                </c:pt>
                <c:pt idx="18">
                  <c:v>2.5912894688837302</c:v>
                </c:pt>
                <c:pt idx="19">
                  <c:v>1.1825262072449099</c:v>
                </c:pt>
                <c:pt idx="20">
                  <c:v>2.1689072877500326</c:v>
                </c:pt>
                <c:pt idx="21">
                  <c:v>2.5554812730880601</c:v>
                </c:pt>
                <c:pt idx="22">
                  <c:v>2.5985256368424317</c:v>
                </c:pt>
                <c:pt idx="23">
                  <c:v>-1.0320814846005886</c:v>
                </c:pt>
                <c:pt idx="24">
                  <c:v>2.0183112861009422</c:v>
                </c:pt>
                <c:pt idx="25">
                  <c:v>6.5703522692260916E-2</c:v>
                </c:pt>
                <c:pt idx="26">
                  <c:v>1.9241157028022273</c:v>
                </c:pt>
              </c:numCache>
            </c:numRef>
          </c:val>
        </c:ser>
        <c:ser>
          <c:idx val="1"/>
          <c:order val="1"/>
          <c:tx>
            <c:strRef>
              <c:f>'Growth Rates SeaAdj'!$G$2</c:f>
              <c:strCache>
                <c:ptCount val="1"/>
                <c:pt idx="0">
                  <c:v>Electricity, gas and water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SeaAdj'!$G$3:$G$74</c:f>
              <c:numCache>
                <c:formatCode>0.00</c:formatCode>
                <c:ptCount val="27"/>
                <c:pt idx="0">
                  <c:v>3.2216713905201457</c:v>
                </c:pt>
                <c:pt idx="1">
                  <c:v>4.0410580923743593</c:v>
                </c:pt>
                <c:pt idx="2">
                  <c:v>3.4532426850256273</c:v>
                </c:pt>
                <c:pt idx="3">
                  <c:v>-3.2415819993324964</c:v>
                </c:pt>
                <c:pt idx="4">
                  <c:v>-4.5356756164663379</c:v>
                </c:pt>
                <c:pt idx="5">
                  <c:v>-2.393617759194798</c:v>
                </c:pt>
                <c:pt idx="6">
                  <c:v>-5.913980326122072</c:v>
                </c:pt>
                <c:pt idx="7">
                  <c:v>-4.4356956203711464</c:v>
                </c:pt>
                <c:pt idx="8">
                  <c:v>-3.4827492799918272</c:v>
                </c:pt>
                <c:pt idx="9">
                  <c:v>-5.7145758075265309</c:v>
                </c:pt>
                <c:pt idx="10">
                  <c:v>-1.968299331047747</c:v>
                </c:pt>
                <c:pt idx="11">
                  <c:v>1.9507391259026692</c:v>
                </c:pt>
                <c:pt idx="12">
                  <c:v>1.3032099889064457</c:v>
                </c:pt>
                <c:pt idx="13">
                  <c:v>0.19409006741767412</c:v>
                </c:pt>
                <c:pt idx="14">
                  <c:v>1.3276470385273216</c:v>
                </c:pt>
                <c:pt idx="15">
                  <c:v>1.3653789228005</c:v>
                </c:pt>
                <c:pt idx="16">
                  <c:v>1.7183040220170056</c:v>
                </c:pt>
                <c:pt idx="17">
                  <c:v>1.479535612722628</c:v>
                </c:pt>
                <c:pt idx="18">
                  <c:v>0.22953317441488413</c:v>
                </c:pt>
                <c:pt idx="19">
                  <c:v>-2.2638636761820394</c:v>
                </c:pt>
                <c:pt idx="20">
                  <c:v>-3.7717231181724737</c:v>
                </c:pt>
                <c:pt idx="21">
                  <c:v>-3.1775654728579781</c:v>
                </c:pt>
                <c:pt idx="22">
                  <c:v>-3.998569299793568</c:v>
                </c:pt>
                <c:pt idx="23">
                  <c:v>-2.7912946981435902</c:v>
                </c:pt>
                <c:pt idx="24">
                  <c:v>-0.26807377828599627</c:v>
                </c:pt>
                <c:pt idx="25">
                  <c:v>0.53538536457535235</c:v>
                </c:pt>
                <c:pt idx="26">
                  <c:v>-0.24946353935605281</c:v>
                </c:pt>
              </c:numCache>
            </c:numRef>
          </c:val>
        </c:ser>
        <c:ser>
          <c:idx val="2"/>
          <c:order val="2"/>
          <c:tx>
            <c:strRef>
              <c:f>'Growth Rates SeaAdj'!$H$2</c:f>
              <c:strCache>
                <c:ptCount val="1"/>
                <c:pt idx="0">
                  <c:v>Construction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SeaAdj'!$H$3:$H$74</c:f>
              <c:numCache>
                <c:formatCode>0.00</c:formatCode>
                <c:ptCount val="27"/>
                <c:pt idx="0">
                  <c:v>14.231231329817357</c:v>
                </c:pt>
                <c:pt idx="1">
                  <c:v>13.553004221468621</c:v>
                </c:pt>
                <c:pt idx="2">
                  <c:v>16.510695820577343</c:v>
                </c:pt>
                <c:pt idx="3">
                  <c:v>11.175390724027825</c:v>
                </c:pt>
                <c:pt idx="4">
                  <c:v>8.9129976323023641</c:v>
                </c:pt>
                <c:pt idx="5">
                  <c:v>9.6085391173708423</c:v>
                </c:pt>
                <c:pt idx="6">
                  <c:v>4.8634801832806591</c:v>
                </c:pt>
                <c:pt idx="7">
                  <c:v>9.5433729927110598</c:v>
                </c:pt>
                <c:pt idx="8">
                  <c:v>8.4837372299668488</c:v>
                </c:pt>
                <c:pt idx="9">
                  <c:v>7.6507491698460983</c:v>
                </c:pt>
                <c:pt idx="10">
                  <c:v>7.9464637056809648</c:v>
                </c:pt>
                <c:pt idx="11">
                  <c:v>3.7845404081827501</c:v>
                </c:pt>
                <c:pt idx="12">
                  <c:v>2.6348223290221222</c:v>
                </c:pt>
                <c:pt idx="13">
                  <c:v>0.42202326474935326</c:v>
                </c:pt>
                <c:pt idx="14">
                  <c:v>-0.15930979773688012</c:v>
                </c:pt>
                <c:pt idx="15">
                  <c:v>-0.20449449414896301</c:v>
                </c:pt>
                <c:pt idx="16">
                  <c:v>0.48121284246303686</c:v>
                </c:pt>
                <c:pt idx="17">
                  <c:v>0.73107676349962647</c:v>
                </c:pt>
                <c:pt idx="18">
                  <c:v>0.67024600751817831</c:v>
                </c:pt>
                <c:pt idx="19">
                  <c:v>1.8503722738608464</c:v>
                </c:pt>
                <c:pt idx="20">
                  <c:v>1.8651384591729534</c:v>
                </c:pt>
                <c:pt idx="21">
                  <c:v>2.6909403700499555</c:v>
                </c:pt>
                <c:pt idx="22">
                  <c:v>3.6737047194784269</c:v>
                </c:pt>
                <c:pt idx="23">
                  <c:v>2.8189087759171514</c:v>
                </c:pt>
                <c:pt idx="24">
                  <c:v>3.348477001892221</c:v>
                </c:pt>
                <c:pt idx="25">
                  <c:v>3.0382059525281169</c:v>
                </c:pt>
                <c:pt idx="26">
                  <c:v>2.6587005875484166</c:v>
                </c:pt>
              </c:numCache>
            </c:numRef>
          </c:val>
        </c:ser>
        <c:marker val="1"/>
        <c:axId val="223412224"/>
        <c:axId val="223413760"/>
      </c:lineChart>
      <c:catAx>
        <c:axId val="2234122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13760"/>
        <c:crosses val="autoZero"/>
        <c:auto val="1"/>
        <c:lblAlgn val="ctr"/>
        <c:lblOffset val="100"/>
        <c:tickLblSkip val="4"/>
        <c:tickMarkSkip val="1"/>
      </c:catAx>
      <c:valAx>
        <c:axId val="223413760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122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4961713501408673E-2"/>
          <c:y val="5.6412426058683997E-2"/>
          <c:w val="0.26997254930290177"/>
          <c:h val="0.1176842446932941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81" r="0.7500000000000081" t="1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6.4037877618239022E-2"/>
          <c:y val="2.3693067778292446E-2"/>
          <c:w val="0.92947921302224767"/>
          <c:h val="0.9379110699397869"/>
        </c:manualLayout>
      </c:layout>
      <c:lineChart>
        <c:grouping val="standard"/>
        <c:ser>
          <c:idx val="0"/>
          <c:order val="0"/>
          <c:tx>
            <c:strRef>
              <c:f>'Growth Rates SeaAdj'!$J$2</c:f>
              <c:strCache>
                <c:ptCount val="1"/>
                <c:pt idx="0">
                  <c:v>Wholesale &amp; retail trade; hotels &amp; restaurants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SeaAdj'!$J$3:$J$74</c:f>
              <c:numCache>
                <c:formatCode>0.00</c:formatCode>
                <c:ptCount val="27"/>
                <c:pt idx="0">
                  <c:v>5.7986440135947355</c:v>
                </c:pt>
                <c:pt idx="1">
                  <c:v>5.493746540355942</c:v>
                </c:pt>
                <c:pt idx="2">
                  <c:v>5.0287196348962366</c:v>
                </c:pt>
                <c:pt idx="3">
                  <c:v>4.2966010098456087</c:v>
                </c:pt>
                <c:pt idx="4">
                  <c:v>2.1076863716947578</c:v>
                </c:pt>
                <c:pt idx="5">
                  <c:v>-0.5034603857564226</c:v>
                </c:pt>
                <c:pt idx="6">
                  <c:v>-1.5554950560598846</c:v>
                </c:pt>
                <c:pt idx="7">
                  <c:v>-1.3198424806811846</c:v>
                </c:pt>
                <c:pt idx="8">
                  <c:v>-0.91210405615954859</c:v>
                </c:pt>
                <c:pt idx="9">
                  <c:v>0.97852935654023487</c:v>
                </c:pt>
                <c:pt idx="10">
                  <c:v>1.5564766694935526</c:v>
                </c:pt>
                <c:pt idx="11">
                  <c:v>1.9320489067954967</c:v>
                </c:pt>
                <c:pt idx="12">
                  <c:v>4.1710000074744205</c:v>
                </c:pt>
                <c:pt idx="13">
                  <c:v>4.892312083561694</c:v>
                </c:pt>
                <c:pt idx="14">
                  <c:v>5.6774026637919333</c:v>
                </c:pt>
                <c:pt idx="15">
                  <c:v>5.3335194280660492</c:v>
                </c:pt>
                <c:pt idx="16">
                  <c:v>4.8700712494418488</c:v>
                </c:pt>
                <c:pt idx="17">
                  <c:v>5.0850556734364494</c:v>
                </c:pt>
                <c:pt idx="18">
                  <c:v>5.060334656120502</c:v>
                </c:pt>
                <c:pt idx="19">
                  <c:v>4.7594131973973628</c:v>
                </c:pt>
                <c:pt idx="20">
                  <c:v>4.2289877502779643</c:v>
                </c:pt>
                <c:pt idx="21">
                  <c:v>3.3923811042389049</c:v>
                </c:pt>
                <c:pt idx="22">
                  <c:v>2.6174256125214654</c:v>
                </c:pt>
                <c:pt idx="23">
                  <c:v>2.8691638058331281</c:v>
                </c:pt>
                <c:pt idx="24">
                  <c:v>2.9057439385302084</c:v>
                </c:pt>
                <c:pt idx="25">
                  <c:v>2.702014719681987</c:v>
                </c:pt>
                <c:pt idx="26">
                  <c:v>2.8470937136455388</c:v>
                </c:pt>
              </c:numCache>
            </c:numRef>
          </c:val>
        </c:ser>
        <c:ser>
          <c:idx val="1"/>
          <c:order val="1"/>
          <c:tx>
            <c:strRef>
              <c:f>'Growth Rates SeaAdj'!$K$2</c:f>
              <c:strCache>
                <c:ptCount val="1"/>
                <c:pt idx="0">
                  <c:v>Transport , storage and communication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SeaAdj'!$K$3:$K$74</c:f>
              <c:numCache>
                <c:formatCode>0.00</c:formatCode>
                <c:ptCount val="27"/>
                <c:pt idx="0">
                  <c:v>7.0495757390445721</c:v>
                </c:pt>
                <c:pt idx="1">
                  <c:v>7.5954061681155052</c:v>
                </c:pt>
                <c:pt idx="2">
                  <c:v>7.9719545505857763</c:v>
                </c:pt>
                <c:pt idx="3">
                  <c:v>5.9688732678998937</c:v>
                </c:pt>
                <c:pt idx="4">
                  <c:v>4.3135880093555468</c:v>
                </c:pt>
                <c:pt idx="5">
                  <c:v>3.6124125632166209</c:v>
                </c:pt>
                <c:pt idx="6">
                  <c:v>2.9426806257938076</c:v>
                </c:pt>
                <c:pt idx="7">
                  <c:v>2.3093995953587592</c:v>
                </c:pt>
                <c:pt idx="8">
                  <c:v>1.431769295856252</c:v>
                </c:pt>
                <c:pt idx="9">
                  <c:v>1.1860935376720803</c:v>
                </c:pt>
                <c:pt idx="10">
                  <c:v>1.4525317334743884</c:v>
                </c:pt>
                <c:pt idx="11">
                  <c:v>2.0614415740570546</c:v>
                </c:pt>
                <c:pt idx="12">
                  <c:v>2.8826044278857799</c:v>
                </c:pt>
                <c:pt idx="13">
                  <c:v>2.8824571410061028</c:v>
                </c:pt>
                <c:pt idx="14">
                  <c:v>2.8704668978472609</c:v>
                </c:pt>
                <c:pt idx="15">
                  <c:v>2.7237937640372762</c:v>
                </c:pt>
                <c:pt idx="16">
                  <c:v>3.0211847179666282</c:v>
                </c:pt>
                <c:pt idx="17">
                  <c:v>2.9445289698658783</c:v>
                </c:pt>
                <c:pt idx="18">
                  <c:v>2.9164563500205598</c:v>
                </c:pt>
                <c:pt idx="19">
                  <c:v>3.0030936270175497</c:v>
                </c:pt>
                <c:pt idx="20">
                  <c:v>2.5842053476916194</c:v>
                </c:pt>
                <c:pt idx="21">
                  <c:v>2.4202045868540703</c:v>
                </c:pt>
                <c:pt idx="22">
                  <c:v>2.2538105933232822</c:v>
                </c:pt>
                <c:pt idx="23">
                  <c:v>1.7563001249236567</c:v>
                </c:pt>
                <c:pt idx="24">
                  <c:v>1.5359020568144295</c:v>
                </c:pt>
                <c:pt idx="25">
                  <c:v>1.8426075718023813</c:v>
                </c:pt>
                <c:pt idx="26">
                  <c:v>1.7274532770266515</c:v>
                </c:pt>
              </c:numCache>
            </c:numRef>
          </c:val>
        </c:ser>
        <c:ser>
          <c:idx val="2"/>
          <c:order val="2"/>
          <c:tx>
            <c:strRef>
              <c:f>'Growth Rates SeaAdj'!$L$2</c:f>
              <c:strCache>
                <c:ptCount val="1"/>
                <c:pt idx="0">
                  <c:v>Finance, real estate and business services</c:v>
                </c:pt>
              </c:strCache>
            </c:strRef>
          </c:tx>
          <c:spPr>
            <a:ln w="25400">
              <a:solidFill>
                <a:srgbClr val="04AC30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SeaAdj'!$L$3:$L$74</c:f>
              <c:numCache>
                <c:formatCode>0.00</c:formatCode>
                <c:ptCount val="27"/>
                <c:pt idx="0">
                  <c:v>7.1317326407567867</c:v>
                </c:pt>
                <c:pt idx="1">
                  <c:v>7.293779830085394</c:v>
                </c:pt>
                <c:pt idx="2">
                  <c:v>8.0532929633085288</c:v>
                </c:pt>
                <c:pt idx="3">
                  <c:v>8.5435551242149366</c:v>
                </c:pt>
                <c:pt idx="4">
                  <c:v>7.8029997513996294</c:v>
                </c:pt>
                <c:pt idx="5">
                  <c:v>7.0100605065515245</c:v>
                </c:pt>
                <c:pt idx="6">
                  <c:v>6.2619381703266406</c:v>
                </c:pt>
                <c:pt idx="7">
                  <c:v>4.0455999526395221</c:v>
                </c:pt>
                <c:pt idx="8">
                  <c:v>2.3426684800839115</c:v>
                </c:pt>
                <c:pt idx="9">
                  <c:v>0.57963157038482915</c:v>
                </c:pt>
                <c:pt idx="10">
                  <c:v>-0.38367962132174283</c:v>
                </c:pt>
                <c:pt idx="11">
                  <c:v>0.64086633053438202</c:v>
                </c:pt>
                <c:pt idx="12">
                  <c:v>2.740988333180463</c:v>
                </c:pt>
                <c:pt idx="13">
                  <c:v>3.0837896213131688</c:v>
                </c:pt>
                <c:pt idx="14">
                  <c:v>3.3288317955020879</c:v>
                </c:pt>
                <c:pt idx="15">
                  <c:v>3.9780150758941106</c:v>
                </c:pt>
                <c:pt idx="16">
                  <c:v>4.2276221793417843</c:v>
                </c:pt>
                <c:pt idx="17">
                  <c:v>5.2768854753911674</c:v>
                </c:pt>
                <c:pt idx="18">
                  <c:v>5.7489759252521697</c:v>
                </c:pt>
                <c:pt idx="19">
                  <c:v>4.6862723314753243</c:v>
                </c:pt>
                <c:pt idx="20">
                  <c:v>3.9568898940332677</c:v>
                </c:pt>
                <c:pt idx="21">
                  <c:v>2.7088561864885641</c:v>
                </c:pt>
                <c:pt idx="22">
                  <c:v>2.0809285746426545</c:v>
                </c:pt>
                <c:pt idx="23">
                  <c:v>2.2476513833299694</c:v>
                </c:pt>
                <c:pt idx="24">
                  <c:v>2.6367555547936146</c:v>
                </c:pt>
                <c:pt idx="25">
                  <c:v>2.6447534534005102</c:v>
                </c:pt>
                <c:pt idx="26">
                  <c:v>2.4506580168465861</c:v>
                </c:pt>
              </c:numCache>
            </c:numRef>
          </c:val>
        </c:ser>
        <c:ser>
          <c:idx val="3"/>
          <c:order val="3"/>
          <c:tx>
            <c:strRef>
              <c:f>'Growth Rates SeaAdj'!$M$2</c:f>
              <c:strCache>
                <c:ptCount val="1"/>
                <c:pt idx="0">
                  <c:v>Personal services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SeaAdj'!$M$3:$M$74</c:f>
              <c:numCache>
                <c:formatCode>0.00</c:formatCode>
                <c:ptCount val="27"/>
                <c:pt idx="0">
                  <c:v>4.9789214562629791</c:v>
                </c:pt>
                <c:pt idx="1">
                  <c:v>5.643695486588471</c:v>
                </c:pt>
                <c:pt idx="2">
                  <c:v>6.7880482954297907</c:v>
                </c:pt>
                <c:pt idx="3">
                  <c:v>5.4918506450770721</c:v>
                </c:pt>
                <c:pt idx="4">
                  <c:v>4.2902248328853094</c:v>
                </c:pt>
                <c:pt idx="5">
                  <c:v>3.3753846116647042</c:v>
                </c:pt>
                <c:pt idx="6">
                  <c:v>2.017363869666287</c:v>
                </c:pt>
                <c:pt idx="7">
                  <c:v>1.8384774556426953</c:v>
                </c:pt>
                <c:pt idx="8">
                  <c:v>1.0979175960165373</c:v>
                </c:pt>
                <c:pt idx="9">
                  <c:v>-0.72328282291250434</c:v>
                </c:pt>
                <c:pt idx="10">
                  <c:v>-2.2638363560130719</c:v>
                </c:pt>
                <c:pt idx="11">
                  <c:v>-1.6343411246263984</c:v>
                </c:pt>
                <c:pt idx="12">
                  <c:v>-0.28035670993092027</c:v>
                </c:pt>
                <c:pt idx="13">
                  <c:v>1.4813006769412327</c:v>
                </c:pt>
                <c:pt idx="14">
                  <c:v>3.16633355240331</c:v>
                </c:pt>
                <c:pt idx="15">
                  <c:v>3.0282677428878135</c:v>
                </c:pt>
                <c:pt idx="16">
                  <c:v>2.5821191972945514</c:v>
                </c:pt>
                <c:pt idx="17">
                  <c:v>2.3145711002499825</c:v>
                </c:pt>
                <c:pt idx="18">
                  <c:v>2.3036131625274252</c:v>
                </c:pt>
                <c:pt idx="19">
                  <c:v>2.2206286297892714</c:v>
                </c:pt>
                <c:pt idx="20">
                  <c:v>2.1716477753836743</c:v>
                </c:pt>
                <c:pt idx="21">
                  <c:v>2.3003131429263477</c:v>
                </c:pt>
                <c:pt idx="22">
                  <c:v>2.3362538037623697</c:v>
                </c:pt>
                <c:pt idx="23">
                  <c:v>2.2685558518605546</c:v>
                </c:pt>
                <c:pt idx="24">
                  <c:v>2.1236765593642861</c:v>
                </c:pt>
                <c:pt idx="25">
                  <c:v>1.9262952487694325</c:v>
                </c:pt>
                <c:pt idx="26">
                  <c:v>1.6549791510733252</c:v>
                </c:pt>
              </c:numCache>
            </c:numRef>
          </c:val>
        </c:ser>
        <c:ser>
          <c:idx val="4"/>
          <c:order val="4"/>
          <c:tx>
            <c:strRef>
              <c:f>'Growth Rates SeaAdj'!$N$2</c:f>
              <c:strCache>
                <c:ptCount val="1"/>
                <c:pt idx="0">
                  <c:v>General government services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cat>
            <c:strRef>
              <c:f>'Growth Rates SeaAdj'!$A$3:$A$74</c:f>
              <c:strCache>
                <c:ptCount val="27"/>
                <c:pt idx="0">
                  <c:v>2007q2</c:v>
                </c:pt>
                <c:pt idx="1">
                  <c:v>2007q3</c:v>
                </c:pt>
                <c:pt idx="2">
                  <c:v>2007q4</c:v>
                </c:pt>
                <c:pt idx="3">
                  <c:v>2008q1</c:v>
                </c:pt>
                <c:pt idx="4">
                  <c:v>2008q2</c:v>
                </c:pt>
                <c:pt idx="5">
                  <c:v>2008q3</c:v>
                </c:pt>
                <c:pt idx="6">
                  <c:v>2008q4</c:v>
                </c:pt>
                <c:pt idx="7">
                  <c:v>2009q1</c:v>
                </c:pt>
                <c:pt idx="8">
                  <c:v>2009q2</c:v>
                </c:pt>
                <c:pt idx="9">
                  <c:v>2009q3</c:v>
                </c:pt>
                <c:pt idx="10">
                  <c:v>2009q4</c:v>
                </c:pt>
                <c:pt idx="11">
                  <c:v>2010q1</c:v>
                </c:pt>
                <c:pt idx="12">
                  <c:v>2010q2</c:v>
                </c:pt>
                <c:pt idx="13">
                  <c:v>2010q3</c:v>
                </c:pt>
                <c:pt idx="14">
                  <c:v>2010q4</c:v>
                </c:pt>
                <c:pt idx="15">
                  <c:v>2011q1</c:v>
                </c:pt>
                <c:pt idx="16">
                  <c:v>2011q2</c:v>
                </c:pt>
                <c:pt idx="17">
                  <c:v>2011q3</c:v>
                </c:pt>
                <c:pt idx="18">
                  <c:v>2011q4</c:v>
                </c:pt>
                <c:pt idx="19">
                  <c:v>2012q1</c:v>
                </c:pt>
                <c:pt idx="20">
                  <c:v>2012q2</c:v>
                </c:pt>
                <c:pt idx="21">
                  <c:v>2012q3</c:v>
                </c:pt>
                <c:pt idx="22">
                  <c:v>2012q4</c:v>
                </c:pt>
                <c:pt idx="23">
                  <c:v>2013q1</c:v>
                </c:pt>
                <c:pt idx="24">
                  <c:v>2013q2</c:v>
                </c:pt>
                <c:pt idx="25">
                  <c:v>2013q3</c:v>
                </c:pt>
                <c:pt idx="26">
                  <c:v>2013q4</c:v>
                </c:pt>
              </c:strCache>
            </c:strRef>
          </c:cat>
          <c:val>
            <c:numRef>
              <c:f>'Growth Rates SeaAdj'!$N$3:$N$74</c:f>
              <c:numCache>
                <c:formatCode>0.00</c:formatCode>
                <c:ptCount val="27"/>
                <c:pt idx="0">
                  <c:v>3.777784826354718</c:v>
                </c:pt>
                <c:pt idx="1">
                  <c:v>4.1957725922639248</c:v>
                </c:pt>
                <c:pt idx="2">
                  <c:v>3.8547605775721818</c:v>
                </c:pt>
                <c:pt idx="3">
                  <c:v>4.240315901205709</c:v>
                </c:pt>
                <c:pt idx="4">
                  <c:v>4.7943746418232003</c:v>
                </c:pt>
                <c:pt idx="5">
                  <c:v>5.4145627020240692</c:v>
                </c:pt>
                <c:pt idx="6">
                  <c:v>5.2392401814417369</c:v>
                </c:pt>
                <c:pt idx="7">
                  <c:v>4.0643284592369939</c:v>
                </c:pt>
                <c:pt idx="8">
                  <c:v>4.7908268012562187</c:v>
                </c:pt>
                <c:pt idx="9">
                  <c:v>3.5368661849327419</c:v>
                </c:pt>
                <c:pt idx="10">
                  <c:v>3.2200400938792257</c:v>
                </c:pt>
                <c:pt idx="11">
                  <c:v>3.3267747558557277</c:v>
                </c:pt>
                <c:pt idx="12">
                  <c:v>3.087671027207286</c:v>
                </c:pt>
                <c:pt idx="13">
                  <c:v>3.6402479233467582</c:v>
                </c:pt>
                <c:pt idx="14">
                  <c:v>4.2964652702860056</c:v>
                </c:pt>
                <c:pt idx="15">
                  <c:v>4.2049439670925208</c:v>
                </c:pt>
                <c:pt idx="16">
                  <c:v>4.2144224034882907</c:v>
                </c:pt>
                <c:pt idx="17">
                  <c:v>4.1424927981459847</c:v>
                </c:pt>
                <c:pt idx="18">
                  <c:v>4.2173880750034805</c:v>
                </c:pt>
                <c:pt idx="19">
                  <c:v>3.159992761913355</c:v>
                </c:pt>
                <c:pt idx="20">
                  <c:v>2.4966879670729938</c:v>
                </c:pt>
                <c:pt idx="21">
                  <c:v>2.6051330341997003</c:v>
                </c:pt>
                <c:pt idx="22">
                  <c:v>2.5363978478855844</c:v>
                </c:pt>
                <c:pt idx="23">
                  <c:v>2.3885248307166727</c:v>
                </c:pt>
                <c:pt idx="24">
                  <c:v>2.0823047046655581</c:v>
                </c:pt>
                <c:pt idx="25">
                  <c:v>1.3195561389561363</c:v>
                </c:pt>
                <c:pt idx="26">
                  <c:v>0.41968475263883481</c:v>
                </c:pt>
              </c:numCache>
            </c:numRef>
          </c:val>
        </c:ser>
        <c:marker val="1"/>
        <c:axId val="223474432"/>
        <c:axId val="223475968"/>
      </c:lineChart>
      <c:catAx>
        <c:axId val="22347443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75968"/>
        <c:crosses val="autoZero"/>
        <c:auto val="1"/>
        <c:lblAlgn val="ctr"/>
        <c:lblOffset val="100"/>
        <c:tickLblSkip val="4"/>
        <c:tickMarkSkip val="1"/>
      </c:catAx>
      <c:valAx>
        <c:axId val="223475968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74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529656976268956"/>
          <c:y val="2.1241894395553552E-2"/>
          <c:w val="0.34236365782997236"/>
          <c:h val="0.22222286552416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81" r="0.7500000000000081" t="1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6804003158141865E-2"/>
          <c:y val="2.5555555555555581E-2"/>
          <c:w val="0.91219657043408664"/>
          <c:h val="0.87000283204048556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SeaAdj'!$C$2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'Growth Rates SeaAdj'!$A$75</c:f>
              <c:strCache>
                <c:ptCount val="1"/>
                <c:pt idx="0">
                  <c:v>Average Year on Year Growth Rate</c:v>
                </c:pt>
              </c:strCache>
            </c:strRef>
          </c:cat>
          <c:val>
            <c:numRef>
              <c:f>'Growth Rates SeaAdj'!$C$75</c:f>
              <c:numCache>
                <c:formatCode>0.00</c:formatCode>
                <c:ptCount val="1"/>
                <c:pt idx="0">
                  <c:v>2.8916456396652546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SeaAdj'!$D$2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SeaAdj'!$D$75</c:f>
              <c:numCache>
                <c:formatCode>0.00</c:formatCode>
                <c:ptCount val="1"/>
                <c:pt idx="0">
                  <c:v>-0.39277114900894011</c:v>
                </c:pt>
              </c:numCache>
            </c:numRef>
          </c:val>
          <c:shape val="cylinder"/>
        </c:ser>
        <c:shape val="box"/>
        <c:axId val="223528064"/>
        <c:axId val="223529600"/>
        <c:axId val="0"/>
      </c:bar3DChart>
      <c:catAx>
        <c:axId val="223528064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29600"/>
        <c:crosses val="autoZero"/>
        <c:auto val="1"/>
        <c:lblAlgn val="ctr"/>
        <c:lblOffset val="100"/>
        <c:tickLblSkip val="1"/>
        <c:tickMarkSkip val="1"/>
      </c:catAx>
      <c:valAx>
        <c:axId val="223529600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28064"/>
        <c:crosses val="autoZero"/>
        <c:crossBetween val="between"/>
      </c:valAx>
      <c:spPr>
        <a:solidFill>
          <a:srgbClr val="9BBB59">
            <a:lumMod val="60000"/>
            <a:lumOff val="40000"/>
          </a:srgbClr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1.5137540155847548E-2"/>
          <c:y val="1.6666723111224E-2"/>
          <c:w val="0.83739965630269231"/>
          <c:h val="0.1000003386673430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81" r="0.7500000000000081" t="1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2093976057870827E-2"/>
          <c:y val="2.5555555555555581E-2"/>
          <c:w val="0.90731851390770057"/>
          <c:h val="0.87000283204048556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SeaAdj'!$F$2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'Growth Rates SeaAdj'!$A$75</c:f>
              <c:strCache>
                <c:ptCount val="1"/>
                <c:pt idx="0">
                  <c:v>Average Year on Year Growth Rate</c:v>
                </c:pt>
              </c:strCache>
            </c:strRef>
          </c:cat>
          <c:val>
            <c:numRef>
              <c:f>'Growth Rates SeaAdj'!$F$75</c:f>
              <c:numCache>
                <c:formatCode>0.00</c:formatCode>
                <c:ptCount val="1"/>
                <c:pt idx="0">
                  <c:v>2.5675236129031718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SeaAdj'!$G$2</c:f>
              <c:strCache>
                <c:ptCount val="1"/>
                <c:pt idx="0">
                  <c:v>Electricity, gas and water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SeaAdj'!$G$75</c:f>
              <c:numCache>
                <c:formatCode>0.00</c:formatCode>
                <c:ptCount val="1"/>
                <c:pt idx="0">
                  <c:v>1.329681584457467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'Growth Rates SeaAdj'!$H$2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SeaAdj'!$H$75</c:f>
              <c:numCache>
                <c:formatCode>0.00</c:formatCode>
                <c:ptCount val="1"/>
                <c:pt idx="0">
                  <c:v>4.3607400348842074</c:v>
                </c:pt>
              </c:numCache>
            </c:numRef>
          </c:val>
          <c:shape val="cylinder"/>
        </c:ser>
        <c:shape val="box"/>
        <c:axId val="223625216"/>
        <c:axId val="223626752"/>
        <c:axId val="0"/>
      </c:bar3DChart>
      <c:catAx>
        <c:axId val="223625216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626752"/>
        <c:crosses val="autoZero"/>
        <c:auto val="1"/>
        <c:lblAlgn val="ctr"/>
        <c:lblOffset val="100"/>
        <c:tickLblSkip val="1"/>
        <c:tickMarkSkip val="1"/>
      </c:catAx>
      <c:valAx>
        <c:axId val="223626752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625216"/>
        <c:crosses val="autoZero"/>
        <c:crossBetween val="between"/>
      </c:valAx>
      <c:spPr>
        <a:solidFill>
          <a:srgbClr val="9BBB59">
            <a:lumMod val="60000"/>
            <a:lumOff val="40000"/>
          </a:srgbClr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2.1009004139693192E-2"/>
          <c:y val="1.6666666666666701E-2"/>
          <c:w val="0.83739973220976804"/>
          <c:h val="0.1000002243309332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81" r="0.7500000000000081" t="1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1121962027475611E-2"/>
          <c:y val="2.5470653377630131E-2"/>
          <c:w val="0.91883189715648483"/>
          <c:h val="0.87539915052519579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SeaAdj'!$J$2</c:f>
              <c:strCache>
                <c:ptCount val="1"/>
                <c:pt idx="0">
                  <c:v>Wholesale &amp; retail trade; hotels &amp; restaurants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'Growth Rates SeaAdj'!$A$75</c:f>
              <c:strCache>
                <c:ptCount val="1"/>
                <c:pt idx="0">
                  <c:v>Average Year on Year Growth Rate</c:v>
                </c:pt>
              </c:strCache>
            </c:strRef>
          </c:cat>
          <c:val>
            <c:numRef>
              <c:f>'Growth Rates SeaAdj'!$J$75</c:f>
              <c:numCache>
                <c:formatCode>0.00</c:formatCode>
                <c:ptCount val="1"/>
                <c:pt idx="0">
                  <c:v>4.1019594350846997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SeaAdj'!$K$2</c:f>
              <c:strCache>
                <c:ptCount val="1"/>
                <c:pt idx="0">
                  <c:v>Transport , storage and communication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SeaAdj'!$K$75</c:f>
              <c:numCache>
                <c:formatCode>0.00</c:formatCode>
                <c:ptCount val="1"/>
                <c:pt idx="0">
                  <c:v>4.6503301047114878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'Growth Rates SeaAdj'!$L$2</c:f>
              <c:strCache>
                <c:ptCount val="1"/>
                <c:pt idx="0">
                  <c:v>Finance, real estate and business services</c:v>
                </c:pt>
              </c:strCache>
            </c:strRef>
          </c:tx>
          <c:spPr>
            <a:solidFill>
              <a:srgbClr val="04AC3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SeaAdj'!$L$75</c:f>
              <c:numCache>
                <c:formatCode>0.00</c:formatCode>
                <c:ptCount val="1"/>
                <c:pt idx="0">
                  <c:v>5.1446885376453997</c:v>
                </c:pt>
              </c:numCache>
            </c:numRef>
          </c:val>
          <c:shape val="cylinder"/>
        </c:ser>
        <c:ser>
          <c:idx val="3"/>
          <c:order val="3"/>
          <c:tx>
            <c:strRef>
              <c:f>'Growth Rates SeaAdj'!$M$2</c:f>
              <c:strCache>
                <c:ptCount val="1"/>
                <c:pt idx="0">
                  <c:v>Personal services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SeaAdj'!$M$75</c:f>
              <c:numCache>
                <c:formatCode>0.00</c:formatCode>
                <c:ptCount val="1"/>
                <c:pt idx="0">
                  <c:v>3.0403037768620846</c:v>
                </c:pt>
              </c:numCache>
            </c:numRef>
          </c:val>
          <c:shape val="cylinder"/>
        </c:ser>
        <c:ser>
          <c:idx val="4"/>
          <c:order val="4"/>
          <c:tx>
            <c:strRef>
              <c:f>'Growth Rates SeaAdj'!$N$2</c:f>
              <c:strCache>
                <c:ptCount val="1"/>
                <c:pt idx="0">
                  <c:v>General government services</c:v>
                </c:pt>
              </c:strCache>
            </c:strRef>
          </c:tx>
          <c:spPr>
            <a:solidFill>
              <a:srgbClr val="7030A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'Growth Rates SeaAdj'!$N$75</c:f>
              <c:numCache>
                <c:formatCode>0.00</c:formatCode>
                <c:ptCount val="1"/>
                <c:pt idx="0">
                  <c:v>2.0460450295014594</c:v>
                </c:pt>
              </c:numCache>
            </c:numRef>
          </c:val>
          <c:shape val="cylinder"/>
        </c:ser>
        <c:shape val="box"/>
        <c:axId val="223691136"/>
        <c:axId val="223692672"/>
        <c:axId val="0"/>
      </c:bar3DChart>
      <c:catAx>
        <c:axId val="223691136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692672"/>
        <c:crosses val="autoZero"/>
        <c:auto val="1"/>
        <c:lblAlgn val="ctr"/>
        <c:lblOffset val="100"/>
        <c:tickLblSkip val="1"/>
        <c:tickMarkSkip val="1"/>
      </c:catAx>
      <c:valAx>
        <c:axId val="223692672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691136"/>
        <c:crosses val="autoZero"/>
        <c:crossBetween val="between"/>
      </c:valAx>
      <c:spPr>
        <a:solidFill>
          <a:srgbClr val="9BBB59">
            <a:lumMod val="60000"/>
            <a:lumOff val="40000"/>
          </a:srgbClr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2.0007638364090002E-3"/>
          <c:y val="4.1967379775852045E-3"/>
          <c:w val="0.98897849069175969"/>
          <c:h val="0.1622322907960541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81" r="0.7500000000000081" t="1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7.9674923264296413E-2"/>
          <c:y val="8.6666948785643669E-2"/>
          <c:w val="0.91382258927620519"/>
          <c:h val="0.79666925999108074"/>
        </c:manualLayout>
      </c:layout>
      <c:lineChart>
        <c:grouping val="standard"/>
        <c:ser>
          <c:idx val="0"/>
          <c:order val="0"/>
          <c:tx>
            <c:strRef>
              <c:f>'Growth Rates Annualised'!$B$2</c:f>
              <c:strCache>
                <c:ptCount val="1"/>
                <c:pt idx="0">
                  <c:v>Primary Industries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Contributions'!$B$3:$B$20</c:f>
              <c:numCache>
                <c:formatCode>0.00</c:formatCode>
                <c:ptCount val="18"/>
                <c:pt idx="0">
                  <c:v>8.1141392541812234</c:v>
                </c:pt>
                <c:pt idx="1">
                  <c:v>7.9760233849383271</c:v>
                </c:pt>
                <c:pt idx="2">
                  <c:v>7.9084367852789788</c:v>
                </c:pt>
                <c:pt idx="3">
                  <c:v>6.8827283066342879</c:v>
                </c:pt>
                <c:pt idx="4">
                  <c:v>6.7037237177011573</c:v>
                </c:pt>
                <c:pt idx="5">
                  <c:v>6.3013255990042598</c:v>
                </c:pt>
                <c:pt idx="6">
                  <c:v>6.154940347475506</c:v>
                </c:pt>
                <c:pt idx="7">
                  <c:v>6.3120703024991789</c:v>
                </c:pt>
                <c:pt idx="8">
                  <c:v>6.0860930464553027</c:v>
                </c:pt>
                <c:pt idx="9">
                  <c:v>5.4118357341588492</c:v>
                </c:pt>
                <c:pt idx="10">
                  <c:v>5.1021157790159704</c:v>
                </c:pt>
                <c:pt idx="11">
                  <c:v>4.9946671020977345</c:v>
                </c:pt>
                <c:pt idx="12">
                  <c:v>5.2426876136536782</c:v>
                </c:pt>
                <c:pt idx="13">
                  <c:v>5.2394316427415717</c:v>
                </c:pt>
                <c:pt idx="14">
                  <c:v>5.1345213705531059</c:v>
                </c:pt>
                <c:pt idx="15">
                  <c:v>4.9825785329745509</c:v>
                </c:pt>
                <c:pt idx="16">
                  <c:v>4.9624906174833772</c:v>
                </c:pt>
                <c:pt idx="17">
                  <c:v>5.0234838064211207</c:v>
                </c:pt>
              </c:numCache>
            </c:numRef>
          </c:val>
        </c:ser>
        <c:ser>
          <c:idx val="1"/>
          <c:order val="1"/>
          <c:tx>
            <c:strRef>
              <c:f>'Growth Rates Annualised'!$E$2</c:f>
              <c:strCache>
                <c:ptCount val="1"/>
                <c:pt idx="0">
                  <c:v>Secondary Industries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Contributions'!$E$3:$E$20</c:f>
              <c:numCache>
                <c:formatCode>0.00</c:formatCode>
                <c:ptCount val="18"/>
                <c:pt idx="0">
                  <c:v>26.544077541471417</c:v>
                </c:pt>
                <c:pt idx="1">
                  <c:v>26.817294204818857</c:v>
                </c:pt>
                <c:pt idx="2">
                  <c:v>26.059820681134077</c:v>
                </c:pt>
                <c:pt idx="3">
                  <c:v>26.084395849062147</c:v>
                </c:pt>
                <c:pt idx="4">
                  <c:v>26.969533369485603</c:v>
                </c:pt>
                <c:pt idx="5">
                  <c:v>27.105097756463572</c:v>
                </c:pt>
                <c:pt idx="6">
                  <c:v>26.718836509959544</c:v>
                </c:pt>
                <c:pt idx="7">
                  <c:v>25.616951350467509</c:v>
                </c:pt>
                <c:pt idx="8">
                  <c:v>25.810539195551506</c:v>
                </c:pt>
                <c:pt idx="9">
                  <c:v>26.063815584033556</c:v>
                </c:pt>
                <c:pt idx="10">
                  <c:v>26.16340895338552</c:v>
                </c:pt>
                <c:pt idx="11">
                  <c:v>26.173236465974576</c:v>
                </c:pt>
                <c:pt idx="12">
                  <c:v>25.849546774168097</c:v>
                </c:pt>
                <c:pt idx="13">
                  <c:v>24.110432710111006</c:v>
                </c:pt>
                <c:pt idx="14">
                  <c:v>24.551634737275208</c:v>
                </c:pt>
                <c:pt idx="15">
                  <c:v>24.370140776424222</c:v>
                </c:pt>
                <c:pt idx="16">
                  <c:v>24.122265430523697</c:v>
                </c:pt>
                <c:pt idx="17">
                  <c:v>23.921075945795987</c:v>
                </c:pt>
              </c:numCache>
            </c:numRef>
          </c:val>
        </c:ser>
        <c:ser>
          <c:idx val="2"/>
          <c:order val="2"/>
          <c:tx>
            <c:strRef>
              <c:f>'Growth Rates Annualised'!$I$2</c:f>
              <c:strCache>
                <c:ptCount val="1"/>
                <c:pt idx="0">
                  <c:v>Tertiary industries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Contributions'!$I$3:$I$20</c:f>
              <c:numCache>
                <c:formatCode>0.00</c:formatCode>
                <c:ptCount val="18"/>
                <c:pt idx="0">
                  <c:v>53.647682792823971</c:v>
                </c:pt>
                <c:pt idx="1">
                  <c:v>53.419534540501246</c:v>
                </c:pt>
                <c:pt idx="2">
                  <c:v>54.412046302376673</c:v>
                </c:pt>
                <c:pt idx="3">
                  <c:v>55.727983158010531</c:v>
                </c:pt>
                <c:pt idx="4">
                  <c:v>55.331034867186361</c:v>
                </c:pt>
                <c:pt idx="5">
                  <c:v>55.343987177873785</c:v>
                </c:pt>
                <c:pt idx="6">
                  <c:v>56.162972018194466</c:v>
                </c:pt>
                <c:pt idx="7">
                  <c:v>57.224448723054209</c:v>
                </c:pt>
                <c:pt idx="8">
                  <c:v>57.228100770694333</c:v>
                </c:pt>
                <c:pt idx="9">
                  <c:v>57.777196133591346</c:v>
                </c:pt>
                <c:pt idx="10">
                  <c:v>57.898118931121068</c:v>
                </c:pt>
                <c:pt idx="11">
                  <c:v>58.102266147192772</c:v>
                </c:pt>
                <c:pt idx="12">
                  <c:v>58.314119023088239</c:v>
                </c:pt>
                <c:pt idx="13">
                  <c:v>60.147063315067285</c:v>
                </c:pt>
                <c:pt idx="14">
                  <c:v>59.71972755844893</c:v>
                </c:pt>
                <c:pt idx="15">
                  <c:v>60.064795382757637</c:v>
                </c:pt>
                <c:pt idx="16">
                  <c:v>60.207739591777319</c:v>
                </c:pt>
                <c:pt idx="17">
                  <c:v>60.472814097087365</c:v>
                </c:pt>
              </c:numCache>
            </c:numRef>
          </c:val>
        </c:ser>
        <c:marker val="1"/>
        <c:axId val="223841280"/>
        <c:axId val="223855360"/>
      </c:lineChart>
      <c:catAx>
        <c:axId val="22384128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855360"/>
        <c:crosses val="autoZero"/>
        <c:auto val="1"/>
        <c:lblAlgn val="ctr"/>
        <c:lblOffset val="100"/>
        <c:tickLblSkip val="1"/>
        <c:tickMarkSkip val="1"/>
      </c:catAx>
      <c:valAx>
        <c:axId val="223855360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841280"/>
        <c:crosses val="autoZero"/>
        <c:crossBetween val="between"/>
      </c:valAx>
      <c:spPr>
        <a:solidFill>
          <a:schemeClr val="bg1">
            <a:lumMod val="75000"/>
          </a:scheme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894318855304377"/>
          <c:y val="1.666658334374891E-2"/>
          <c:w val="0.75284666836001013"/>
          <c:h val="0.106666999958339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tx2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1544829053653863E-2"/>
          <c:y val="1.3333376736252405E-2"/>
          <c:w val="0.90731851390770057"/>
          <c:h val="0.87000283204048512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Annualised'!$B$2</c:f>
              <c:strCache>
                <c:ptCount val="1"/>
                <c:pt idx="0">
                  <c:v>Primary Industries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'Prov Contributions'!$B$21</c:f>
              <c:numCache>
                <c:formatCode>0.00</c:formatCode>
                <c:ptCount val="1"/>
                <c:pt idx="0">
                  <c:v>6.0296273857371219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Annualised'!$E$2</c:f>
              <c:strCache>
                <c:ptCount val="1"/>
                <c:pt idx="0">
                  <c:v>Secondary Industries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'Prov Contributions'!$E$21</c:f>
              <c:numCache>
                <c:formatCode>0.00</c:formatCode>
                <c:ptCount val="1"/>
                <c:pt idx="0">
                  <c:v>25.725116879783673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'Growth Rates Annualised'!$I$2</c:f>
              <c:strCache>
                <c:ptCount val="1"/>
                <c:pt idx="0">
                  <c:v>Tertiary industries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'Prov Contributions'!$I$21</c:f>
              <c:numCache>
                <c:formatCode>0.00</c:formatCode>
                <c:ptCount val="1"/>
                <c:pt idx="0">
                  <c:v>57.28897947393596</c:v>
                </c:pt>
              </c:numCache>
            </c:numRef>
          </c:val>
          <c:shape val="cylinder"/>
        </c:ser>
        <c:shape val="box"/>
        <c:axId val="223885184"/>
        <c:axId val="223886720"/>
        <c:axId val="0"/>
      </c:bar3DChart>
      <c:catAx>
        <c:axId val="223885184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886720"/>
        <c:crosses val="autoZero"/>
        <c:auto val="1"/>
        <c:lblAlgn val="ctr"/>
        <c:lblOffset val="100"/>
        <c:tickLblSkip val="1"/>
        <c:tickMarkSkip val="1"/>
      </c:catAx>
      <c:valAx>
        <c:axId val="223886720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8851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333350349034573"/>
          <c:y val="1.666658334374891E-2"/>
          <c:w val="0.83739966053676063"/>
          <c:h val="0.1000001666458359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DDEBCF"/>
        </a:gs>
        <a:gs pos="50000">
          <a:srgbClr val="9CB86E"/>
        </a:gs>
        <a:gs pos="100000">
          <a:srgbClr val="156B13"/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6.8181872227158768E-2"/>
          <c:y val="8.6378877665070963E-2"/>
          <c:w val="0.92532540879715452"/>
          <c:h val="0.79734348613911665"/>
        </c:manualLayout>
      </c:layout>
      <c:lineChart>
        <c:grouping val="standard"/>
        <c:ser>
          <c:idx val="0"/>
          <c:order val="0"/>
          <c:tx>
            <c:strRef>
              <c:f>'Growth Rates Annualised'!$C$2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Contributions'!$C$3:$C$20</c:f>
              <c:numCache>
                <c:formatCode>0.00</c:formatCode>
                <c:ptCount val="18"/>
                <c:pt idx="0">
                  <c:v>4.9487771426835554</c:v>
                </c:pt>
                <c:pt idx="1">
                  <c:v>4.8368470274406841</c:v>
                </c:pt>
                <c:pt idx="2">
                  <c:v>4.8384744048694888</c:v>
                </c:pt>
                <c:pt idx="3">
                  <c:v>4.6753244107124479</c:v>
                </c:pt>
                <c:pt idx="4">
                  <c:v>4.6446680811608392</c:v>
                </c:pt>
                <c:pt idx="5">
                  <c:v>4.4308219156713502</c:v>
                </c:pt>
                <c:pt idx="6">
                  <c:v>4.5244688257340249</c:v>
                </c:pt>
                <c:pt idx="7">
                  <c:v>4.6318203315987434</c:v>
                </c:pt>
                <c:pt idx="8">
                  <c:v>4.445864520235757</c:v>
                </c:pt>
                <c:pt idx="9">
                  <c:v>3.958400257675168</c:v>
                </c:pt>
                <c:pt idx="10">
                  <c:v>3.7707144465961644</c:v>
                </c:pt>
                <c:pt idx="11">
                  <c:v>3.7063088041560714</c:v>
                </c:pt>
                <c:pt idx="12">
                  <c:v>4.0830630367702181</c:v>
                </c:pt>
                <c:pt idx="13">
                  <c:v>4.0373960740777113</c:v>
                </c:pt>
                <c:pt idx="14">
                  <c:v>3.9731511673421349</c:v>
                </c:pt>
                <c:pt idx="15">
                  <c:v>3.8766113767193335</c:v>
                </c:pt>
                <c:pt idx="16">
                  <c:v>3.8659036400147895</c:v>
                </c:pt>
                <c:pt idx="17">
                  <c:v>3.9300428587125356</c:v>
                </c:pt>
              </c:numCache>
            </c:numRef>
          </c:val>
        </c:ser>
        <c:ser>
          <c:idx val="1"/>
          <c:order val="1"/>
          <c:tx>
            <c:strRef>
              <c:f>'Growth Rates Annualised'!$D$2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Contributions'!$D$3:$D$20</c:f>
              <c:numCache>
                <c:formatCode>0.00</c:formatCode>
                <c:ptCount val="18"/>
                <c:pt idx="0">
                  <c:v>3.1653621114976693</c:v>
                </c:pt>
                <c:pt idx="1">
                  <c:v>3.1391763574976426</c:v>
                </c:pt>
                <c:pt idx="2">
                  <c:v>3.0699623804094891</c:v>
                </c:pt>
                <c:pt idx="3">
                  <c:v>2.2074038959218405</c:v>
                </c:pt>
                <c:pt idx="4">
                  <c:v>2.0590556365403168</c:v>
                </c:pt>
                <c:pt idx="5">
                  <c:v>1.8705036833329098</c:v>
                </c:pt>
                <c:pt idx="6">
                  <c:v>1.6304712646120256</c:v>
                </c:pt>
                <c:pt idx="7">
                  <c:v>1.6801213621119087</c:v>
                </c:pt>
                <c:pt idx="8">
                  <c:v>1.6400257947423849</c:v>
                </c:pt>
                <c:pt idx="9">
                  <c:v>1.4536796616495402</c:v>
                </c:pt>
                <c:pt idx="10">
                  <c:v>1.3314226411908523</c:v>
                </c:pt>
                <c:pt idx="11">
                  <c:v>1.2886431306735067</c:v>
                </c:pt>
                <c:pt idx="12">
                  <c:v>1.1583890794534277</c:v>
                </c:pt>
                <c:pt idx="13">
                  <c:v>1.1039718769040332</c:v>
                </c:pt>
                <c:pt idx="14">
                  <c:v>1.1613702032109705</c:v>
                </c:pt>
                <c:pt idx="15">
                  <c:v>1.1059671562552185</c:v>
                </c:pt>
                <c:pt idx="16">
                  <c:v>1.0965869774685881</c:v>
                </c:pt>
                <c:pt idx="17">
                  <c:v>1.0934409477085854</c:v>
                </c:pt>
              </c:numCache>
            </c:numRef>
          </c:val>
        </c:ser>
        <c:marker val="1"/>
        <c:axId val="223919488"/>
        <c:axId val="223929472"/>
      </c:lineChart>
      <c:catAx>
        <c:axId val="22391948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929472"/>
        <c:crosses val="autoZero"/>
        <c:auto val="1"/>
        <c:lblAlgn val="ctr"/>
        <c:lblOffset val="100"/>
        <c:tickLblSkip val="1"/>
        <c:tickMarkSkip val="1"/>
      </c:catAx>
      <c:valAx>
        <c:axId val="223929472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919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389622645484055"/>
          <c:y val="1.6611401835640121E-2"/>
          <c:w val="0.75162396835227063"/>
          <c:h val="0.1063125804926558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7.9416531604539875E-2"/>
          <c:y val="8.6092715231787992E-2"/>
          <c:w val="0.91410048622366291"/>
          <c:h val="0.79801324503311255"/>
        </c:manualLayout>
      </c:layout>
      <c:lineChart>
        <c:grouping val="standard"/>
        <c:ser>
          <c:idx val="0"/>
          <c:order val="0"/>
          <c:tx>
            <c:strRef>
              <c:f>'Growth Rates Annualised'!$F$2</c:f>
              <c:strCache>
                <c:ptCount val="1"/>
                <c:pt idx="0">
                  <c:v>Manufacturing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Contributions'!$F$3:$F$20</c:f>
              <c:numCache>
                <c:formatCode>0.00</c:formatCode>
                <c:ptCount val="18"/>
                <c:pt idx="0">
                  <c:v>21.635483580245278</c:v>
                </c:pt>
                <c:pt idx="1">
                  <c:v>21.784654544429497</c:v>
                </c:pt>
                <c:pt idx="2">
                  <c:v>21.498933052223133</c:v>
                </c:pt>
                <c:pt idx="3">
                  <c:v>21.677125065369641</c:v>
                </c:pt>
                <c:pt idx="4">
                  <c:v>22.538701250281978</c:v>
                </c:pt>
                <c:pt idx="5">
                  <c:v>22.21978755585922</c:v>
                </c:pt>
                <c:pt idx="6">
                  <c:v>22.251899149407123</c:v>
                </c:pt>
                <c:pt idx="7">
                  <c:v>21.459372343135634</c:v>
                </c:pt>
                <c:pt idx="8">
                  <c:v>21.501148477430185</c:v>
                </c:pt>
                <c:pt idx="9">
                  <c:v>21.584398804728757</c:v>
                </c:pt>
                <c:pt idx="10">
                  <c:v>21.687243229968072</c:v>
                </c:pt>
                <c:pt idx="11">
                  <c:v>21.565349658459095</c:v>
                </c:pt>
                <c:pt idx="12">
                  <c:v>21.272167126328682</c:v>
                </c:pt>
                <c:pt idx="13">
                  <c:v>19.502086018892946</c:v>
                </c:pt>
                <c:pt idx="14">
                  <c:v>19.890691671454984</c:v>
                </c:pt>
                <c:pt idx="15">
                  <c:v>19.836497197904958</c:v>
                </c:pt>
                <c:pt idx="16">
                  <c:v>19.704913877517381</c:v>
                </c:pt>
                <c:pt idx="17">
                  <c:v>19.512552941833473</c:v>
                </c:pt>
              </c:numCache>
            </c:numRef>
          </c:val>
        </c:ser>
        <c:ser>
          <c:idx val="1"/>
          <c:order val="1"/>
          <c:tx>
            <c:strRef>
              <c:f>'Growth Rates Annualised'!$G$2</c:f>
              <c:strCache>
                <c:ptCount val="1"/>
                <c:pt idx="0">
                  <c:v>Electricity, gas and water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Contributions'!$G$3:$G$20</c:f>
              <c:numCache>
                <c:formatCode>0.00</c:formatCode>
                <c:ptCount val="18"/>
                <c:pt idx="0">
                  <c:v>2.5765821816384276</c:v>
                </c:pt>
                <c:pt idx="1">
                  <c:v>2.6143680776129758</c:v>
                </c:pt>
                <c:pt idx="2">
                  <c:v>2.4333497499222165</c:v>
                </c:pt>
                <c:pt idx="3">
                  <c:v>2.4162222408131937</c:v>
                </c:pt>
                <c:pt idx="4">
                  <c:v>2.4492754473896419</c:v>
                </c:pt>
                <c:pt idx="5">
                  <c:v>2.3411886500289092</c:v>
                </c:pt>
                <c:pt idx="6">
                  <c:v>2.5060351195666923</c:v>
                </c:pt>
                <c:pt idx="7">
                  <c:v>2.158382198293634</c:v>
                </c:pt>
                <c:pt idx="8">
                  <c:v>2.2166641369845834</c:v>
                </c:pt>
                <c:pt idx="9">
                  <c:v>2.2324188491422157</c:v>
                </c:pt>
                <c:pt idx="10">
                  <c:v>2.1852143475194277</c:v>
                </c:pt>
                <c:pt idx="11">
                  <c:v>2.1323575585896664</c:v>
                </c:pt>
                <c:pt idx="12">
                  <c:v>1.968347457625031</c:v>
                </c:pt>
                <c:pt idx="13">
                  <c:v>1.9255412070334372</c:v>
                </c:pt>
                <c:pt idx="14">
                  <c:v>1.8733352126582496</c:v>
                </c:pt>
                <c:pt idx="15">
                  <c:v>1.8305752206377337</c:v>
                </c:pt>
                <c:pt idx="16">
                  <c:v>1.721790763824615</c:v>
                </c:pt>
                <c:pt idx="17">
                  <c:v>1.6804983984077346</c:v>
                </c:pt>
              </c:numCache>
            </c:numRef>
          </c:val>
        </c:ser>
        <c:ser>
          <c:idx val="2"/>
          <c:order val="2"/>
          <c:tx>
            <c:strRef>
              <c:f>'Prov Contributions'!$H$2</c:f>
              <c:strCache>
                <c:ptCount val="1"/>
                <c:pt idx="0">
                  <c:v>Construction</c:v>
                </c:pt>
              </c:strCache>
            </c:strRef>
          </c:tx>
          <c:spPr>
            <a:ln w="2540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Contributions'!$H$3:$H$20</c:f>
              <c:numCache>
                <c:formatCode>0.00</c:formatCode>
                <c:ptCount val="18"/>
                <c:pt idx="0">
                  <c:v>2.3320117795877069</c:v>
                </c:pt>
                <c:pt idx="1">
                  <c:v>2.4182715827763874</c:v>
                </c:pt>
                <c:pt idx="2">
                  <c:v>2.1275378789887212</c:v>
                </c:pt>
                <c:pt idx="3">
                  <c:v>1.9910485428793132</c:v>
                </c:pt>
                <c:pt idx="4">
                  <c:v>1.9815566718139825</c:v>
                </c:pt>
                <c:pt idx="5">
                  <c:v>2.5441215505754409</c:v>
                </c:pt>
                <c:pt idx="6">
                  <c:v>1.9609022409857291</c:v>
                </c:pt>
                <c:pt idx="7">
                  <c:v>1.9991968090382419</c:v>
                </c:pt>
                <c:pt idx="8">
                  <c:v>2.0927265811367226</c:v>
                </c:pt>
                <c:pt idx="9">
                  <c:v>2.2470307788029689</c:v>
                </c:pt>
                <c:pt idx="10">
                  <c:v>2.2909883699361648</c:v>
                </c:pt>
                <c:pt idx="11">
                  <c:v>2.4755292489258185</c:v>
                </c:pt>
                <c:pt idx="12">
                  <c:v>2.5846361138384779</c:v>
                </c:pt>
                <c:pt idx="13">
                  <c:v>2.8523817743487228</c:v>
                </c:pt>
                <c:pt idx="14">
                  <c:v>2.7876078531619739</c:v>
                </c:pt>
                <c:pt idx="15">
                  <c:v>2.7030683578815307</c:v>
                </c:pt>
                <c:pt idx="16">
                  <c:v>2.6955607891817017</c:v>
                </c:pt>
                <c:pt idx="17">
                  <c:v>2.7280246055547823</c:v>
                </c:pt>
              </c:numCache>
            </c:numRef>
          </c:val>
        </c:ser>
        <c:marker val="1"/>
        <c:axId val="223783168"/>
        <c:axId val="223793152"/>
      </c:lineChart>
      <c:catAx>
        <c:axId val="22378316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793152"/>
        <c:crosses val="autoZero"/>
        <c:auto val="1"/>
        <c:lblAlgn val="ctr"/>
        <c:lblOffset val="100"/>
        <c:tickLblSkip val="1"/>
        <c:tickMarkSkip val="1"/>
      </c:catAx>
      <c:valAx>
        <c:axId val="223793152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783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021072845127704"/>
          <c:y val="1.6556162963705968E-2"/>
          <c:w val="0.75040510511266456"/>
          <c:h val="0.1059601785445611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7.9416531604539875E-2"/>
          <c:y val="8.6092715231787992E-2"/>
          <c:w val="0.91410048622366291"/>
          <c:h val="0.79801324503311255"/>
        </c:manualLayout>
      </c:layout>
      <c:lineChart>
        <c:grouping val="standard"/>
        <c:ser>
          <c:idx val="0"/>
          <c:order val="0"/>
          <c:tx>
            <c:strRef>
              <c:f>'Growth Rates Annualised'!$J$2</c:f>
              <c:strCache>
                <c:ptCount val="1"/>
                <c:pt idx="0">
                  <c:v>Wholesale &amp; retail trade; hotels &amp; restaurants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Contributions'!$J$3:$J$20</c:f>
              <c:numCache>
                <c:formatCode>0.00</c:formatCode>
                <c:ptCount val="18"/>
                <c:pt idx="0">
                  <c:v>11.267858220095265</c:v>
                </c:pt>
                <c:pt idx="1">
                  <c:v>11.113802395673359</c:v>
                </c:pt>
                <c:pt idx="2">
                  <c:v>11.114693060311803</c:v>
                </c:pt>
                <c:pt idx="3">
                  <c:v>11.819004678912878</c:v>
                </c:pt>
                <c:pt idx="4">
                  <c:v>12.24963888170628</c:v>
                </c:pt>
                <c:pt idx="5">
                  <c:v>12.643422065647911</c:v>
                </c:pt>
                <c:pt idx="6">
                  <c:v>12.638743652607568</c:v>
                </c:pt>
                <c:pt idx="7">
                  <c:v>12.727959251279069</c:v>
                </c:pt>
                <c:pt idx="8">
                  <c:v>12.842450928413285</c:v>
                </c:pt>
                <c:pt idx="9">
                  <c:v>12.928479125728645</c:v>
                </c:pt>
                <c:pt idx="10">
                  <c:v>13.034992033762958</c:v>
                </c:pt>
                <c:pt idx="11">
                  <c:v>12.997737448326099</c:v>
                </c:pt>
                <c:pt idx="12">
                  <c:v>12.633353296878843</c:v>
                </c:pt>
                <c:pt idx="13">
                  <c:v>12.870666670236957</c:v>
                </c:pt>
                <c:pt idx="14">
                  <c:v>12.89026733189719</c:v>
                </c:pt>
                <c:pt idx="15">
                  <c:v>13.080349547795219</c:v>
                </c:pt>
                <c:pt idx="16">
                  <c:v>13.198916238510893</c:v>
                </c:pt>
                <c:pt idx="17">
                  <c:v>13.340501337202948</c:v>
                </c:pt>
              </c:numCache>
            </c:numRef>
          </c:val>
        </c:ser>
        <c:ser>
          <c:idx val="1"/>
          <c:order val="1"/>
          <c:tx>
            <c:strRef>
              <c:f>'Growth Rates Annualised'!$K$2</c:f>
              <c:strCache>
                <c:ptCount val="1"/>
                <c:pt idx="0">
                  <c:v>Transport , storage and communication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Contributions'!$K$3:$K$20</c:f>
              <c:numCache>
                <c:formatCode>0.00</c:formatCode>
                <c:ptCount val="18"/>
                <c:pt idx="0">
                  <c:v>9.4161386167477232</c:v>
                </c:pt>
                <c:pt idx="1">
                  <c:v>9.7497327792358295</c:v>
                </c:pt>
                <c:pt idx="2">
                  <c:v>10.103078273957928</c:v>
                </c:pt>
                <c:pt idx="3">
                  <c:v>10.382155470809291</c:v>
                </c:pt>
                <c:pt idx="4">
                  <c:v>10.582515882344069</c:v>
                </c:pt>
                <c:pt idx="5">
                  <c:v>10.568300553972723</c:v>
                </c:pt>
                <c:pt idx="6">
                  <c:v>11.276478559216098</c:v>
                </c:pt>
                <c:pt idx="7">
                  <c:v>11.742689314844036</c:v>
                </c:pt>
                <c:pt idx="8">
                  <c:v>11.740684369707727</c:v>
                </c:pt>
                <c:pt idx="9">
                  <c:v>11.758033219411759</c:v>
                </c:pt>
                <c:pt idx="10">
                  <c:v>11.720920493074342</c:v>
                </c:pt>
                <c:pt idx="11">
                  <c:v>11.857889465843135</c:v>
                </c:pt>
                <c:pt idx="12">
                  <c:v>11.882485375957701</c:v>
                </c:pt>
                <c:pt idx="13">
                  <c:v>12.29064515756334</c:v>
                </c:pt>
                <c:pt idx="14">
                  <c:v>12.132755285795662</c:v>
                </c:pt>
                <c:pt idx="15">
                  <c:v>12.055777127170799</c:v>
                </c:pt>
                <c:pt idx="16">
                  <c:v>12.027275242845349</c:v>
                </c:pt>
                <c:pt idx="17">
                  <c:v>12.024456615558679</c:v>
                </c:pt>
              </c:numCache>
            </c:numRef>
          </c:val>
        </c:ser>
        <c:ser>
          <c:idx val="2"/>
          <c:order val="2"/>
          <c:tx>
            <c:strRef>
              <c:f>'Prov Contributions'!$L$2</c:f>
              <c:strCache>
                <c:ptCount val="1"/>
                <c:pt idx="0">
                  <c:v>Finance, real estate and business services</c:v>
                </c:pt>
              </c:strCache>
            </c:strRef>
          </c:tx>
          <c:spPr>
            <a:ln w="25400">
              <a:solidFill>
                <a:schemeClr val="tx2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Contributions'!$L$3:$L$20</c:f>
              <c:numCache>
                <c:formatCode>0.00</c:formatCode>
                <c:ptCount val="18"/>
                <c:pt idx="0">
                  <c:v>13.451545893400674</c:v>
                </c:pt>
                <c:pt idx="1">
                  <c:v>13.753923496693899</c:v>
                </c:pt>
                <c:pt idx="2">
                  <c:v>13.965812005883697</c:v>
                </c:pt>
                <c:pt idx="3">
                  <c:v>14.702205241076053</c:v>
                </c:pt>
                <c:pt idx="4">
                  <c:v>14.245311061660601</c:v>
                </c:pt>
                <c:pt idx="5">
                  <c:v>14.415234011227609</c:v>
                </c:pt>
                <c:pt idx="6">
                  <c:v>14.776335546993533</c:v>
                </c:pt>
                <c:pt idx="7">
                  <c:v>15.185688958694596</c:v>
                </c:pt>
                <c:pt idx="8">
                  <c:v>15.582175764758771</c:v>
                </c:pt>
                <c:pt idx="9">
                  <c:v>16.291819048366527</c:v>
                </c:pt>
                <c:pt idx="10">
                  <c:v>16.625494783396093</c:v>
                </c:pt>
                <c:pt idx="11">
                  <c:v>16.918338137947483</c:v>
                </c:pt>
                <c:pt idx="12">
                  <c:v>17.473469656386825</c:v>
                </c:pt>
                <c:pt idx="13">
                  <c:v>18.078772317464484</c:v>
                </c:pt>
                <c:pt idx="14">
                  <c:v>17.806583353118217</c:v>
                </c:pt>
                <c:pt idx="15">
                  <c:v>18.022259005071746</c:v>
                </c:pt>
                <c:pt idx="16">
                  <c:v>18.116419059780682</c:v>
                </c:pt>
                <c:pt idx="17">
                  <c:v>18.251005792467023</c:v>
                </c:pt>
              </c:numCache>
            </c:numRef>
          </c:val>
        </c:ser>
        <c:ser>
          <c:idx val="3"/>
          <c:order val="3"/>
          <c:tx>
            <c:strRef>
              <c:f>'Prov Contributions'!$M$2</c:f>
              <c:strCache>
                <c:ptCount val="1"/>
                <c:pt idx="0">
                  <c:v>Personal services</c:v>
                </c:pt>
              </c:strCache>
            </c:strRef>
          </c:tx>
          <c:spPr>
            <a:ln w="2540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Contributions'!$M$3:$M$20</c:f>
              <c:numCache>
                <c:formatCode>0.00</c:formatCode>
                <c:ptCount val="18"/>
                <c:pt idx="0">
                  <c:v>5.539045177441543</c:v>
                </c:pt>
                <c:pt idx="1">
                  <c:v>5.4276584629349678</c:v>
                </c:pt>
                <c:pt idx="2">
                  <c:v>5.7153968267856543</c:v>
                </c:pt>
                <c:pt idx="3">
                  <c:v>5.8814561422854998</c:v>
                </c:pt>
                <c:pt idx="4">
                  <c:v>5.896570070889342</c:v>
                </c:pt>
                <c:pt idx="5">
                  <c:v>5.7767386164439687</c:v>
                </c:pt>
                <c:pt idx="6">
                  <c:v>5.7724530116454389</c:v>
                </c:pt>
                <c:pt idx="7">
                  <c:v>5.9313479289333904</c:v>
                </c:pt>
                <c:pt idx="8">
                  <c:v>5.7764775353005628</c:v>
                </c:pt>
                <c:pt idx="9">
                  <c:v>5.6463576697013078</c:v>
                </c:pt>
                <c:pt idx="10">
                  <c:v>5.6341718832259042</c:v>
                </c:pt>
                <c:pt idx="11">
                  <c:v>5.6135747158997207</c:v>
                </c:pt>
                <c:pt idx="12">
                  <c:v>5.6025945199004656</c:v>
                </c:pt>
                <c:pt idx="13">
                  <c:v>5.7029195767300909</c:v>
                </c:pt>
                <c:pt idx="14">
                  <c:v>5.5195052741490915</c:v>
                </c:pt>
                <c:pt idx="15">
                  <c:v>5.465980538823823</c:v>
                </c:pt>
                <c:pt idx="16">
                  <c:v>5.4368068393041762</c:v>
                </c:pt>
                <c:pt idx="17">
                  <c:v>5.4502980320877299</c:v>
                </c:pt>
              </c:numCache>
            </c:numRef>
          </c:val>
        </c:ser>
        <c:ser>
          <c:idx val="4"/>
          <c:order val="4"/>
          <c:tx>
            <c:strRef>
              <c:f>'Prov Contributions'!$N$2</c:f>
              <c:strCache>
                <c:ptCount val="1"/>
                <c:pt idx="0">
                  <c:v>General government services</c:v>
                </c:pt>
              </c:strCache>
            </c:strRef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'Prov Contributions'!$N$3:$N$20</c:f>
              <c:numCache>
                <c:formatCode>0.00</c:formatCode>
                <c:ptCount val="18"/>
                <c:pt idx="0">
                  <c:v>13.973094885138766</c:v>
                </c:pt>
                <c:pt idx="1">
                  <c:v>13.374417405963197</c:v>
                </c:pt>
                <c:pt idx="2">
                  <c:v>13.513066135437585</c:v>
                </c:pt>
                <c:pt idx="3">
                  <c:v>12.943161624926807</c:v>
                </c:pt>
                <c:pt idx="4">
                  <c:v>12.356998970586069</c:v>
                </c:pt>
                <c:pt idx="5">
                  <c:v>11.940291930581584</c:v>
                </c:pt>
                <c:pt idx="6">
                  <c:v>11.698961512533057</c:v>
                </c:pt>
                <c:pt idx="7">
                  <c:v>11.636817008624806</c:v>
                </c:pt>
                <c:pt idx="8">
                  <c:v>11.286333198973017</c:v>
                </c:pt>
                <c:pt idx="9">
                  <c:v>11.152363297668954</c:v>
                </c:pt>
                <c:pt idx="10">
                  <c:v>10.882542997758945</c:v>
                </c:pt>
                <c:pt idx="11">
                  <c:v>10.694926700621538</c:v>
                </c:pt>
                <c:pt idx="12">
                  <c:v>10.792808483914429</c:v>
                </c:pt>
                <c:pt idx="13">
                  <c:v>11.416848718931442</c:v>
                </c:pt>
                <c:pt idx="14">
                  <c:v>11.370616313488775</c:v>
                </c:pt>
                <c:pt idx="15">
                  <c:v>11.44042916389604</c:v>
                </c:pt>
                <c:pt idx="16">
                  <c:v>11.428322211336225</c:v>
                </c:pt>
                <c:pt idx="17">
                  <c:v>11.406552319771</c:v>
                </c:pt>
              </c:numCache>
            </c:numRef>
          </c:val>
        </c:ser>
        <c:marker val="1"/>
        <c:axId val="223967488"/>
        <c:axId val="223989760"/>
      </c:lineChart>
      <c:catAx>
        <c:axId val="22396748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989760"/>
        <c:crosses val="autoZero"/>
        <c:auto val="1"/>
        <c:lblAlgn val="ctr"/>
        <c:lblOffset val="100"/>
        <c:tickLblSkip val="1"/>
        <c:tickMarkSkip val="1"/>
      </c:catAx>
      <c:valAx>
        <c:axId val="223989760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967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23176656058091"/>
          <c:y val="1.6556397942517263E-2"/>
          <c:w val="0.70826581459926263"/>
          <c:h val="0.25496696813827435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6.0064982676306528E-2"/>
          <c:y val="1.3289058102318623E-2"/>
          <c:w val="0.9188318971564845"/>
          <c:h val="0.87043330570185851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Annualised'!$C$2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'Prov Contributions'!$C$21</c:f>
              <c:numCache>
                <c:formatCode>0.00</c:formatCode>
                <c:ptCount val="1"/>
                <c:pt idx="0">
                  <c:v>4.2877032401206137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Annualised'!$D$2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'Prov Contributions'!$D$21</c:f>
              <c:numCache>
                <c:formatCode>0.00</c:formatCode>
                <c:ptCount val="1"/>
                <c:pt idx="0">
                  <c:v>1.7364196756211616</c:v>
                </c:pt>
              </c:numCache>
            </c:numRef>
          </c:val>
          <c:shape val="cylinder"/>
        </c:ser>
        <c:shape val="box"/>
        <c:axId val="224019200"/>
        <c:axId val="224020736"/>
        <c:axId val="0"/>
      </c:bar3DChart>
      <c:catAx>
        <c:axId val="224019200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020736"/>
        <c:crosses val="autoZero"/>
        <c:auto val="1"/>
        <c:lblAlgn val="ctr"/>
        <c:lblOffset val="100"/>
        <c:tickLblSkip val="1"/>
        <c:tickMarkSkip val="1"/>
      </c:catAx>
      <c:valAx>
        <c:axId val="224020736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0192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474032681398695"/>
          <c:y val="1.6611293494269333E-2"/>
          <c:w val="0.8360396240792487"/>
          <c:h val="9.966809007808379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DDEBCF"/>
        </a:gs>
        <a:gs pos="50000">
          <a:srgbClr val="9CB86E"/>
        </a:gs>
        <a:gs pos="100000">
          <a:srgbClr val="156B13"/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1312803889789333E-2"/>
          <c:y val="1.3245033112582781E-2"/>
          <c:w val="0.90761750405186359"/>
          <c:h val="0.87086092715231789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Annualised'!$F$2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'Prov Contributions'!$F$21</c:f>
              <c:numCache>
                <c:formatCode>0.00</c:formatCode>
                <c:ptCount val="1"/>
                <c:pt idx="0">
                  <c:v>21.173500308081667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Annualised'!$G$2</c:f>
              <c:strCache>
                <c:ptCount val="1"/>
                <c:pt idx="0">
                  <c:v>Electricity, gas and water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'Prov Contributions'!$G$21</c:f>
              <c:numCache>
                <c:formatCode>0.00</c:formatCode>
                <c:ptCount val="1"/>
                <c:pt idx="0">
                  <c:v>2.1812303787604659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'Prov Contributions'!$H$2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'Prov Contributions'!$H$21</c:f>
              <c:numCache>
                <c:formatCode>0.00</c:formatCode>
                <c:ptCount val="1"/>
                <c:pt idx="0">
                  <c:v>2.3784556405230211</c:v>
                </c:pt>
              </c:numCache>
            </c:numRef>
          </c:val>
          <c:shape val="cylinder"/>
        </c:ser>
        <c:shape val="box"/>
        <c:axId val="224050560"/>
        <c:axId val="224060544"/>
        <c:axId val="0"/>
      </c:bar3DChart>
      <c:catAx>
        <c:axId val="224050560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060544"/>
        <c:crosses val="autoZero"/>
        <c:auto val="1"/>
        <c:lblAlgn val="ctr"/>
        <c:lblOffset val="100"/>
        <c:tickLblSkip val="1"/>
        <c:tickMarkSkip val="1"/>
      </c:catAx>
      <c:valAx>
        <c:axId val="224060544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0505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452194081555638"/>
          <c:y val="1.6556396904061115E-2"/>
          <c:w val="0.83468400052578728"/>
          <c:h val="9.933771058170444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DDEBCF"/>
        </a:gs>
        <a:gs pos="50000">
          <a:srgbClr val="9CB86E"/>
        </a:gs>
        <a:gs pos="100000">
          <a:srgbClr val="156B13"/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1197523509436533E-2"/>
          <c:y val="1.3201362679721919E-2"/>
          <c:w val="0.90776842474531116"/>
          <c:h val="0.8712899368616468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Annualised'!$J$2</c:f>
              <c:strCache>
                <c:ptCount val="1"/>
                <c:pt idx="0">
                  <c:v>Wholesale &amp; retail trade; hotels &amp; restaurants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'Prov Contributions'!$J$21</c:f>
              <c:numCache>
                <c:formatCode>0.00</c:formatCode>
                <c:ptCount val="1"/>
                <c:pt idx="0">
                  <c:v>12.521824231388173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Annualised'!$K$2</c:f>
              <c:strCache>
                <c:ptCount val="1"/>
                <c:pt idx="0">
                  <c:v>Transport , storage and communication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'Prov Contributions'!$K$21</c:f>
              <c:numCache>
                <c:formatCode>0.00</c:formatCode>
                <c:ptCount val="1"/>
                <c:pt idx="0">
                  <c:v>11.295111766892013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'Prov Contributions'!$L$2</c:f>
              <c:strCache>
                <c:ptCount val="1"/>
                <c:pt idx="0">
                  <c:v>Finance, real estate and business services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'Prov Contributions'!$L$21</c:f>
              <c:numCache>
                <c:formatCode>0.00</c:formatCode>
                <c:ptCount val="1"/>
                <c:pt idx="0">
                  <c:v>15.981244063021583</c:v>
                </c:pt>
              </c:numCache>
            </c:numRef>
          </c:val>
          <c:shape val="cylinder"/>
        </c:ser>
        <c:ser>
          <c:idx val="3"/>
          <c:order val="3"/>
          <c:tx>
            <c:strRef>
              <c:f>'Prov Contributions'!$M$2</c:f>
              <c:strCache>
                <c:ptCount val="1"/>
                <c:pt idx="0">
                  <c:v>Personal services</c:v>
                </c:pt>
              </c:strCache>
            </c:strRef>
          </c:tx>
          <c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'Prov Contributions'!$M$21</c:f>
              <c:numCache>
                <c:formatCode>0.00</c:formatCode>
                <c:ptCount val="1"/>
                <c:pt idx="0">
                  <c:v>5.6549640456934833</c:v>
                </c:pt>
              </c:numCache>
            </c:numRef>
          </c:val>
          <c:shape val="cylinder"/>
        </c:ser>
        <c:ser>
          <c:idx val="4"/>
          <c:order val="4"/>
          <c:tx>
            <c:strRef>
              <c:f>'Prov Contributions'!$N$2</c:f>
              <c:strCache>
                <c:ptCount val="1"/>
                <c:pt idx="0">
                  <c:v>General government services</c:v>
                </c:pt>
              </c:strCache>
            </c:strRef>
          </c:tx>
          <c:spPr>
            <a:solidFill>
              <a:srgbClr val="7030A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'Prov Contributions'!$N$21</c:f>
              <c:numCache>
                <c:formatCode>0.00</c:formatCode>
                <c:ptCount val="1"/>
                <c:pt idx="0">
                  <c:v>11.850475160008457</c:v>
                </c:pt>
              </c:numCache>
            </c:numRef>
          </c:val>
          <c:shape val="cylinder"/>
        </c:ser>
        <c:shape val="box"/>
        <c:axId val="224112640"/>
        <c:axId val="224114176"/>
        <c:axId val="0"/>
      </c:bar3DChart>
      <c:catAx>
        <c:axId val="224112640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114176"/>
        <c:crosses val="autoZero"/>
        <c:auto val="1"/>
        <c:lblAlgn val="ctr"/>
        <c:lblOffset val="100"/>
        <c:tickLblSkip val="1"/>
        <c:tickMarkSkip val="1"/>
      </c:catAx>
      <c:valAx>
        <c:axId val="224114176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112640"/>
        <c:crosses val="autoZero"/>
        <c:crossBetween val="between"/>
      </c:valAx>
      <c:spPr>
        <a:gradFill>
          <a:gsLst>
            <a:gs pos="0">
              <a:srgbClr val="DDEBCF"/>
            </a:gs>
            <a:gs pos="50000">
              <a:srgbClr val="9CB86E"/>
            </a:gs>
            <a:gs pos="100000">
              <a:srgbClr val="156B13"/>
            </a:gs>
          </a:gsLst>
          <a:lin ang="5400000" scaled="0"/>
        </a:gradFill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3.2362498687664082E-2"/>
          <c:y val="1.6501582162042845E-2"/>
          <c:w val="0.96925715485564257"/>
          <c:h val="0.1617164209614006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7.9674923264296413E-2"/>
          <c:y val="8.6666948785643669E-2"/>
          <c:w val="0.91382258927620519"/>
          <c:h val="0.79666925999108074"/>
        </c:manualLayout>
      </c:layout>
      <c:lineChart>
        <c:grouping val="standard"/>
        <c:ser>
          <c:idx val="0"/>
          <c:order val="0"/>
          <c:tx>
            <c:strRef>
              <c:f>'Growth Rates Annualised'!$B$2</c:f>
              <c:strCache>
                <c:ptCount val="1"/>
                <c:pt idx="0">
                  <c:v>Primary Industries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'National Contributions'!$A$3:$A$21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cat>
          <c:val>
            <c:numRef>
              <c:f>'National Contributions'!$B$3:$B$21</c:f>
              <c:numCache>
                <c:formatCode>0.00</c:formatCode>
                <c:ptCount val="19"/>
                <c:pt idx="0">
                  <c:v>9.9424283672306846</c:v>
                </c:pt>
                <c:pt idx="1">
                  <c:v>11.846084932040066</c:v>
                </c:pt>
                <c:pt idx="2">
                  <c:v>11.695543187640416</c:v>
                </c:pt>
                <c:pt idx="3">
                  <c:v>11.86075224054712</c:v>
                </c:pt>
                <c:pt idx="4">
                  <c:v>10.36136669605661</c:v>
                </c:pt>
                <c:pt idx="5">
                  <c:v>10.503663420698331</c:v>
                </c:pt>
                <c:pt idx="6">
                  <c:v>10.409914079734786</c:v>
                </c:pt>
                <c:pt idx="7">
                  <c:v>10.177247512535439</c:v>
                </c:pt>
                <c:pt idx="8">
                  <c:v>10.443497195207005</c:v>
                </c:pt>
                <c:pt idx="9">
                  <c:v>10.383122889776661</c:v>
                </c:pt>
                <c:pt idx="10">
                  <c:v>9.6216352260559095</c:v>
                </c:pt>
                <c:pt idx="11">
                  <c:v>9.7546037958733649</c:v>
                </c:pt>
                <c:pt idx="12">
                  <c:v>10.046867427820711</c:v>
                </c:pt>
                <c:pt idx="13">
                  <c:v>10.972330662209981</c:v>
                </c:pt>
                <c:pt idx="14">
                  <c:v>11.24922058303115</c:v>
                </c:pt>
                <c:pt idx="15">
                  <c:v>11.020070208351052</c:v>
                </c:pt>
                <c:pt idx="16">
                  <c:v>11.052839502558163</c:v>
                </c:pt>
                <c:pt idx="17">
                  <c:v>11.085608796765273</c:v>
                </c:pt>
                <c:pt idx="18">
                  <c:v>11.118378090972383</c:v>
                </c:pt>
              </c:numCache>
            </c:numRef>
          </c:val>
        </c:ser>
        <c:ser>
          <c:idx val="1"/>
          <c:order val="1"/>
          <c:tx>
            <c:strRef>
              <c:f>'Growth Rates Annualised'!$E$2</c:f>
              <c:strCache>
                <c:ptCount val="1"/>
                <c:pt idx="0">
                  <c:v>Secondary Industries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'National Contributions'!$A$3:$A$21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cat>
          <c:val>
            <c:numRef>
              <c:f>'National Contributions'!$E$3:$E$21</c:f>
              <c:numCache>
                <c:formatCode>0.00</c:formatCode>
                <c:ptCount val="19"/>
                <c:pt idx="0">
                  <c:v>20.25831072564549</c:v>
                </c:pt>
                <c:pt idx="1">
                  <c:v>20.2230596611364</c:v>
                </c:pt>
                <c:pt idx="2">
                  <c:v>20.240021581749932</c:v>
                </c:pt>
                <c:pt idx="3">
                  <c:v>20.137868099074325</c:v>
                </c:pt>
                <c:pt idx="4">
                  <c:v>20.253183466265948</c:v>
                </c:pt>
                <c:pt idx="5">
                  <c:v>20.376978155416424</c:v>
                </c:pt>
                <c:pt idx="6">
                  <c:v>20.838659882512491</c:v>
                </c:pt>
                <c:pt idx="7">
                  <c:v>20.407725215820907</c:v>
                </c:pt>
                <c:pt idx="8">
                  <c:v>20.134161984705692</c:v>
                </c:pt>
                <c:pt idx="9">
                  <c:v>20.086364962642573</c:v>
                </c:pt>
                <c:pt idx="10">
                  <c:v>20.09462074400215</c:v>
                </c:pt>
                <c:pt idx="11">
                  <c:v>19.968995411389962</c:v>
                </c:pt>
                <c:pt idx="12">
                  <c:v>19.910983739303383</c:v>
                </c:pt>
                <c:pt idx="13">
                  <c:v>19.877157406289843</c:v>
                </c:pt>
                <c:pt idx="14">
                  <c:v>19.555651721834064</c:v>
                </c:pt>
                <c:pt idx="15">
                  <c:v>19.825716927635664</c:v>
                </c:pt>
                <c:pt idx="16">
                  <c:v>19.852440853736155</c:v>
                </c:pt>
                <c:pt idx="17">
                  <c:v>19.879164779836646</c:v>
                </c:pt>
                <c:pt idx="18">
                  <c:v>19.905888705937137</c:v>
                </c:pt>
              </c:numCache>
            </c:numRef>
          </c:val>
        </c:ser>
        <c:ser>
          <c:idx val="2"/>
          <c:order val="2"/>
          <c:tx>
            <c:strRef>
              <c:f>'Growth Rates Annualised'!$I$2</c:f>
              <c:strCache>
                <c:ptCount val="1"/>
                <c:pt idx="0">
                  <c:v>Tertiary industries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'National Contributions'!$A$3:$A$21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cat>
          <c:val>
            <c:numRef>
              <c:f>'National Contributions'!$I$3:$I$21</c:f>
              <c:numCache>
                <c:formatCode>0.00</c:formatCode>
                <c:ptCount val="19"/>
                <c:pt idx="0">
                  <c:v>15.682808530827982</c:v>
                </c:pt>
                <c:pt idx="1">
                  <c:v>15.683491898449317</c:v>
                </c:pt>
                <c:pt idx="2">
                  <c:v>15.525520215199643</c:v>
                </c:pt>
                <c:pt idx="3">
                  <c:v>15.63943960914686</c:v>
                </c:pt>
                <c:pt idx="4">
                  <c:v>15.546708185361025</c:v>
                </c:pt>
                <c:pt idx="5">
                  <c:v>15.510131030045008</c:v>
                </c:pt>
                <c:pt idx="6">
                  <c:v>15.645274114802918</c:v>
                </c:pt>
                <c:pt idx="7">
                  <c:v>15.634785417504638</c:v>
                </c:pt>
                <c:pt idx="8">
                  <c:v>15.711259063797081</c:v>
                </c:pt>
                <c:pt idx="9">
                  <c:v>15.687997731333111</c:v>
                </c:pt>
                <c:pt idx="10">
                  <c:v>15.889523990934743</c:v>
                </c:pt>
                <c:pt idx="11">
                  <c:v>15.810172063846984</c:v>
                </c:pt>
                <c:pt idx="12">
                  <c:v>15.841875858735118</c:v>
                </c:pt>
                <c:pt idx="13">
                  <c:v>15.803793495414793</c:v>
                </c:pt>
                <c:pt idx="14">
                  <c:v>15.853478233213284</c:v>
                </c:pt>
                <c:pt idx="15">
                  <c:v>15.971597299802426</c:v>
                </c:pt>
                <c:pt idx="16">
                  <c:v>15.981661336036836</c:v>
                </c:pt>
                <c:pt idx="17">
                  <c:v>15.991725372271247</c:v>
                </c:pt>
                <c:pt idx="18">
                  <c:v>16.001789408505658</c:v>
                </c:pt>
              </c:numCache>
            </c:numRef>
          </c:val>
        </c:ser>
        <c:marker val="1"/>
        <c:axId val="224172672"/>
        <c:axId val="224178560"/>
      </c:lineChart>
      <c:catAx>
        <c:axId val="22417267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178560"/>
        <c:crosses val="autoZero"/>
        <c:auto val="1"/>
        <c:lblAlgn val="ctr"/>
        <c:lblOffset val="100"/>
        <c:tickLblSkip val="1"/>
        <c:tickMarkSkip val="1"/>
      </c:catAx>
      <c:valAx>
        <c:axId val="224178560"/>
        <c:scaling>
          <c:orientation val="minMax"/>
          <c:min val="7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172672"/>
        <c:crosses val="autoZero"/>
        <c:crossBetween val="between"/>
      </c:valAx>
      <c:spPr>
        <a:solidFill>
          <a:sysClr val="window" lastClr="FFFFFF">
            <a:lumMod val="75000"/>
          </a:sys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894326014126322"/>
          <c:y val="1.6666666666666701E-2"/>
          <c:w val="0.75284672342786463"/>
          <c:h val="0.10666701662292215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6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1544829053653863E-2"/>
          <c:y val="1.3333376736252405E-2"/>
          <c:w val="0.90731851390770057"/>
          <c:h val="0.87000283204048512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Annualised'!$B$2</c:f>
              <c:strCache>
                <c:ptCount val="1"/>
                <c:pt idx="0">
                  <c:v>Primary Industries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'National Contributions'!$B$22</c:f>
              <c:numCache>
                <c:formatCode>0.00</c:formatCode>
                <c:ptCount val="1"/>
                <c:pt idx="0">
                  <c:v>10.712903937637112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Annualised'!$E$2</c:f>
              <c:strCache>
                <c:ptCount val="1"/>
                <c:pt idx="0">
                  <c:v>Secondary Industries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'National Contributions'!$E$22</c:f>
              <c:numCache>
                <c:formatCode>0.00</c:formatCode>
                <c:ptCount val="1"/>
                <c:pt idx="0">
                  <c:v>20.096155474996586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'Growth Rates Annualised'!$I$2</c:f>
              <c:strCache>
                <c:ptCount val="1"/>
                <c:pt idx="0">
                  <c:v>Tertiary industries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'National Contributions'!$I$22</c:f>
              <c:numCache>
                <c:formatCode>0.00</c:formatCode>
                <c:ptCount val="1"/>
                <c:pt idx="0">
                  <c:v>15.758580676590983</c:v>
                </c:pt>
              </c:numCache>
            </c:numRef>
          </c:val>
          <c:shape val="cylinder"/>
        </c:ser>
        <c:shape val="box"/>
        <c:axId val="224282112"/>
        <c:axId val="224283648"/>
        <c:axId val="0"/>
      </c:bar3DChart>
      <c:catAx>
        <c:axId val="224282112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283648"/>
        <c:crosses val="autoZero"/>
        <c:auto val="1"/>
        <c:lblAlgn val="ctr"/>
        <c:lblOffset val="100"/>
        <c:tickLblSkip val="1"/>
        <c:tickMarkSkip val="1"/>
      </c:catAx>
      <c:valAx>
        <c:axId val="224283648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2821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333350404370167"/>
          <c:y val="1.6666666666666701E-2"/>
          <c:w val="0.83739973966669423"/>
          <c:h val="0.1000003499562564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E6DCAC"/>
        </a:gs>
        <a:gs pos="12000">
          <a:srgbClr val="E6D78A"/>
        </a:gs>
        <a:gs pos="30000">
          <a:srgbClr val="C7AC4C"/>
        </a:gs>
        <a:gs pos="45000">
          <a:srgbClr val="E6D78A"/>
        </a:gs>
        <a:gs pos="77000">
          <a:srgbClr val="C7AC4C"/>
        </a:gs>
        <a:gs pos="100000">
          <a:srgbClr val="E6DCAC"/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7.9545517598351892E-2"/>
          <c:y val="8.6378877665070963E-2"/>
          <c:w val="0.91396176342596147"/>
          <c:h val="0.79734348613911665"/>
        </c:manualLayout>
      </c:layout>
      <c:lineChart>
        <c:grouping val="standard"/>
        <c:ser>
          <c:idx val="0"/>
          <c:order val="0"/>
          <c:tx>
            <c:strRef>
              <c:f>'Growth Rates Annualised'!$C$2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'National Contributions'!$C$3:$C$21</c:f>
              <c:numCache>
                <c:formatCode>0.00</c:formatCode>
                <c:ptCount val="19"/>
                <c:pt idx="0">
                  <c:v>31.219885239761684</c:v>
                </c:pt>
                <c:pt idx="1">
                  <c:v>29.28963769979805</c:v>
                </c:pt>
                <c:pt idx="2">
                  <c:v>28.92453081455869</c:v>
                </c:pt>
                <c:pt idx="3">
                  <c:v>30.820293094463185</c:v>
                </c:pt>
                <c:pt idx="4">
                  <c:v>28.257792407700549</c:v>
                </c:pt>
                <c:pt idx="5">
                  <c:v>28.002506571344831</c:v>
                </c:pt>
                <c:pt idx="6">
                  <c:v>28.855298944900348</c:v>
                </c:pt>
                <c:pt idx="7">
                  <c:v>28.355031923435565</c:v>
                </c:pt>
                <c:pt idx="8">
                  <c:v>29.6223686770327</c:v>
                </c:pt>
                <c:pt idx="9">
                  <c:v>29.458492509253986</c:v>
                </c:pt>
                <c:pt idx="10">
                  <c:v>26.981005008372478</c:v>
                </c:pt>
                <c:pt idx="11">
                  <c:v>28.691210289195347</c:v>
                </c:pt>
                <c:pt idx="12">
                  <c:v>29.088603995393907</c:v>
                </c:pt>
                <c:pt idx="13">
                  <c:v>28.699887895102982</c:v>
                </c:pt>
                <c:pt idx="14">
                  <c:v>28.336607066375908</c:v>
                </c:pt>
                <c:pt idx="15">
                  <c:v>28.892899848630588</c:v>
                </c:pt>
                <c:pt idx="16">
                  <c:v>29.213150306697194</c:v>
                </c:pt>
                <c:pt idx="17">
                  <c:v>29.352449299675925</c:v>
                </c:pt>
                <c:pt idx="18">
                  <c:v>29.672699757742532</c:v>
                </c:pt>
              </c:numCache>
            </c:numRef>
          </c:val>
        </c:ser>
        <c:ser>
          <c:idx val="1"/>
          <c:order val="1"/>
          <c:tx>
            <c:strRef>
              <c:f>'Growth Rates Annualised'!$D$2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'National Contributions'!$D$3:$D$21</c:f>
              <c:numCache>
                <c:formatCode>0.00</c:formatCode>
                <c:ptCount val="19"/>
                <c:pt idx="0">
                  <c:v>4.368765339010511</c:v>
                </c:pt>
                <c:pt idx="1">
                  <c:v>6.1343775999025345</c:v>
                </c:pt>
                <c:pt idx="2">
                  <c:v>6.0984701370025842</c:v>
                </c:pt>
                <c:pt idx="3">
                  <c:v>6.0220877142669469</c:v>
                </c:pt>
                <c:pt idx="4">
                  <c:v>4.4252885359751204</c:v>
                </c:pt>
                <c:pt idx="5">
                  <c:v>4.3590716181944229</c:v>
                </c:pt>
                <c:pt idx="6">
                  <c:v>4.1404213103185707</c:v>
                </c:pt>
                <c:pt idx="7">
                  <c:v>3.6622552322715274</c:v>
                </c:pt>
                <c:pt idx="8">
                  <c:v>3.7499384385689067</c:v>
                </c:pt>
                <c:pt idx="9">
                  <c:v>3.7681572693470096</c:v>
                </c:pt>
                <c:pt idx="10">
                  <c:v>3.4964844527192112</c:v>
                </c:pt>
                <c:pt idx="11">
                  <c:v>3.3997566632450966</c:v>
                </c:pt>
                <c:pt idx="12">
                  <c:v>3.485435261469251</c:v>
                </c:pt>
                <c:pt idx="13">
                  <c:v>3.4522894212594823</c:v>
                </c:pt>
                <c:pt idx="14">
                  <c:v>3.4149129261497539</c:v>
                </c:pt>
                <c:pt idx="15">
                  <c:v>3.53632626337258</c:v>
                </c:pt>
                <c:pt idx="16">
                  <c:v>3.476841713903013</c:v>
                </c:pt>
                <c:pt idx="17">
                  <c:v>3.6770642039978654</c:v>
                </c:pt>
                <c:pt idx="18">
                  <c:v>3.6175796545282983</c:v>
                </c:pt>
              </c:numCache>
            </c:numRef>
          </c:val>
        </c:ser>
        <c:marker val="1"/>
        <c:axId val="224303744"/>
        <c:axId val="224326016"/>
      </c:lineChart>
      <c:catAx>
        <c:axId val="22430374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326016"/>
        <c:crosses val="autoZero"/>
        <c:auto val="1"/>
        <c:lblAlgn val="ctr"/>
        <c:lblOffset val="100"/>
        <c:tickLblSkip val="1"/>
        <c:tickMarkSkip val="1"/>
      </c:catAx>
      <c:valAx>
        <c:axId val="224326016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303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038978082285145"/>
          <c:y val="1.6611295681063183E-2"/>
          <c:w val="0.75162388792310952"/>
          <c:h val="0.1063122923588039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FFEFD1"/>
        </a:gs>
        <a:gs pos="64999">
          <a:srgbClr val="F0EBD5"/>
        </a:gs>
        <a:gs pos="100000">
          <a:srgbClr val="D1C39F"/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7.9416531604539875E-2"/>
          <c:y val="8.6092715231787992E-2"/>
          <c:w val="0.91410048622366291"/>
          <c:h val="0.79801324503311255"/>
        </c:manualLayout>
      </c:layout>
      <c:lineChart>
        <c:grouping val="standard"/>
        <c:ser>
          <c:idx val="0"/>
          <c:order val="0"/>
          <c:tx>
            <c:strRef>
              <c:f>'Growth Rates Annualised'!$F$2</c:f>
              <c:strCache>
                <c:ptCount val="1"/>
                <c:pt idx="0">
                  <c:v>Manufacturing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'National Contributions'!$F$3:$F$21</c:f>
              <c:numCache>
                <c:formatCode>0.00</c:formatCode>
                <c:ptCount val="19"/>
                <c:pt idx="0">
                  <c:v>20.924039137211555</c:v>
                </c:pt>
                <c:pt idx="1">
                  <c:v>20.995846665370575</c:v>
                </c:pt>
                <c:pt idx="2">
                  <c:v>20.985825312423927</c:v>
                </c:pt>
                <c:pt idx="3">
                  <c:v>20.933221406863463</c:v>
                </c:pt>
                <c:pt idx="4">
                  <c:v>21.141974358104061</c:v>
                </c:pt>
                <c:pt idx="5">
                  <c:v>21.237797622631735</c:v>
                </c:pt>
                <c:pt idx="6">
                  <c:v>21.191725942724304</c:v>
                </c:pt>
                <c:pt idx="7">
                  <c:v>21.157836666166858</c:v>
                </c:pt>
                <c:pt idx="8">
                  <c:v>21.28418387808674</c:v>
                </c:pt>
                <c:pt idx="9">
                  <c:v>21.24472540096156</c:v>
                </c:pt>
                <c:pt idx="10">
                  <c:v>21.237648667473373</c:v>
                </c:pt>
                <c:pt idx="11">
                  <c:v>21.157434320181739</c:v>
                </c:pt>
                <c:pt idx="12">
                  <c:v>21.168502088615178</c:v>
                </c:pt>
                <c:pt idx="13">
                  <c:v>21.153336565540972</c:v>
                </c:pt>
                <c:pt idx="14">
                  <c:v>21.193880777712803</c:v>
                </c:pt>
                <c:pt idx="15">
                  <c:v>21.306520801903464</c:v>
                </c:pt>
                <c:pt idx="16">
                  <c:v>21.305120657789111</c:v>
                </c:pt>
                <c:pt idx="17">
                  <c:v>21.317651054016441</c:v>
                </c:pt>
                <c:pt idx="18">
                  <c:v>21.316250909902088</c:v>
                </c:pt>
              </c:numCache>
            </c:numRef>
          </c:val>
        </c:ser>
        <c:ser>
          <c:idx val="1"/>
          <c:order val="1"/>
          <c:tx>
            <c:strRef>
              <c:f>'Growth Rates Annualised'!$G$2</c:f>
              <c:strCache>
                <c:ptCount val="1"/>
                <c:pt idx="0">
                  <c:v>Electricity, gas and water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'National Contributions'!$G$3:$G$21</c:f>
              <c:numCache>
                <c:formatCode>0.00</c:formatCode>
                <c:ptCount val="19"/>
                <c:pt idx="0">
                  <c:v>17.394424395032733</c:v>
                </c:pt>
                <c:pt idx="1">
                  <c:v>17.437448848651616</c:v>
                </c:pt>
                <c:pt idx="2">
                  <c:v>17.360777291784693</c:v>
                </c:pt>
                <c:pt idx="3">
                  <c:v>17.395691743275385</c:v>
                </c:pt>
                <c:pt idx="4">
                  <c:v>17.493376540370143</c:v>
                </c:pt>
                <c:pt idx="5">
                  <c:v>17.96297050774983</c:v>
                </c:pt>
                <c:pt idx="6">
                  <c:v>18.624138114185424</c:v>
                </c:pt>
                <c:pt idx="7">
                  <c:v>19.740467884872988</c:v>
                </c:pt>
                <c:pt idx="8">
                  <c:v>16.967710933151565</c:v>
                </c:pt>
                <c:pt idx="9">
                  <c:v>17.052465721431251</c:v>
                </c:pt>
                <c:pt idx="10">
                  <c:v>17.241025320976643</c:v>
                </c:pt>
                <c:pt idx="11">
                  <c:v>17.221399657186506</c:v>
                </c:pt>
                <c:pt idx="12">
                  <c:v>17.213096978064851</c:v>
                </c:pt>
                <c:pt idx="13">
                  <c:v>17.051086524917196</c:v>
                </c:pt>
                <c:pt idx="14">
                  <c:v>16.618197465305862</c:v>
                </c:pt>
                <c:pt idx="15">
                  <c:v>16.413865283574889</c:v>
                </c:pt>
                <c:pt idx="16">
                  <c:v>16.367918182125912</c:v>
                </c:pt>
                <c:pt idx="17">
                  <c:v>16.090187366730888</c:v>
                </c:pt>
                <c:pt idx="18">
                  <c:v>16.04424026528191</c:v>
                </c:pt>
              </c:numCache>
            </c:numRef>
          </c:val>
        </c:ser>
        <c:ser>
          <c:idx val="2"/>
          <c:order val="2"/>
          <c:tx>
            <c:strRef>
              <c:f>'Prov Contributions'!$H$2</c:f>
              <c:strCache>
                <c:ptCount val="1"/>
                <c:pt idx="0">
                  <c:v>Construction</c:v>
                </c:pt>
              </c:strCache>
            </c:strRef>
          </c:tx>
          <c:spPr>
            <a:ln w="2540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'National Contributions'!$H$3:$H$21</c:f>
              <c:numCache>
                <c:formatCode>0.00</c:formatCode>
                <c:ptCount val="19"/>
                <c:pt idx="0">
                  <c:v>18.021026255675061</c:v>
                </c:pt>
                <c:pt idx="1">
                  <c:v>17.359219109142639</c:v>
                </c:pt>
                <c:pt idx="2">
                  <c:v>17.741225030152609</c:v>
                </c:pt>
                <c:pt idx="3">
                  <c:v>16.730717828698115</c:v>
                </c:pt>
                <c:pt idx="4">
                  <c:v>15.994736511913807</c:v>
                </c:pt>
                <c:pt idx="5">
                  <c:v>15.736125154649914</c:v>
                </c:pt>
                <c:pt idx="6">
                  <c:v>20.11282426500772</c:v>
                </c:pt>
                <c:pt idx="7">
                  <c:v>15.015438752176033</c:v>
                </c:pt>
                <c:pt idx="8">
                  <c:v>14.605835703544892</c:v>
                </c:pt>
                <c:pt idx="9">
                  <c:v>14.642918571793631</c:v>
                </c:pt>
                <c:pt idx="10">
                  <c:v>14.856964538276088</c:v>
                </c:pt>
                <c:pt idx="11">
                  <c:v>14.475115133338415</c:v>
                </c:pt>
                <c:pt idx="12">
                  <c:v>14.402203941806956</c:v>
                </c:pt>
                <c:pt idx="13">
                  <c:v>14.406379193090052</c:v>
                </c:pt>
                <c:pt idx="14">
                  <c:v>14.48872747187227</c:v>
                </c:pt>
                <c:pt idx="15">
                  <c:v>14.618351537961461</c:v>
                </c:pt>
                <c:pt idx="16">
                  <c:v>14.638271523475849</c:v>
                </c:pt>
                <c:pt idx="17">
                  <c:v>14.668387352177628</c:v>
                </c:pt>
                <c:pt idx="18">
                  <c:v>14.688307337692017</c:v>
                </c:pt>
              </c:numCache>
            </c:numRef>
          </c:val>
        </c:ser>
        <c:marker val="1"/>
        <c:axId val="224228480"/>
        <c:axId val="224230016"/>
      </c:lineChart>
      <c:catAx>
        <c:axId val="22422848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230016"/>
        <c:crosses val="autoZero"/>
        <c:auto val="1"/>
        <c:lblAlgn val="ctr"/>
        <c:lblOffset val="100"/>
        <c:tickLblSkip val="1"/>
        <c:tickMarkSkip val="1"/>
      </c:catAx>
      <c:valAx>
        <c:axId val="224230016"/>
        <c:scaling>
          <c:orientation val="minMax"/>
          <c:min val="10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228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021069692058352"/>
          <c:y val="1.6556291390728482E-2"/>
          <c:w val="0.75040518638573783"/>
          <c:h val="0.1059602649006622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FFEFD1"/>
        </a:gs>
        <a:gs pos="64999">
          <a:srgbClr val="F0EBD5"/>
        </a:gs>
        <a:gs pos="100000">
          <a:srgbClr val="D1C39F"/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7.9416531604539875E-2"/>
          <c:y val="8.6092715231787992E-2"/>
          <c:w val="0.91410048622366291"/>
          <c:h val="0.79801324503311255"/>
        </c:manualLayout>
      </c:layout>
      <c:lineChart>
        <c:grouping val="standard"/>
        <c:ser>
          <c:idx val="0"/>
          <c:order val="0"/>
          <c:tx>
            <c:strRef>
              <c:f>'Growth Rates Annualised'!$J$2</c:f>
              <c:strCache>
                <c:ptCount val="1"/>
                <c:pt idx="0">
                  <c:v>Wholesale &amp; retail trade; hotels &amp; restaurants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'National Contributions'!$J$3:$J$21</c:f>
              <c:numCache>
                <c:formatCode>0.00</c:formatCode>
                <c:ptCount val="19"/>
                <c:pt idx="0">
                  <c:v>16.221638337702217</c:v>
                </c:pt>
                <c:pt idx="1">
                  <c:v>15.994350895442441</c:v>
                </c:pt>
                <c:pt idx="2">
                  <c:v>16.018920192772622</c:v>
                </c:pt>
                <c:pt idx="3">
                  <c:v>15.95265306467798</c:v>
                </c:pt>
                <c:pt idx="4">
                  <c:v>15.886446309168086</c:v>
                </c:pt>
                <c:pt idx="5">
                  <c:v>15.907644363038081</c:v>
                </c:pt>
                <c:pt idx="6">
                  <c:v>16.830560217380356</c:v>
                </c:pt>
                <c:pt idx="7">
                  <c:v>16.855167509338223</c:v>
                </c:pt>
                <c:pt idx="8">
                  <c:v>16.986960353160484</c:v>
                </c:pt>
                <c:pt idx="9">
                  <c:v>16.993237452780324</c:v>
                </c:pt>
                <c:pt idx="10">
                  <c:v>16.901343225819275</c:v>
                </c:pt>
                <c:pt idx="11">
                  <c:v>16.971881141033606</c:v>
                </c:pt>
                <c:pt idx="12">
                  <c:v>17.017461053830267</c:v>
                </c:pt>
                <c:pt idx="13">
                  <c:v>17.029913658685924</c:v>
                </c:pt>
                <c:pt idx="14">
                  <c:v>17.250742552403143</c:v>
                </c:pt>
                <c:pt idx="15">
                  <c:v>17.311026505830274</c:v>
                </c:pt>
                <c:pt idx="16">
                  <c:v>17.42166537618585</c:v>
                </c:pt>
                <c:pt idx="17">
                  <c:v>17.408256794684146</c:v>
                </c:pt>
                <c:pt idx="18">
                  <c:v>17.518895665039722</c:v>
                </c:pt>
              </c:numCache>
            </c:numRef>
          </c:val>
        </c:ser>
        <c:ser>
          <c:idx val="1"/>
          <c:order val="1"/>
          <c:tx>
            <c:strRef>
              <c:f>'Growth Rates Annualised'!$K$2</c:f>
              <c:strCache>
                <c:ptCount val="1"/>
                <c:pt idx="0">
                  <c:v>Transport , storage and communication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'National Contributions'!$K$3:$K$21</c:f>
              <c:numCache>
                <c:formatCode>0.00</c:formatCode>
                <c:ptCount val="19"/>
                <c:pt idx="0">
                  <c:v>23.298915716145348</c:v>
                </c:pt>
                <c:pt idx="1">
                  <c:v>22.940361987658573</c:v>
                </c:pt>
                <c:pt idx="2">
                  <c:v>22.505408413821069</c:v>
                </c:pt>
                <c:pt idx="3">
                  <c:v>22.298198069022995</c:v>
                </c:pt>
                <c:pt idx="4">
                  <c:v>21.94878675011271</c:v>
                </c:pt>
                <c:pt idx="5">
                  <c:v>21.574755848773226</c:v>
                </c:pt>
                <c:pt idx="6">
                  <c:v>21.251602756521976</c:v>
                </c:pt>
                <c:pt idx="7">
                  <c:v>21.320844334825697</c:v>
                </c:pt>
                <c:pt idx="8">
                  <c:v>21.449794927729112</c:v>
                </c:pt>
                <c:pt idx="9">
                  <c:v>21.366280723176697</c:v>
                </c:pt>
                <c:pt idx="10">
                  <c:v>21.492346887981416</c:v>
                </c:pt>
                <c:pt idx="11">
                  <c:v>21.509593894127963</c:v>
                </c:pt>
                <c:pt idx="12">
                  <c:v>21.616175231127357</c:v>
                </c:pt>
                <c:pt idx="13">
                  <c:v>21.657882834503276</c:v>
                </c:pt>
                <c:pt idx="14">
                  <c:v>21.804528997398211</c:v>
                </c:pt>
                <c:pt idx="15">
                  <c:v>21.944372290807664</c:v>
                </c:pt>
                <c:pt idx="16">
                  <c:v>21.898403808403053</c:v>
                </c:pt>
                <c:pt idx="17">
                  <c:v>21.92974782182343</c:v>
                </c:pt>
                <c:pt idx="18">
                  <c:v>21.883779339418819</c:v>
                </c:pt>
              </c:numCache>
            </c:numRef>
          </c:val>
        </c:ser>
        <c:ser>
          <c:idx val="2"/>
          <c:order val="2"/>
          <c:tx>
            <c:strRef>
              <c:f>'Prov Contributions'!$L$2</c:f>
              <c:strCache>
                <c:ptCount val="1"/>
                <c:pt idx="0">
                  <c:v>Finance, real estate and business services</c:v>
                </c:pt>
              </c:strCache>
            </c:strRef>
          </c:tx>
          <c:spPr>
            <a:ln w="25400">
              <a:solidFill>
                <a:schemeClr val="tx2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'National Contributions'!$L$3:$L$21</c:f>
              <c:numCache>
                <c:formatCode>0.00</c:formatCode>
                <c:ptCount val="19"/>
                <c:pt idx="0">
                  <c:v>13.96366999336583</c:v>
                </c:pt>
                <c:pt idx="1">
                  <c:v>13.971525098825246</c:v>
                </c:pt>
                <c:pt idx="2">
                  <c:v>13.909301706717011</c:v>
                </c:pt>
                <c:pt idx="3">
                  <c:v>13.926272136340042</c:v>
                </c:pt>
                <c:pt idx="4">
                  <c:v>14.054891981405232</c:v>
                </c:pt>
                <c:pt idx="5">
                  <c:v>13.784242501565606</c:v>
                </c:pt>
                <c:pt idx="6">
                  <c:v>13.469803844116612</c:v>
                </c:pt>
                <c:pt idx="7">
                  <c:v>13.314981560134084</c:v>
                </c:pt>
                <c:pt idx="8">
                  <c:v>13.415398999002409</c:v>
                </c:pt>
                <c:pt idx="9">
                  <c:v>13.436770914754915</c:v>
                </c:pt>
                <c:pt idx="10">
                  <c:v>14.055377460510101</c:v>
                </c:pt>
                <c:pt idx="11">
                  <c:v>13.805498267458319</c:v>
                </c:pt>
                <c:pt idx="12">
                  <c:v>13.791428331998443</c:v>
                </c:pt>
                <c:pt idx="13">
                  <c:v>13.794007631768842</c:v>
                </c:pt>
                <c:pt idx="14">
                  <c:v>13.87903413808192</c:v>
                </c:pt>
                <c:pt idx="15">
                  <c:v>13.917218898925091</c:v>
                </c:pt>
                <c:pt idx="16">
                  <c:v>13.929091936341054</c:v>
                </c:pt>
                <c:pt idx="17">
                  <c:v>13.881470714850137</c:v>
                </c:pt>
                <c:pt idx="18">
                  <c:v>13.8933437522661</c:v>
                </c:pt>
              </c:numCache>
            </c:numRef>
          </c:val>
        </c:ser>
        <c:ser>
          <c:idx val="3"/>
          <c:order val="3"/>
          <c:tx>
            <c:strRef>
              <c:f>'Prov Contributions'!$M$2</c:f>
              <c:strCache>
                <c:ptCount val="1"/>
                <c:pt idx="0">
                  <c:v>Personal services</c:v>
                </c:pt>
              </c:strCache>
            </c:strRef>
          </c:tx>
          <c:spPr>
            <a:ln w="2540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'National Contributions'!$M$3:$M$21</c:f>
              <c:numCache>
                <c:formatCode>0.00</c:formatCode>
                <c:ptCount val="19"/>
                <c:pt idx="0">
                  <c:v>16.393127682742588</c:v>
                </c:pt>
                <c:pt idx="1">
                  <c:v>16.38373416331515</c:v>
                </c:pt>
                <c:pt idx="2">
                  <c:v>16.37237357809774</c:v>
                </c:pt>
                <c:pt idx="3">
                  <c:v>16.373798743141759</c:v>
                </c:pt>
                <c:pt idx="4">
                  <c:v>16.346473787300845</c:v>
                </c:pt>
                <c:pt idx="5">
                  <c:v>16.329207295355932</c:v>
                </c:pt>
                <c:pt idx="6">
                  <c:v>16.342478909775245</c:v>
                </c:pt>
                <c:pt idx="7">
                  <c:v>16.334138374740981</c:v>
                </c:pt>
                <c:pt idx="8">
                  <c:v>16.336224473785794</c:v>
                </c:pt>
                <c:pt idx="9">
                  <c:v>16.339683662393629</c:v>
                </c:pt>
                <c:pt idx="10">
                  <c:v>16.273577472725488</c:v>
                </c:pt>
                <c:pt idx="11">
                  <c:v>16.286643012727431</c:v>
                </c:pt>
                <c:pt idx="12">
                  <c:v>16.278713374167843</c:v>
                </c:pt>
                <c:pt idx="13">
                  <c:v>16.2540204471664</c:v>
                </c:pt>
                <c:pt idx="14">
                  <c:v>16.390382360697977</c:v>
                </c:pt>
                <c:pt idx="15">
                  <c:v>16.428510860577248</c:v>
                </c:pt>
                <c:pt idx="16">
                  <c:v>16.466810621429204</c:v>
                </c:pt>
                <c:pt idx="17">
                  <c:v>16.496782777609397</c:v>
                </c:pt>
                <c:pt idx="18">
                  <c:v>16.535082538461353</c:v>
                </c:pt>
              </c:numCache>
            </c:numRef>
          </c:val>
        </c:ser>
        <c:ser>
          <c:idx val="4"/>
          <c:order val="4"/>
          <c:tx>
            <c:strRef>
              <c:f>'Prov Contributions'!$N$2</c:f>
              <c:strCache>
                <c:ptCount val="1"/>
                <c:pt idx="0">
                  <c:v>General government services</c:v>
                </c:pt>
              </c:strCache>
            </c:strRef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'Prov Contributions'!$A$3:$A$20</c:f>
              <c:numCache>
                <c:formatCode>General</c:formatCode>
                <c:ptCount val="1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</c:numCache>
            </c:numRef>
          </c:cat>
          <c:val>
            <c:numRef>
              <c:f>'National Contributions'!$N$3:$N$21</c:f>
              <c:numCache>
                <c:formatCode>0.00</c:formatCode>
                <c:ptCount val="19"/>
                <c:pt idx="0">
                  <c:v>13.657638702721981</c:v>
                </c:pt>
                <c:pt idx="1">
                  <c:v>13.905927119607151</c:v>
                </c:pt>
                <c:pt idx="2">
                  <c:v>13.463213711045732</c:v>
                </c:pt>
                <c:pt idx="3">
                  <c:v>13.824963758222243</c:v>
                </c:pt>
                <c:pt idx="4">
                  <c:v>13.458471855703719</c:v>
                </c:pt>
                <c:pt idx="5">
                  <c:v>13.544797370282682</c:v>
                </c:pt>
                <c:pt idx="6">
                  <c:v>13.799913170715916</c:v>
                </c:pt>
                <c:pt idx="7">
                  <c:v>13.758766379982374</c:v>
                </c:pt>
                <c:pt idx="8">
                  <c:v>13.682483003389892</c:v>
                </c:pt>
                <c:pt idx="9">
                  <c:v>13.606767511955873</c:v>
                </c:pt>
                <c:pt idx="10">
                  <c:v>13.632320532741046</c:v>
                </c:pt>
                <c:pt idx="11">
                  <c:v>13.621477002832988</c:v>
                </c:pt>
                <c:pt idx="12">
                  <c:v>13.646462172717289</c:v>
                </c:pt>
                <c:pt idx="13">
                  <c:v>13.696980285372415</c:v>
                </c:pt>
                <c:pt idx="14">
                  <c:v>13.695367743354053</c:v>
                </c:pt>
                <c:pt idx="15">
                  <c:v>13.76303350614703</c:v>
                </c:pt>
                <c:pt idx="16">
                  <c:v>13.763432996179073</c:v>
                </c:pt>
                <c:pt idx="17">
                  <c:v>13.75349292776756</c:v>
                </c:pt>
                <c:pt idx="18">
                  <c:v>13.753892417799603</c:v>
                </c:pt>
              </c:numCache>
            </c:numRef>
          </c:val>
        </c:ser>
        <c:marker val="1"/>
        <c:axId val="224417280"/>
        <c:axId val="224418816"/>
      </c:lineChart>
      <c:catAx>
        <c:axId val="22441728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418816"/>
        <c:crosses val="autoZero"/>
        <c:auto val="1"/>
        <c:lblAlgn val="ctr"/>
        <c:lblOffset val="100"/>
        <c:tickLblSkip val="1"/>
        <c:tickMarkSkip val="1"/>
      </c:catAx>
      <c:valAx>
        <c:axId val="224418816"/>
        <c:scaling>
          <c:orientation val="minMax"/>
          <c:min val="11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417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317666126418302"/>
          <c:y val="1.6556291390728482E-2"/>
          <c:w val="0.50297136682874111"/>
          <c:h val="0.2384105960264933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FFEFD1"/>
        </a:gs>
        <a:gs pos="64999">
          <a:srgbClr val="F0EBD5"/>
        </a:gs>
        <a:gs pos="100000">
          <a:srgbClr val="D1C39F"/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1428628047499693E-2"/>
          <c:y val="1.3289058102318623E-2"/>
          <c:w val="0.90746825178527957"/>
          <c:h val="0.87043330570185851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Annualised'!$C$2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'National Contributions'!$C$22</c:f>
              <c:numCache>
                <c:formatCode>0.00</c:formatCode>
                <c:ptCount val="1"/>
                <c:pt idx="0">
                  <c:v>29.038650071022964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Annualised'!$D$2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'National Contributions'!$D$22</c:f>
              <c:numCache>
                <c:formatCode>0.00</c:formatCode>
                <c:ptCount val="1"/>
                <c:pt idx="0">
                  <c:v>4.1202907239738256</c:v>
                </c:pt>
              </c:numCache>
            </c:numRef>
          </c:val>
          <c:shape val="cylinder"/>
        </c:ser>
        <c:shape val="box"/>
        <c:axId val="224443392"/>
        <c:axId val="224330496"/>
        <c:axId val="0"/>
      </c:bar3DChart>
      <c:catAx>
        <c:axId val="224443392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330496"/>
        <c:crosses val="autoZero"/>
        <c:auto val="1"/>
        <c:lblAlgn val="ctr"/>
        <c:lblOffset val="100"/>
        <c:tickLblSkip val="1"/>
        <c:tickMarkSkip val="1"/>
      </c:catAx>
      <c:valAx>
        <c:axId val="224330496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4433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474043017350301"/>
          <c:y val="1.6611295681063183E-2"/>
          <c:w val="0.83603964277192655"/>
          <c:h val="9.96677740863787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E6DCAC"/>
        </a:gs>
        <a:gs pos="12000">
          <a:srgbClr val="E6D78A"/>
        </a:gs>
        <a:gs pos="30000">
          <a:srgbClr val="C7AC4C"/>
        </a:gs>
        <a:gs pos="45000">
          <a:srgbClr val="E6D78A"/>
        </a:gs>
        <a:gs pos="77000">
          <a:srgbClr val="C7AC4C"/>
        </a:gs>
        <a:gs pos="100000">
          <a:srgbClr val="E6DCAC"/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1312803889789333E-2"/>
          <c:y val="1.3245033112582781E-2"/>
          <c:w val="0.90761750405186359"/>
          <c:h val="0.87086092715231789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Annualised'!$F$2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'National Contributions'!$F$22</c:f>
              <c:numCache>
                <c:formatCode>0.00</c:formatCode>
                <c:ptCount val="1"/>
                <c:pt idx="0">
                  <c:v>21.171238012298947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Annualised'!$G$2</c:f>
              <c:strCache>
                <c:ptCount val="1"/>
                <c:pt idx="0">
                  <c:v>Electricity, gas and water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'National Contributions'!$G$22</c:f>
              <c:numCache>
                <c:formatCode>0.00</c:formatCode>
                <c:ptCount val="1"/>
                <c:pt idx="0">
                  <c:v>17.246867843403699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'Prov Contributions'!$H$2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'National Contributions'!$H$22</c:f>
              <c:numCache>
                <c:formatCode>0.00</c:formatCode>
                <c:ptCount val="1"/>
                <c:pt idx="0">
                  <c:v>15.642251326970801</c:v>
                </c:pt>
              </c:numCache>
            </c:numRef>
          </c:val>
          <c:shape val="cylinder"/>
        </c:ser>
        <c:shape val="box"/>
        <c:axId val="224372992"/>
        <c:axId val="224374784"/>
        <c:axId val="0"/>
      </c:bar3DChart>
      <c:catAx>
        <c:axId val="224372992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374784"/>
        <c:crosses val="autoZero"/>
        <c:auto val="1"/>
        <c:lblAlgn val="ctr"/>
        <c:lblOffset val="100"/>
        <c:tickLblSkip val="1"/>
        <c:tickMarkSkip val="1"/>
      </c:catAx>
      <c:valAx>
        <c:axId val="224374784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3729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45218800648299"/>
          <c:y val="1.6556291390728482E-2"/>
          <c:w val="0.83468395461913192"/>
          <c:h val="9.9337748344371063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gradFill>
      <a:gsLst>
        <a:gs pos="0">
          <a:srgbClr val="E6DCAC"/>
        </a:gs>
        <a:gs pos="12000">
          <a:srgbClr val="E6D78A"/>
        </a:gs>
        <a:gs pos="30000">
          <a:srgbClr val="C7AC4C"/>
        </a:gs>
        <a:gs pos="45000">
          <a:srgbClr val="E6D78A"/>
        </a:gs>
        <a:gs pos="77000">
          <a:srgbClr val="C7AC4C"/>
        </a:gs>
        <a:gs pos="100000">
          <a:srgbClr val="E6DCAC"/>
        </a:gs>
      </a:gsLst>
      <a:lin ang="5400000" scaled="0"/>
    </a:gra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48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1197523509436533E-2"/>
          <c:y val="1.3201362679721919E-2"/>
          <c:w val="0.90776842474531116"/>
          <c:h val="0.8712899368616468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 Annualised'!$J$2</c:f>
              <c:strCache>
                <c:ptCount val="1"/>
                <c:pt idx="0">
                  <c:v>Wholesale &amp; retail trade; hotels &amp; restaurants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'National Contributions'!$J$22</c:f>
              <c:numCache>
                <c:formatCode>0.00</c:formatCode>
                <c:ptCount val="1"/>
                <c:pt idx="0">
                  <c:v>16.76204024573542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 Annualised'!$K$2</c:f>
              <c:strCache>
                <c:ptCount val="1"/>
                <c:pt idx="0">
                  <c:v>Transport , storage and communication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'Prov Contributions'!$A$21</c:f>
              <c:strCache>
                <c:ptCount val="1"/>
                <c:pt idx="0">
                  <c:v>Average Yearly Contributions</c:v>
                </c:pt>
              </c:strCache>
            </c:strRef>
          </c:cat>
          <c:val>
            <c:numRef>
              <c:f>'National Contributions'!$K$22</c:f>
              <c:numCache>
                <c:formatCode>0.00</c:formatCode>
                <c:ptCount val="1"/>
                <c:pt idx="0">
                  <c:v>21.878514770177816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'Prov Contributions'!$L$2</c:f>
              <c:strCache>
                <c:ptCount val="1"/>
                <c:pt idx="0">
                  <c:v>Finance, real estate and business services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'National Contributions'!$L$22</c:f>
              <c:numCache>
                <c:formatCode>0.00</c:formatCode>
                <c:ptCount val="1"/>
                <c:pt idx="0">
                  <c:v>13.799648940443525</c:v>
                </c:pt>
              </c:numCache>
            </c:numRef>
          </c:val>
          <c:shape val="cylinder"/>
        </c:ser>
        <c:ser>
          <c:idx val="3"/>
          <c:order val="3"/>
          <c:tx>
            <c:strRef>
              <c:f>'Prov Contributions'!$M$2</c:f>
              <c:strCache>
                <c:ptCount val="1"/>
                <c:pt idx="0">
                  <c:v>Personal services</c:v>
                </c:pt>
              </c:strCache>
            </c:strRef>
          </c:tx>
          <c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'National Contributions'!$M$22</c:f>
              <c:numCache>
                <c:formatCode>0.00</c:formatCode>
                <c:ptCount val="1"/>
                <c:pt idx="0">
                  <c:v>16.366408638747998</c:v>
                </c:pt>
              </c:numCache>
            </c:numRef>
          </c:val>
          <c:shape val="cylinder"/>
        </c:ser>
        <c:ser>
          <c:idx val="4"/>
          <c:order val="4"/>
          <c:tx>
            <c:strRef>
              <c:f>'Prov Contributions'!$N$2</c:f>
              <c:strCache>
                <c:ptCount val="1"/>
                <c:pt idx="0">
                  <c:v>General government services</c:v>
                </c:pt>
              </c:strCache>
            </c:strRef>
          </c:tx>
          <c:spPr>
            <a:solidFill>
              <a:srgbClr val="7030A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'National Contributions'!$N$22</c:f>
              <c:numCache>
                <c:formatCode>0.00</c:formatCode>
                <c:ptCount val="1"/>
                <c:pt idx="0">
                  <c:v>13.685758008870451</c:v>
                </c:pt>
              </c:numCache>
            </c:numRef>
          </c:val>
          <c:shape val="cylinder"/>
        </c:ser>
        <c:shape val="box"/>
        <c:axId val="224480256"/>
        <c:axId val="224486144"/>
        <c:axId val="0"/>
      </c:bar3DChart>
      <c:catAx>
        <c:axId val="224480256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486144"/>
        <c:crosses val="autoZero"/>
        <c:auto val="1"/>
        <c:lblAlgn val="ctr"/>
        <c:lblOffset val="100"/>
        <c:tickLblSkip val="1"/>
        <c:tickMarkSkip val="1"/>
      </c:catAx>
      <c:valAx>
        <c:axId val="224486144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480256"/>
        <c:crosses val="autoZero"/>
        <c:crossBetween val="between"/>
      </c:valAx>
      <c:spPr>
        <a:gradFill>
          <a:gsLst>
            <a:gs pos="0">
              <a:srgbClr val="E6DCAC"/>
            </a:gs>
            <a:gs pos="12000">
              <a:srgbClr val="E6D78A"/>
            </a:gs>
            <a:gs pos="30000">
              <a:srgbClr val="C7AC4C"/>
            </a:gs>
            <a:gs pos="45000">
              <a:srgbClr val="E6D78A"/>
            </a:gs>
            <a:gs pos="77000">
              <a:srgbClr val="C7AC4C"/>
            </a:gs>
            <a:gs pos="100000">
              <a:srgbClr val="E6DCAC"/>
            </a:gs>
          </a:gsLst>
          <a:lin ang="5400000" scaled="0"/>
        </a:gradFill>
        <a:ln w="25400">
          <a:noFill/>
        </a:ln>
      </c:spPr>
    </c:plotArea>
    <c:legend>
      <c:legendPos val="r"/>
      <c:layout>
        <c:manualLayout>
          <c:xMode val="edge"/>
          <c:yMode val="edge"/>
          <c:x val="3.236245954692557E-2"/>
          <c:y val="1.6501650165016681E-2"/>
          <c:w val="0.93689473281860236"/>
          <c:h val="0.145214867943487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543E-2"/>
          <c:y val="3.8152988608382718E-2"/>
          <c:w val="0.91042422686294056"/>
          <c:h val="0.92369402278323465"/>
        </c:manualLayout>
      </c:layout>
      <c:lineChart>
        <c:grouping val="standard"/>
        <c:ser>
          <c:idx val="1"/>
          <c:order val="0"/>
          <c:tx>
            <c:strRef>
              <c:f>'GDP Durban'!$O$2</c:f>
              <c:strCache>
                <c:ptCount val="1"/>
                <c:pt idx="0">
                  <c:v>Durban Annual Rate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28575">
                <a:solidFill>
                  <a:srgbClr val="0070C0"/>
                </a:solidFill>
              </a:ln>
            </c:spPr>
            <c:trendlineType val="poly"/>
            <c:order val="6"/>
          </c:trendline>
          <c:cat>
            <c:strRef>
              <c:f>'GDP Durban'!$A$11:$A$54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Durban'!$O$11:$O$54</c:f>
              <c:numCache>
                <c:formatCode>0.00</c:formatCode>
                <c:ptCount val="44"/>
                <c:pt idx="0">
                  <c:v>3.0618440911188993</c:v>
                </c:pt>
                <c:pt idx="1">
                  <c:v>3.4306495272393116</c:v>
                </c:pt>
                <c:pt idx="2">
                  <c:v>2.7621505225328331</c:v>
                </c:pt>
                <c:pt idx="3">
                  <c:v>1.7460109430648267</c:v>
                </c:pt>
                <c:pt idx="4">
                  <c:v>3.3654995899011109</c:v>
                </c:pt>
                <c:pt idx="5">
                  <c:v>3.2269541248739237</c:v>
                </c:pt>
                <c:pt idx="6">
                  <c:v>5.2008073127597658</c:v>
                </c:pt>
                <c:pt idx="7">
                  <c:v>6.1388701437537891</c:v>
                </c:pt>
                <c:pt idx="8">
                  <c:v>5.9501595515856991</c:v>
                </c:pt>
                <c:pt idx="9">
                  <c:v>5.1487254835381506</c:v>
                </c:pt>
                <c:pt idx="10">
                  <c:v>6.1613268734800775</c:v>
                </c:pt>
                <c:pt idx="11">
                  <c:v>5.7838691754895466</c:v>
                </c:pt>
                <c:pt idx="12">
                  <c:v>5.3775283645018899</c:v>
                </c:pt>
                <c:pt idx="13">
                  <c:v>4.871497451745693</c:v>
                </c:pt>
                <c:pt idx="14">
                  <c:v>5.0686275926108113</c:v>
                </c:pt>
                <c:pt idx="15">
                  <c:v>6.7834417443122064</c:v>
                </c:pt>
                <c:pt idx="16">
                  <c:v>6.9781709506472627</c:v>
                </c:pt>
                <c:pt idx="17">
                  <c:v>5.9247394517156655</c:v>
                </c:pt>
                <c:pt idx="18">
                  <c:v>5.3181559214108711</c:v>
                </c:pt>
                <c:pt idx="19">
                  <c:v>5.3652296027814339</c:v>
                </c:pt>
                <c:pt idx="20">
                  <c:v>6.659381241901956</c:v>
                </c:pt>
                <c:pt idx="21">
                  <c:v>8.0239697053462784</c:v>
                </c:pt>
                <c:pt idx="22">
                  <c:v>5.9989353934874128</c:v>
                </c:pt>
                <c:pt idx="23">
                  <c:v>0.10931599632623107</c:v>
                </c:pt>
                <c:pt idx="24">
                  <c:v>-4.1833807471969031</c:v>
                </c:pt>
                <c:pt idx="25">
                  <c:v>-6.5464750007682104</c:v>
                </c:pt>
                <c:pt idx="26">
                  <c:v>-5.0283678005535855</c:v>
                </c:pt>
                <c:pt idx="27">
                  <c:v>-0.91554574812301315</c:v>
                </c:pt>
                <c:pt idx="28">
                  <c:v>4.3060638147890655</c:v>
                </c:pt>
                <c:pt idx="29">
                  <c:v>6.272766037276531</c:v>
                </c:pt>
                <c:pt idx="30">
                  <c:v>5.5222184710701585</c:v>
                </c:pt>
                <c:pt idx="31">
                  <c:v>4.9256777562049203</c:v>
                </c:pt>
                <c:pt idx="32">
                  <c:v>3.9312491107488516</c:v>
                </c:pt>
                <c:pt idx="33">
                  <c:v>3.2708365816054679</c:v>
                </c:pt>
                <c:pt idx="34">
                  <c:v>3.3537663260483965</c:v>
                </c:pt>
                <c:pt idx="35">
                  <c:v>3.4158515091313304</c:v>
                </c:pt>
                <c:pt idx="36">
                  <c:v>2.6359484482291409</c:v>
                </c:pt>
                <c:pt idx="37">
                  <c:v>2.615897726678631</c:v>
                </c:pt>
                <c:pt idx="38">
                  <c:v>1.8209741207855481</c:v>
                </c:pt>
                <c:pt idx="39">
                  <c:v>2.3744561087979377</c:v>
                </c:pt>
                <c:pt idx="40">
                  <c:v>1.8002662612428868</c:v>
                </c:pt>
                <c:pt idx="41">
                  <c:v>2.9441686100248177</c:v>
                </c:pt>
                <c:pt idx="42">
                  <c:v>1.7251089294049622</c:v>
                </c:pt>
                <c:pt idx="43">
                  <c:v>1.7730539992569583</c:v>
                </c:pt>
              </c:numCache>
            </c:numRef>
          </c:val>
        </c:ser>
        <c:marker val="1"/>
        <c:axId val="224552064"/>
        <c:axId val="224553600"/>
      </c:lineChart>
      <c:catAx>
        <c:axId val="22455206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>
                <a:solidFill>
                  <a:schemeClr val="tx1"/>
                </a:solidFill>
              </a:defRPr>
            </a:pPr>
            <a:endParaRPr lang="en-US"/>
          </a:p>
        </c:txPr>
        <c:crossAx val="224553600"/>
        <c:crosses val="autoZero"/>
        <c:auto val="1"/>
        <c:lblAlgn val="ctr"/>
        <c:lblOffset val="100"/>
      </c:catAx>
      <c:valAx>
        <c:axId val="224553600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455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848244881590489"/>
          <c:y val="0.7746290793839552"/>
          <c:w val="0.34362946934940408"/>
          <c:h val="0.13911056572473887"/>
        </c:manualLayout>
      </c:layout>
      <c:spPr>
        <a:solidFill>
          <a:schemeClr val="dk1"/>
        </a:solidFill>
        <a:ln w="38100" cap="flat" cmpd="sng" algn="ctr">
          <a:solidFill>
            <a:schemeClr val="lt1"/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/>
        <a:lstStyle/>
        <a:p>
          <a:pPr>
            <a:defRPr lang="en-ZA" sz="120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accent4"/>
    </a:solidFill>
    <a:ln w="38100" cap="flat" cmpd="sng" algn="ctr">
      <a:solidFill>
        <a:schemeClr val="lt1"/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744" l="0.70000000000000062" r="0.70000000000000062" t="0.75000000000000744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613E-2"/>
          <c:y val="3.8152988608382718E-2"/>
          <c:w val="0.91042422686294056"/>
          <c:h val="0.92369402278323465"/>
        </c:manualLayout>
      </c:layout>
      <c:lineChart>
        <c:grouping val="standard"/>
        <c:ser>
          <c:idx val="1"/>
          <c:order val="0"/>
          <c:tx>
            <c:strRef>
              <c:f>'GDP Durban'!$N$2</c:f>
              <c:strCache>
                <c:ptCount val="1"/>
                <c:pt idx="0">
                  <c:v>Durban Quarterly Rate</c:v>
                </c:pt>
              </c:strCache>
            </c:strRef>
          </c:tx>
          <c:spPr>
            <a:ln w="44450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34925">
                <a:solidFill>
                  <a:srgbClr val="0070C0"/>
                </a:solidFill>
              </a:ln>
            </c:spPr>
            <c:trendlineType val="poly"/>
            <c:order val="6"/>
          </c:trendline>
          <c:cat>
            <c:strRef>
              <c:f>'GDP Durban'!$A$11:$A$54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Durban'!$N$11:$N$54</c:f>
              <c:numCache>
                <c:formatCode>0.00</c:formatCode>
                <c:ptCount val="44"/>
                <c:pt idx="0">
                  <c:v>-3.7406312903585808</c:v>
                </c:pt>
                <c:pt idx="1">
                  <c:v>6.3924065400689942</c:v>
                </c:pt>
                <c:pt idx="2">
                  <c:v>-0.41420956814538701</c:v>
                </c:pt>
                <c:pt idx="3">
                  <c:v>-0.23771799783022579</c:v>
                </c:pt>
                <c:pt idx="4">
                  <c:v>-2.2084733872430884</c:v>
                </c:pt>
                <c:pt idx="5">
                  <c:v>6.2498039744360065</c:v>
                </c:pt>
                <c:pt idx="6">
                  <c:v>1.4900191440014332</c:v>
                </c:pt>
                <c:pt idx="7">
                  <c:v>0.65185016302198506</c:v>
                </c:pt>
                <c:pt idx="8">
                  <c:v>-2.3823427422788126</c:v>
                </c:pt>
                <c:pt idx="9">
                  <c:v>5.4461033194405104</c:v>
                </c:pt>
                <c:pt idx="10">
                  <c:v>2.46738652508812</c:v>
                </c:pt>
                <c:pt idx="11">
                  <c:v>0.29398146657756691</c:v>
                </c:pt>
                <c:pt idx="12">
                  <c:v>-2.75731520571758</c:v>
                </c:pt>
                <c:pt idx="13">
                  <c:v>4.9397431045306348</c:v>
                </c:pt>
                <c:pt idx="14">
                  <c:v>2.6599975855820879</c:v>
                </c:pt>
                <c:pt idx="15">
                  <c:v>1.9308691150601842</c:v>
                </c:pt>
                <c:pt idx="16">
                  <c:v>-2.5799844274380974</c:v>
                </c:pt>
                <c:pt idx="17">
                  <c:v>3.9063843370947851</c:v>
                </c:pt>
                <c:pt idx="18">
                  <c:v>2.0721097693941641</c:v>
                </c:pt>
                <c:pt idx="19">
                  <c:v>1.9764287929007969</c:v>
                </c:pt>
                <c:pt idx="20">
                  <c:v>-1.383420121436248</c:v>
                </c:pt>
                <c:pt idx="21">
                  <c:v>5.2357512591007831</c:v>
                </c:pt>
                <c:pt idx="22">
                  <c:v>0.15864995921818389</c:v>
                </c:pt>
                <c:pt idx="23">
                  <c:v>-3.6896880491443511</c:v>
                </c:pt>
                <c:pt idx="24">
                  <c:v>-5.6121082019505018</c:v>
                </c:pt>
                <c:pt idx="25">
                  <c:v>2.6403560029342441</c:v>
                </c:pt>
                <c:pt idx="26">
                  <c:v>1.785678663251717</c:v>
                </c:pt>
                <c:pt idx="27">
                  <c:v>0.48110659441928416</c:v>
                </c:pt>
                <c:pt idx="28">
                  <c:v>-0.6380007886630189</c:v>
                </c:pt>
                <c:pt idx="29">
                  <c:v>4.5756511227492656</c:v>
                </c:pt>
                <c:pt idx="30">
                  <c:v>1.0668209893245042</c:v>
                </c:pt>
                <c:pt idx="31">
                  <c:v>-8.6935586903111678E-2</c:v>
                </c:pt>
                <c:pt idx="32">
                  <c:v>-1.5796999074918567</c:v>
                </c:pt>
                <c:pt idx="33">
                  <c:v>3.9111438563043341</c:v>
                </c:pt>
                <c:pt idx="34">
                  <c:v>1.1479808396146758</c:v>
                </c:pt>
                <c:pt idx="35">
                  <c:v>-2.6917252623011562E-2</c:v>
                </c:pt>
                <c:pt idx="36">
                  <c:v>-2.3219293836982353</c:v>
                </c:pt>
                <c:pt idx="37">
                  <c:v>3.8908440155277009</c:v>
                </c:pt>
                <c:pt idx="38">
                  <c:v>0.36442858855906923</c:v>
                </c:pt>
                <c:pt idx="39">
                  <c:v>0.51651990327284503</c:v>
                </c:pt>
                <c:pt idx="40">
                  <c:v>-2.8697785113853307</c:v>
                </c:pt>
                <c:pt idx="41">
                  <c:v>5.0582376270662612</c:v>
                </c:pt>
                <c:pt idx="42">
                  <c:v>-0.8240819401358852</c:v>
                </c:pt>
                <c:pt idx="43">
                  <c:v>0.56389534104589711</c:v>
                </c:pt>
              </c:numCache>
            </c:numRef>
          </c:val>
        </c:ser>
        <c:marker val="1"/>
        <c:axId val="224817152"/>
        <c:axId val="224818688"/>
      </c:lineChart>
      <c:catAx>
        <c:axId val="22481715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>
                <a:solidFill>
                  <a:schemeClr val="tx1"/>
                </a:solidFill>
              </a:defRPr>
            </a:pPr>
            <a:endParaRPr lang="en-US"/>
          </a:p>
        </c:txPr>
        <c:crossAx val="224818688"/>
        <c:crosses val="autoZero"/>
        <c:auto val="1"/>
        <c:lblAlgn val="ctr"/>
        <c:lblOffset val="100"/>
      </c:catAx>
      <c:valAx>
        <c:axId val="224818688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481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848244881590489"/>
          <c:y val="0.7746290793839552"/>
          <c:w val="0.34362946934940408"/>
          <c:h val="0.13923610635627187"/>
        </c:manualLayout>
      </c:layout>
      <c:spPr>
        <a:gradFill rotWithShape="1">
          <a:gsLst>
            <a:gs pos="0">
              <a:schemeClr val="dk1">
                <a:shade val="51000"/>
                <a:satMod val="130000"/>
              </a:schemeClr>
            </a:gs>
            <a:gs pos="80000">
              <a:schemeClr val="dk1">
                <a:shade val="93000"/>
                <a:satMod val="130000"/>
              </a:schemeClr>
            </a:gs>
            <a:gs pos="100000">
              <a:schemeClr val="dk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/>
        <a:lstStyle/>
        <a:p>
          <a:pPr>
            <a:defRPr lang="en-ZA" sz="120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accent5"/>
    </a:solidFill>
    <a:ln w="38100" cap="flat" cmpd="sng" algn="ctr">
      <a:solidFill>
        <a:schemeClr val="lt1"/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0.11408573928259012"/>
          <c:y val="5.1400554097404488E-2"/>
          <c:w val="0.85177668416448582"/>
          <c:h val="0.89719889180519163"/>
        </c:manualLayout>
      </c:layout>
      <c:barChart>
        <c:barDir val="col"/>
        <c:grouping val="clustered"/>
        <c:ser>
          <c:idx val="0"/>
          <c:order val="0"/>
          <c:tx>
            <c:strRef>
              <c:f>'GDP Durban'!$R$11:$T$11</c:f>
              <c:strCache>
                <c:ptCount val="1"/>
                <c:pt idx="0">
                  <c:v>Yearly Growth Rate %</c:v>
                </c:pt>
              </c:strCache>
            </c:strRef>
          </c:tx>
          <c:spPr>
            <a:solidFill>
              <a:srgbClr val="FF0000"/>
            </a:solidFill>
          </c:spPr>
          <c:cat>
            <c:numRef>
              <c:f>'GDP Durban'!$R$14:$R$24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'GDP Durban'!$T$14:$T$24</c:f>
              <c:numCache>
                <c:formatCode>0.00</c:formatCode>
                <c:ptCount val="11"/>
                <c:pt idx="0">
                  <c:v>2.7431782022334339</c:v>
                </c:pt>
                <c:pt idx="1">
                  <c:v>4.4966214487245626</c:v>
                </c:pt>
                <c:pt idx="2">
                  <c:v>5.7598463821287353</c:v>
                </c:pt>
                <c:pt idx="3">
                  <c:v>5.533071768410867</c:v>
                </c:pt>
                <c:pt idx="4">
                  <c:v>5.8739792512231155</c:v>
                </c:pt>
                <c:pt idx="5">
                  <c:v>5.1366574472894593</c:v>
                </c:pt>
                <c:pt idx="6">
                  <c:v>-4.1979772435314704</c:v>
                </c:pt>
                <c:pt idx="7">
                  <c:v>5.262077457096793</c:v>
                </c:pt>
                <c:pt idx="8">
                  <c:v>3.4875400878290463</c:v>
                </c:pt>
                <c:pt idx="9">
                  <c:v>2.357707430079925</c:v>
                </c:pt>
                <c:pt idx="10">
                  <c:v>2.0621563334980131</c:v>
                </c:pt>
              </c:numCache>
            </c:numRef>
          </c:val>
        </c:ser>
        <c:axId val="224846592"/>
        <c:axId val="224848128"/>
      </c:barChart>
      <c:catAx>
        <c:axId val="22484659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4848128"/>
        <c:crosses val="autoZero"/>
        <c:auto val="1"/>
        <c:lblAlgn val="ctr"/>
        <c:lblOffset val="100"/>
      </c:catAx>
      <c:valAx>
        <c:axId val="224848128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484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414728732951904"/>
          <c:y val="3.6950436597087417E-2"/>
          <c:w val="0.26623536384327678"/>
          <c:h val="7.487748814006949E-2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613E-2"/>
          <c:y val="3.8152988608382718E-2"/>
          <c:w val="0.91042422686294056"/>
          <c:h val="0.92608684188449042"/>
        </c:manualLayout>
      </c:layout>
      <c:lineChart>
        <c:grouping val="standard"/>
        <c:ser>
          <c:idx val="1"/>
          <c:order val="0"/>
          <c:tx>
            <c:strRef>
              <c:f>'GDP PMB'!$O$2</c:f>
              <c:strCache>
                <c:ptCount val="1"/>
                <c:pt idx="0">
                  <c:v>PMB Annual Rate</c:v>
                </c:pt>
              </c:strCache>
            </c:strRef>
          </c:tx>
          <c:spPr>
            <a:ln w="44450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28575">
                <a:solidFill>
                  <a:srgbClr val="0070C0"/>
                </a:solidFill>
              </a:ln>
            </c:spPr>
            <c:trendlineType val="poly"/>
            <c:order val="6"/>
          </c:trendline>
          <c:cat>
            <c:strRef>
              <c:f>'GDP PMB'!$A$11:$A$54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PMB'!$O$11:$O$54</c:f>
              <c:numCache>
                <c:formatCode>0.00</c:formatCode>
                <c:ptCount val="44"/>
                <c:pt idx="0">
                  <c:v>3.0618440911189113</c:v>
                </c:pt>
                <c:pt idx="1">
                  <c:v>3.4306495272393143</c:v>
                </c:pt>
                <c:pt idx="2">
                  <c:v>2.7621505225328216</c:v>
                </c:pt>
                <c:pt idx="3">
                  <c:v>1.7460109430648221</c:v>
                </c:pt>
                <c:pt idx="4">
                  <c:v>3.3654995899011135</c:v>
                </c:pt>
                <c:pt idx="5">
                  <c:v>3.2269541248739042</c:v>
                </c:pt>
                <c:pt idx="6">
                  <c:v>5.2008073127597649</c:v>
                </c:pt>
                <c:pt idx="7">
                  <c:v>6.1388701437538069</c:v>
                </c:pt>
                <c:pt idx="8">
                  <c:v>5.9501595515856875</c:v>
                </c:pt>
                <c:pt idx="9">
                  <c:v>5.1487254835381595</c:v>
                </c:pt>
                <c:pt idx="10">
                  <c:v>6.1613268734800828</c:v>
                </c:pt>
                <c:pt idx="11">
                  <c:v>5.7838691754895386</c:v>
                </c:pt>
                <c:pt idx="12">
                  <c:v>5.3775283645018854</c:v>
                </c:pt>
                <c:pt idx="13">
                  <c:v>4.8714974517457108</c:v>
                </c:pt>
                <c:pt idx="14">
                  <c:v>5.0686275926108175</c:v>
                </c:pt>
                <c:pt idx="15">
                  <c:v>6.7834417443122099</c:v>
                </c:pt>
                <c:pt idx="16">
                  <c:v>6.9781709506472804</c:v>
                </c:pt>
                <c:pt idx="17">
                  <c:v>5.9247394517156513</c:v>
                </c:pt>
                <c:pt idx="18">
                  <c:v>5.3181559214108685</c:v>
                </c:pt>
                <c:pt idx="19">
                  <c:v>5.3652296027814455</c:v>
                </c:pt>
                <c:pt idx="20">
                  <c:v>6.5905501605554431</c:v>
                </c:pt>
                <c:pt idx="21">
                  <c:v>-0.41725428848533774</c:v>
                </c:pt>
                <c:pt idx="22">
                  <c:v>0.52831918799998168</c:v>
                </c:pt>
                <c:pt idx="23">
                  <c:v>3.3041891537364751</c:v>
                </c:pt>
                <c:pt idx="24">
                  <c:v>-2.9859467741072665</c:v>
                </c:pt>
                <c:pt idx="25">
                  <c:v>6.3450074360088839</c:v>
                </c:pt>
                <c:pt idx="26">
                  <c:v>4.3676731056241405</c:v>
                </c:pt>
                <c:pt idx="27">
                  <c:v>12.051045039075614</c:v>
                </c:pt>
                <c:pt idx="28">
                  <c:v>3.4632115352520652</c:v>
                </c:pt>
                <c:pt idx="29">
                  <c:v>0.24102815541291017</c:v>
                </c:pt>
                <c:pt idx="30">
                  <c:v>0.88310954046919299</c:v>
                </c:pt>
                <c:pt idx="31">
                  <c:v>-4.1785895781736988</c:v>
                </c:pt>
                <c:pt idx="32">
                  <c:v>4.057377113234196</c:v>
                </c:pt>
                <c:pt idx="33">
                  <c:v>2.9063121255141104</c:v>
                </c:pt>
                <c:pt idx="34">
                  <c:v>3.2292684603540045</c:v>
                </c:pt>
                <c:pt idx="35">
                  <c:v>5.578467219794577</c:v>
                </c:pt>
                <c:pt idx="36">
                  <c:v>2.8286342142584067</c:v>
                </c:pt>
                <c:pt idx="37">
                  <c:v>4.8981721070490742</c:v>
                </c:pt>
                <c:pt idx="38">
                  <c:v>3.4494967945427057</c:v>
                </c:pt>
                <c:pt idx="39">
                  <c:v>4.1360238317283073</c:v>
                </c:pt>
                <c:pt idx="40">
                  <c:v>1.631759275534947</c:v>
                </c:pt>
                <c:pt idx="41">
                  <c:v>1.5671126581438508</c:v>
                </c:pt>
                <c:pt idx="42">
                  <c:v>0.69605391629085445</c:v>
                </c:pt>
                <c:pt idx="43">
                  <c:v>-6.0907402487405511E-2</c:v>
                </c:pt>
              </c:numCache>
            </c:numRef>
          </c:val>
        </c:ser>
        <c:marker val="1"/>
        <c:axId val="224921856"/>
        <c:axId val="224931840"/>
      </c:lineChart>
      <c:catAx>
        <c:axId val="22492185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4931840"/>
        <c:crosses val="autoZero"/>
        <c:auto val="1"/>
        <c:lblAlgn val="ctr"/>
        <c:lblOffset val="100"/>
      </c:catAx>
      <c:valAx>
        <c:axId val="224931840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492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047090224206751"/>
          <c:y val="5.7687172665060675E-2"/>
          <c:w val="0.34362938567290491"/>
          <c:h val="0.15591270269298668"/>
        </c:manualLayout>
      </c:layout>
      <c:spPr>
        <a:gradFill rotWithShape="1">
          <a:gsLst>
            <a:gs pos="0">
              <a:schemeClr val="dk1">
                <a:shade val="51000"/>
                <a:satMod val="130000"/>
              </a:schemeClr>
            </a:gs>
            <a:gs pos="80000">
              <a:schemeClr val="dk1">
                <a:shade val="93000"/>
                <a:satMod val="130000"/>
              </a:schemeClr>
            </a:gs>
            <a:gs pos="100000">
              <a:schemeClr val="dk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/>
        <a:lstStyle/>
        <a:p>
          <a:pPr>
            <a:defRPr lang="en-ZA" sz="120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6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8097956188397553E-2"/>
          <c:y val="3.2064622059228901E-2"/>
          <c:w val="0.91042422686294056"/>
          <c:h val="0.92304270185404858"/>
        </c:manualLayout>
      </c:layout>
      <c:lineChart>
        <c:grouping val="standard"/>
        <c:ser>
          <c:idx val="1"/>
          <c:order val="0"/>
          <c:tx>
            <c:strRef>
              <c:f>'GDP PMB'!$N$2</c:f>
              <c:strCache>
                <c:ptCount val="1"/>
                <c:pt idx="0">
                  <c:v>PMB Quarterly Rate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28575">
                <a:solidFill>
                  <a:srgbClr val="0070C0"/>
                </a:solidFill>
              </a:ln>
            </c:spPr>
            <c:trendlineType val="poly"/>
            <c:order val="6"/>
          </c:trendline>
          <c:cat>
            <c:strRef>
              <c:f>'GDP PMB'!$A$11:$A$54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PMB'!$N$11:$N$54</c:f>
              <c:numCache>
                <c:formatCode>0.00</c:formatCode>
                <c:ptCount val="44"/>
                <c:pt idx="0">
                  <c:v>-3.7406312903585688</c:v>
                </c:pt>
                <c:pt idx="1">
                  <c:v>6.3924065400689924</c:v>
                </c:pt>
                <c:pt idx="2">
                  <c:v>-0.41420956814539134</c:v>
                </c:pt>
                <c:pt idx="3">
                  <c:v>-0.23771799783023675</c:v>
                </c:pt>
                <c:pt idx="4">
                  <c:v>-2.2084733872430689</c:v>
                </c:pt>
                <c:pt idx="5">
                  <c:v>6.2498039744359826</c:v>
                </c:pt>
                <c:pt idx="6">
                  <c:v>1.4900191440014472</c:v>
                </c:pt>
                <c:pt idx="7">
                  <c:v>0.65185016302199161</c:v>
                </c:pt>
                <c:pt idx="8">
                  <c:v>-2.3823427422788197</c:v>
                </c:pt>
                <c:pt idx="9">
                  <c:v>5.4461033194405051</c:v>
                </c:pt>
                <c:pt idx="10">
                  <c:v>2.4673865250881311</c:v>
                </c:pt>
                <c:pt idx="11">
                  <c:v>0.29398146657756075</c:v>
                </c:pt>
                <c:pt idx="12">
                  <c:v>-2.7573152057175832</c:v>
                </c:pt>
                <c:pt idx="13">
                  <c:v>4.9397431045306517</c:v>
                </c:pt>
                <c:pt idx="14">
                  <c:v>2.6599975855820865</c:v>
                </c:pt>
                <c:pt idx="15">
                  <c:v>1.9308691150601769</c:v>
                </c:pt>
                <c:pt idx="16">
                  <c:v>-2.5799844274380876</c:v>
                </c:pt>
                <c:pt idx="17">
                  <c:v>3.9063843370947695</c:v>
                </c:pt>
                <c:pt idx="18">
                  <c:v>2.0721097693941735</c:v>
                </c:pt>
                <c:pt idx="19">
                  <c:v>1.9764287929008029</c:v>
                </c:pt>
                <c:pt idx="20">
                  <c:v>-1.4470608978283548</c:v>
                </c:pt>
                <c:pt idx="21">
                  <c:v>-2.9249494100753703</c:v>
                </c:pt>
                <c:pt idx="22">
                  <c:v>3.0413206401853876</c:v>
                </c:pt>
                <c:pt idx="23">
                  <c:v>4.7922851424921911</c:v>
                </c:pt>
                <c:pt idx="24">
                  <c:v>-7.4478957925161096</c:v>
                </c:pt>
                <c:pt idx="25">
                  <c:v>6.4118716161544649</c:v>
                </c:pt>
                <c:pt idx="26">
                  <c:v>1.1254136722666377</c:v>
                </c:pt>
                <c:pt idx="27">
                  <c:v>12.506916297401787</c:v>
                </c:pt>
                <c:pt idx="28">
                  <c:v>-14.541288460877391</c:v>
                </c:pt>
                <c:pt idx="29">
                  <c:v>3.0978573008118073</c:v>
                </c:pt>
                <c:pt idx="30">
                  <c:v>1.7731598782852989</c:v>
                </c:pt>
                <c:pt idx="31">
                  <c:v>6.8620054529819576</c:v>
                </c:pt>
                <c:pt idx="32">
                  <c:v>-7.1960083337281784</c:v>
                </c:pt>
                <c:pt idx="33">
                  <c:v>1.9574063578787753</c:v>
                </c:pt>
                <c:pt idx="34">
                  <c:v>2.0925599813545488</c:v>
                </c:pt>
                <c:pt idx="35">
                  <c:v>9.2938747705281806</c:v>
                </c:pt>
                <c:pt idx="36">
                  <c:v>-9.61312506263606</c:v>
                </c:pt>
                <c:pt idx="37">
                  <c:v>4.0094098442678607</c:v>
                </c:pt>
                <c:pt idx="38">
                  <c:v>0.68263101629467715</c:v>
                </c:pt>
                <c:pt idx="39">
                  <c:v>10.019187143750891</c:v>
                </c:pt>
                <c:pt idx="40">
                  <c:v>-11.78674989410151</c:v>
                </c:pt>
                <c:pt idx="41">
                  <c:v>3.9432508348085547</c:v>
                </c:pt>
                <c:pt idx="42">
                  <c:v>-0.18084224393953618</c:v>
                </c:pt>
                <c:pt idx="43">
                  <c:v>9.192141139937501</c:v>
                </c:pt>
              </c:numCache>
            </c:numRef>
          </c:val>
        </c:ser>
        <c:marker val="1"/>
        <c:axId val="224965760"/>
        <c:axId val="224967296"/>
      </c:lineChart>
      <c:catAx>
        <c:axId val="22496576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>
                <a:solidFill>
                  <a:schemeClr val="tx1"/>
                </a:solidFill>
              </a:defRPr>
            </a:pPr>
            <a:endParaRPr lang="en-US"/>
          </a:p>
        </c:txPr>
        <c:crossAx val="224967296"/>
        <c:crosses val="autoZero"/>
        <c:auto val="1"/>
        <c:lblAlgn val="ctr"/>
        <c:lblOffset val="100"/>
      </c:catAx>
      <c:valAx>
        <c:axId val="224967296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496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399965083282289"/>
          <c:y val="9.4216853030357525E-2"/>
          <c:w val="0.34362938567290491"/>
          <c:h val="0.11025060223636433"/>
        </c:manualLayout>
      </c:layout>
      <c:spPr>
        <a:gradFill rotWithShape="1">
          <a:gsLst>
            <a:gs pos="0">
              <a:schemeClr val="dk1">
                <a:shade val="51000"/>
                <a:satMod val="130000"/>
              </a:schemeClr>
            </a:gs>
            <a:gs pos="80000">
              <a:schemeClr val="dk1">
                <a:shade val="93000"/>
                <a:satMod val="130000"/>
              </a:schemeClr>
            </a:gs>
            <a:gs pos="100000">
              <a:schemeClr val="dk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/>
        <a:lstStyle/>
        <a:p>
          <a:pPr>
            <a:defRPr lang="en-ZA" sz="120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6">
          <a:shade val="95000"/>
          <a:satMod val="105000"/>
        </a:schemeClr>
      </a:solidFill>
      <a:prstDash val="solid"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788" l="0.70000000000000062" r="0.70000000000000062" t="0.75000000000000788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0.11408573928259012"/>
          <c:y val="5.1400554097404488E-2"/>
          <c:w val="0.85177668416448604"/>
          <c:h val="0.89719889180519163"/>
        </c:manualLayout>
      </c:layout>
      <c:barChart>
        <c:barDir val="col"/>
        <c:grouping val="clustered"/>
        <c:ser>
          <c:idx val="0"/>
          <c:order val="0"/>
          <c:tx>
            <c:strRef>
              <c:f>'GDP PMB'!$R$11:$T$11</c:f>
              <c:strCache>
                <c:ptCount val="1"/>
                <c:pt idx="0">
                  <c:v>Yearly Growth Rate %</c:v>
                </c:pt>
              </c:strCache>
            </c:strRef>
          </c:tx>
          <c:spPr>
            <a:solidFill>
              <a:srgbClr val="FF0000"/>
            </a:solidFill>
          </c:spPr>
          <c:cat>
            <c:numRef>
              <c:f>'GDP PMB'!$R$14:$R$24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'GDP PMB'!$T$14:$T$24</c:f>
              <c:numCache>
                <c:formatCode>0.00</c:formatCode>
                <c:ptCount val="11"/>
                <c:pt idx="0">
                  <c:v>2.7431782022334299</c:v>
                </c:pt>
                <c:pt idx="1">
                  <c:v>4.4966214487245679</c:v>
                </c:pt>
                <c:pt idx="2">
                  <c:v>5.7598463821287167</c:v>
                </c:pt>
                <c:pt idx="3">
                  <c:v>5.5330717684108794</c:v>
                </c:pt>
                <c:pt idx="4">
                  <c:v>5.8739792512231226</c:v>
                </c:pt>
                <c:pt idx="5">
                  <c:v>2.4612454552007081</c:v>
                </c:pt>
                <c:pt idx="6">
                  <c:v>5.0194555625908643</c:v>
                </c:pt>
                <c:pt idx="7">
                  <c:v>-8.9391818331487308E-2</c:v>
                </c:pt>
                <c:pt idx="8">
                  <c:v>3.9740527491961544</c:v>
                </c:pt>
                <c:pt idx="9">
                  <c:v>3.83947885826271</c:v>
                </c:pt>
                <c:pt idx="10">
                  <c:v>0.92476122053939303</c:v>
                </c:pt>
              </c:numCache>
            </c:numRef>
          </c:val>
        </c:ser>
        <c:axId val="222386048"/>
        <c:axId val="222387584"/>
      </c:barChart>
      <c:catAx>
        <c:axId val="2223860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2387584"/>
        <c:crosses val="autoZero"/>
        <c:auto val="1"/>
        <c:lblAlgn val="ctr"/>
        <c:lblOffset val="100"/>
      </c:catAx>
      <c:valAx>
        <c:axId val="222387584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238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858437050207435"/>
          <c:y val="3.6950489884416633E-2"/>
          <c:w val="0.26623536384327678"/>
          <c:h val="7.487748814006949E-2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696E-2"/>
          <c:y val="3.8152988608382718E-2"/>
          <c:w val="0.91042422686294056"/>
          <c:h val="0.93521926197581451"/>
        </c:manualLayout>
      </c:layout>
      <c:lineChart>
        <c:grouping val="standard"/>
        <c:ser>
          <c:idx val="1"/>
          <c:order val="0"/>
          <c:tx>
            <c:strRef>
              <c:f>'GDP RBay'!$O$2</c:f>
              <c:strCache>
                <c:ptCount val="1"/>
                <c:pt idx="0">
                  <c:v>RBay Annual Rate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28575">
                <a:solidFill>
                  <a:srgbClr val="0070C0"/>
                </a:solidFill>
              </a:ln>
            </c:spPr>
            <c:trendlineType val="poly"/>
            <c:order val="6"/>
          </c:trendline>
          <c:cat>
            <c:strRef>
              <c:f>'GDP RBay'!$A$11:$C$54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RBay'!$O$11:$O$54</c:f>
              <c:numCache>
                <c:formatCode>0.00</c:formatCode>
                <c:ptCount val="44"/>
                <c:pt idx="0">
                  <c:v>6.7101681415647594</c:v>
                </c:pt>
                <c:pt idx="1">
                  <c:v>6.9786421093586899</c:v>
                </c:pt>
                <c:pt idx="2">
                  <c:v>6.3475743971881036</c:v>
                </c:pt>
                <c:pt idx="3">
                  <c:v>5.3196362233654071</c:v>
                </c:pt>
                <c:pt idx="4">
                  <c:v>3.3654995899011135</c:v>
                </c:pt>
                <c:pt idx="5">
                  <c:v>3.2269541248739095</c:v>
                </c:pt>
                <c:pt idx="6">
                  <c:v>5.2008073127597676</c:v>
                </c:pt>
                <c:pt idx="7">
                  <c:v>6.1388701437537936</c:v>
                </c:pt>
                <c:pt idx="8">
                  <c:v>5.9501595515856813</c:v>
                </c:pt>
                <c:pt idx="9">
                  <c:v>5.1487254835381702</c:v>
                </c:pt>
                <c:pt idx="10">
                  <c:v>6.161326873480089</c:v>
                </c:pt>
                <c:pt idx="11">
                  <c:v>5.7838691754895386</c:v>
                </c:pt>
                <c:pt idx="12">
                  <c:v>5.3775283645018987</c:v>
                </c:pt>
                <c:pt idx="13">
                  <c:v>4.8714974517456895</c:v>
                </c:pt>
                <c:pt idx="14">
                  <c:v>5.0686275926108149</c:v>
                </c:pt>
                <c:pt idx="15">
                  <c:v>6.7834417443122046</c:v>
                </c:pt>
                <c:pt idx="16">
                  <c:v>6.9781709506472733</c:v>
                </c:pt>
                <c:pt idx="17">
                  <c:v>5.9247394517156655</c:v>
                </c:pt>
                <c:pt idx="18">
                  <c:v>5.3181559214108676</c:v>
                </c:pt>
                <c:pt idx="19">
                  <c:v>5.3652296027814437</c:v>
                </c:pt>
                <c:pt idx="20">
                  <c:v>6.2648635144563301</c:v>
                </c:pt>
                <c:pt idx="21">
                  <c:v>16.476968115498256</c:v>
                </c:pt>
                <c:pt idx="22">
                  <c:v>14.170112957362122</c:v>
                </c:pt>
                <c:pt idx="23">
                  <c:v>2.8791876748986271</c:v>
                </c:pt>
                <c:pt idx="24">
                  <c:v>-11.587143150815711</c:v>
                </c:pt>
                <c:pt idx="25">
                  <c:v>-19.874547534381865</c:v>
                </c:pt>
                <c:pt idx="26">
                  <c:v>-14.64590406295091</c:v>
                </c:pt>
                <c:pt idx="27">
                  <c:v>-5.5942618228423795</c:v>
                </c:pt>
                <c:pt idx="28">
                  <c:v>10.313965751809921</c:v>
                </c:pt>
                <c:pt idx="29">
                  <c:v>15.170133496640489</c:v>
                </c:pt>
                <c:pt idx="30">
                  <c:v>10.707351713587176</c:v>
                </c:pt>
                <c:pt idx="31">
                  <c:v>7.4084020040233511</c:v>
                </c:pt>
                <c:pt idx="32">
                  <c:v>2.9467296623738157</c:v>
                </c:pt>
                <c:pt idx="33">
                  <c:v>3.3349565933560221</c:v>
                </c:pt>
                <c:pt idx="34">
                  <c:v>3.8823218567518127</c:v>
                </c:pt>
                <c:pt idx="35">
                  <c:v>3.4967237348459475</c:v>
                </c:pt>
                <c:pt idx="36">
                  <c:v>1.4275162661626599</c:v>
                </c:pt>
                <c:pt idx="37">
                  <c:v>-3.5594420839049207E-2</c:v>
                </c:pt>
                <c:pt idx="38">
                  <c:v>-8.9133086241903928E-2</c:v>
                </c:pt>
                <c:pt idx="39">
                  <c:v>1.5370874204313438</c:v>
                </c:pt>
                <c:pt idx="40">
                  <c:v>2.9391079889622613</c:v>
                </c:pt>
                <c:pt idx="41">
                  <c:v>4.7462550441609501</c:v>
                </c:pt>
                <c:pt idx="42">
                  <c:v>2.8476879616742683</c:v>
                </c:pt>
                <c:pt idx="43">
                  <c:v>2.3062749421245874</c:v>
                </c:pt>
              </c:numCache>
            </c:numRef>
          </c:val>
        </c:ser>
        <c:marker val="1"/>
        <c:axId val="225168768"/>
        <c:axId val="225174656"/>
      </c:lineChart>
      <c:catAx>
        <c:axId val="22516876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>
                <a:solidFill>
                  <a:schemeClr val="tx1"/>
                </a:solidFill>
              </a:defRPr>
            </a:pPr>
            <a:endParaRPr lang="en-US"/>
          </a:p>
        </c:txPr>
        <c:crossAx val="225174656"/>
        <c:crosses val="autoZero"/>
        <c:auto val="1"/>
        <c:lblAlgn val="ctr"/>
        <c:lblOffset val="100"/>
      </c:catAx>
      <c:valAx>
        <c:axId val="225174656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16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399965083282289"/>
          <c:y val="9.4216853030357525E-2"/>
          <c:w val="0.34362938567290491"/>
          <c:h val="0.12851544241901294"/>
        </c:manualLayout>
      </c:layout>
      <c:spPr>
        <a:solidFill>
          <a:schemeClr val="dk1"/>
        </a:solidFill>
        <a:ln w="25400" cap="flat" cmpd="sng" algn="ctr">
          <a:solidFill>
            <a:schemeClr val="dk1">
              <a:shade val="50000"/>
            </a:schemeClr>
          </a:solidFill>
          <a:prstDash val="solid"/>
        </a:ln>
        <a:effectLst/>
      </c:spPr>
      <c:txPr>
        <a:bodyPr/>
        <a:lstStyle/>
        <a:p>
          <a:pPr>
            <a:defRPr lang="en-ZA" sz="120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gradFill rotWithShape="1">
      <a:gsLst>
        <a:gs pos="0">
          <a:schemeClr val="accent3">
            <a:shade val="51000"/>
            <a:satMod val="130000"/>
          </a:schemeClr>
        </a:gs>
        <a:gs pos="80000">
          <a:schemeClr val="accent3">
            <a:shade val="93000"/>
            <a:satMod val="130000"/>
          </a:schemeClr>
        </a:gs>
        <a:gs pos="100000">
          <a:schemeClr val="accent3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3">
          <a:shade val="95000"/>
          <a:satMod val="105000"/>
        </a:schemeClr>
      </a:solidFill>
      <a:prstDash val="solid"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788" l="0.70000000000000062" r="0.70000000000000062" t="0.75000000000000788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765E-2"/>
          <c:y val="3.8152988608382718E-2"/>
          <c:w val="0.91042422686294056"/>
          <c:h val="0.94327017342010677"/>
        </c:manualLayout>
      </c:layout>
      <c:lineChart>
        <c:grouping val="standard"/>
        <c:ser>
          <c:idx val="1"/>
          <c:order val="0"/>
          <c:tx>
            <c:strRef>
              <c:f>'GDP RBay'!$N$2</c:f>
              <c:strCache>
                <c:ptCount val="1"/>
                <c:pt idx="0">
                  <c:v>RBay Quarterly Rate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31750">
                <a:solidFill>
                  <a:srgbClr val="0070C0"/>
                </a:solidFill>
              </a:ln>
            </c:spPr>
            <c:trendlineType val="poly"/>
            <c:order val="6"/>
          </c:trendline>
          <c:cat>
            <c:strRef>
              <c:f>'GDP RBay'!$A$11:$A$54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RBay'!$N$11:$N$54</c:f>
              <c:numCache>
                <c:formatCode>0.00</c:formatCode>
                <c:ptCount val="44"/>
                <c:pt idx="0">
                  <c:v>-0.35971335266131671</c:v>
                </c:pt>
                <c:pt idx="1">
                  <c:v>6.3924065400689889</c:v>
                </c:pt>
                <c:pt idx="2">
                  <c:v>-0.41420956814539672</c:v>
                </c:pt>
                <c:pt idx="3">
                  <c:v>-0.23771799783021749</c:v>
                </c:pt>
                <c:pt idx="4">
                  <c:v>-2.2084733872430786</c:v>
                </c:pt>
                <c:pt idx="5">
                  <c:v>6.2498039744359835</c:v>
                </c:pt>
                <c:pt idx="6">
                  <c:v>1.490019144001439</c:v>
                </c:pt>
                <c:pt idx="7">
                  <c:v>0.6518501630219965</c:v>
                </c:pt>
                <c:pt idx="8">
                  <c:v>-2.3823427422788233</c:v>
                </c:pt>
                <c:pt idx="9">
                  <c:v>5.4461033194405228</c:v>
                </c:pt>
                <c:pt idx="10">
                  <c:v>2.4673865250881186</c:v>
                </c:pt>
                <c:pt idx="11">
                  <c:v>0.29398146657755914</c:v>
                </c:pt>
                <c:pt idx="12">
                  <c:v>-2.7573152057175743</c:v>
                </c:pt>
                <c:pt idx="13">
                  <c:v>4.9397431045306348</c:v>
                </c:pt>
                <c:pt idx="14">
                  <c:v>2.6599975855820936</c:v>
                </c:pt>
                <c:pt idx="15">
                  <c:v>1.9308691150601718</c:v>
                </c:pt>
                <c:pt idx="16">
                  <c:v>-2.5799844274380805</c:v>
                </c:pt>
                <c:pt idx="17">
                  <c:v>3.9063843370947744</c:v>
                </c:pt>
                <c:pt idx="18">
                  <c:v>2.0721097693941646</c:v>
                </c:pt>
                <c:pt idx="19">
                  <c:v>1.9764287929007986</c:v>
                </c:pt>
                <c:pt idx="20">
                  <c:v>-1.7481886821492709</c:v>
                </c:pt>
                <c:pt idx="21">
                  <c:v>13.891837952457703</c:v>
                </c:pt>
                <c:pt idx="22">
                  <c:v>5.0546393106094475E-2</c:v>
                </c:pt>
                <c:pt idx="23">
                  <c:v>-8.1085944084260309</c:v>
                </c:pt>
                <c:pt idx="24">
                  <c:v>-15.563842157575037</c:v>
                </c:pt>
                <c:pt idx="25">
                  <c:v>3.2161539995042911</c:v>
                </c:pt>
                <c:pt idx="26">
                  <c:v>6.5794160607799048</c:v>
                </c:pt>
                <c:pt idx="27">
                  <c:v>1.6363172941018387</c:v>
                </c:pt>
                <c:pt idx="28">
                  <c:v>-1.3355797614279552</c:v>
                </c:pt>
                <c:pt idx="29">
                  <c:v>7.7598666145104636</c:v>
                </c:pt>
                <c:pt idx="30">
                  <c:v>2.4495200364917791</c:v>
                </c:pt>
                <c:pt idx="31">
                  <c:v>-1.3923261900811847</c:v>
                </c:pt>
                <c:pt idx="32">
                  <c:v>-5.434033017131676</c:v>
                </c:pt>
                <c:pt idx="33">
                  <c:v>8.1662445775211108</c:v>
                </c:pt>
                <c:pt idx="34">
                  <c:v>2.9921951424602491</c:v>
                </c:pt>
                <c:pt idx="35">
                  <c:v>-1.7583454814004769</c:v>
                </c:pt>
                <c:pt idx="36">
                  <c:v>-7.3246880842961506</c:v>
                </c:pt>
                <c:pt idx="37">
                  <c:v>6.6059264879120407</c:v>
                </c:pt>
                <c:pt idx="38">
                  <c:v>2.9370348617294129</c:v>
                </c:pt>
                <c:pt idx="39">
                  <c:v>-0.15929426582489481</c:v>
                </c:pt>
                <c:pt idx="40">
                  <c:v>-6.0450306034504857</c:v>
                </c:pt>
                <c:pt idx="41">
                  <c:v>8.4774463590577618</c:v>
                </c:pt>
                <c:pt idx="42">
                  <c:v>1.071260606842027</c:v>
                </c:pt>
                <c:pt idx="43">
                  <c:v>-0.68487786460889677</c:v>
                </c:pt>
              </c:numCache>
            </c:numRef>
          </c:val>
        </c:ser>
        <c:marker val="1"/>
        <c:axId val="225102080"/>
        <c:axId val="225107968"/>
      </c:lineChart>
      <c:catAx>
        <c:axId val="22510208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>
                <a:solidFill>
                  <a:schemeClr val="tx1"/>
                </a:solidFill>
              </a:defRPr>
            </a:pPr>
            <a:endParaRPr lang="en-US"/>
          </a:p>
        </c:txPr>
        <c:crossAx val="225107968"/>
        <c:crosses val="autoZero"/>
        <c:auto val="1"/>
        <c:lblAlgn val="ctr"/>
        <c:lblOffset val="100"/>
      </c:catAx>
      <c:valAx>
        <c:axId val="225107968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10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399965083282289"/>
          <c:y val="9.4216853030357525E-2"/>
          <c:w val="0.34362938567290491"/>
          <c:h val="0.11025060223636433"/>
        </c:manualLayout>
      </c:layout>
      <c:spPr>
        <a:solidFill>
          <a:schemeClr val="dk1"/>
        </a:solidFill>
        <a:ln w="25400" cap="flat" cmpd="sng" algn="ctr">
          <a:solidFill>
            <a:schemeClr val="dk1">
              <a:shade val="50000"/>
            </a:schemeClr>
          </a:solidFill>
          <a:prstDash val="solid"/>
        </a:ln>
        <a:effectLst/>
      </c:spPr>
      <c:txPr>
        <a:bodyPr/>
        <a:lstStyle/>
        <a:p>
          <a:pPr>
            <a:defRPr lang="en-ZA" sz="120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accent5"/>
    </a:solidFill>
    <a:ln w="25400" cap="flat" cmpd="sng" algn="ctr">
      <a:solidFill>
        <a:schemeClr val="accent5">
          <a:shade val="50000"/>
        </a:schemeClr>
      </a:solidFill>
      <a:prstDash val="solid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0.11408573928259012"/>
          <c:y val="5.1400554097404488E-2"/>
          <c:w val="0.85177668416448604"/>
          <c:h val="0.89719889180519163"/>
        </c:manualLayout>
      </c:layout>
      <c:barChart>
        <c:barDir val="col"/>
        <c:grouping val="clustered"/>
        <c:ser>
          <c:idx val="0"/>
          <c:order val="0"/>
          <c:tx>
            <c:strRef>
              <c:f>'GDP RBay'!$R$11:$T$11</c:f>
              <c:strCache>
                <c:ptCount val="1"/>
                <c:pt idx="0">
                  <c:v>Yearly Growth Rate %</c:v>
                </c:pt>
              </c:strCache>
            </c:strRef>
          </c:tx>
          <c:spPr>
            <a:solidFill>
              <a:srgbClr val="FF0000"/>
            </a:solidFill>
          </c:spPr>
          <c:cat>
            <c:numRef>
              <c:f>'GDP RBay'!$R$14:$R$24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'GDP RBay'!$T$14:$T$24</c:f>
              <c:numCache>
                <c:formatCode>0.00</c:formatCode>
                <c:ptCount val="11"/>
                <c:pt idx="0">
                  <c:v>6.3312330084932906</c:v>
                </c:pt>
                <c:pt idx="1">
                  <c:v>4.496621448724567</c:v>
                </c:pt>
                <c:pt idx="2">
                  <c:v>5.7598463821287336</c:v>
                </c:pt>
                <c:pt idx="3">
                  <c:v>5.5330717684108865</c:v>
                </c:pt>
                <c:pt idx="4">
                  <c:v>5.8739792512231102</c:v>
                </c:pt>
                <c:pt idx="5">
                  <c:v>9.9320977211851051</c:v>
                </c:pt>
                <c:pt idx="6">
                  <c:v>-13.124300396526021</c:v>
                </c:pt>
                <c:pt idx="7">
                  <c:v>10.830745453828619</c:v>
                </c:pt>
                <c:pt idx="8">
                  <c:v>3.4267938283375377</c:v>
                </c:pt>
                <c:pt idx="9">
                  <c:v>0.69274535212715671</c:v>
                </c:pt>
                <c:pt idx="10">
                  <c:v>3.2050965118012806</c:v>
                </c:pt>
              </c:numCache>
            </c:numRef>
          </c:val>
        </c:ser>
        <c:axId val="225184768"/>
        <c:axId val="225198848"/>
      </c:barChart>
      <c:catAx>
        <c:axId val="22518476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198848"/>
        <c:crosses val="autoZero"/>
        <c:auto val="1"/>
        <c:lblAlgn val="ctr"/>
        <c:lblOffset val="100"/>
      </c:catAx>
      <c:valAx>
        <c:axId val="225198848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18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858437050207435"/>
          <c:y val="3.6950489884416633E-2"/>
          <c:w val="0.26623536384327678"/>
          <c:h val="7.487748814006949E-2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765E-2"/>
          <c:y val="3.8152988608382718E-2"/>
          <c:w val="0.91042422686294056"/>
          <c:h val="0.82867440539005566"/>
        </c:manualLayout>
      </c:layout>
      <c:lineChart>
        <c:grouping val="standard"/>
        <c:ser>
          <c:idx val="1"/>
          <c:order val="0"/>
          <c:tx>
            <c:strRef>
              <c:f>'GDP Port Shepstone'!$O$2</c:f>
              <c:strCache>
                <c:ptCount val="1"/>
                <c:pt idx="0">
                  <c:v>Port Shepstone Annual Rate</c:v>
                </c:pt>
              </c:strCache>
            </c:strRef>
          </c:tx>
          <c:spPr>
            <a:ln w="44450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31750">
                <a:solidFill>
                  <a:srgbClr val="0070C0"/>
                </a:solidFill>
              </a:ln>
            </c:spPr>
            <c:trendlineType val="poly"/>
            <c:order val="6"/>
          </c:trendline>
          <c:cat>
            <c:strRef>
              <c:f>'GDP Port Shepstone'!$A$11:$C$54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Port Shepstone'!$O$11:$O$54</c:f>
              <c:numCache>
                <c:formatCode>0.00</c:formatCode>
                <c:ptCount val="44"/>
                <c:pt idx="0">
                  <c:v>6.7101681415647558</c:v>
                </c:pt>
                <c:pt idx="1">
                  <c:v>6.9786421093586899</c:v>
                </c:pt>
                <c:pt idx="2">
                  <c:v>6.3475743971881107</c:v>
                </c:pt>
                <c:pt idx="3">
                  <c:v>5.3196362233654035</c:v>
                </c:pt>
                <c:pt idx="4">
                  <c:v>3.3654995899011184</c:v>
                </c:pt>
                <c:pt idx="5">
                  <c:v>3.2269541248739055</c:v>
                </c:pt>
                <c:pt idx="6">
                  <c:v>5.2008073127597694</c:v>
                </c:pt>
                <c:pt idx="7">
                  <c:v>6.1388701437537856</c:v>
                </c:pt>
                <c:pt idx="8">
                  <c:v>5.9501595515856858</c:v>
                </c:pt>
                <c:pt idx="9">
                  <c:v>5.1487254835381675</c:v>
                </c:pt>
                <c:pt idx="10">
                  <c:v>6.1613268734800837</c:v>
                </c:pt>
                <c:pt idx="11">
                  <c:v>5.783869175489543</c:v>
                </c:pt>
                <c:pt idx="12">
                  <c:v>5.3775283645018854</c:v>
                </c:pt>
                <c:pt idx="13">
                  <c:v>4.8714974517456895</c:v>
                </c:pt>
                <c:pt idx="14">
                  <c:v>5.0686275926108095</c:v>
                </c:pt>
                <c:pt idx="15">
                  <c:v>6.7834417443122117</c:v>
                </c:pt>
                <c:pt idx="16">
                  <c:v>6.9781709506472778</c:v>
                </c:pt>
                <c:pt idx="17">
                  <c:v>5.9247394517156584</c:v>
                </c:pt>
                <c:pt idx="18">
                  <c:v>5.3181559214108889</c:v>
                </c:pt>
                <c:pt idx="19">
                  <c:v>5.3652296027814401</c:v>
                </c:pt>
                <c:pt idx="20">
                  <c:v>0.50359969455026887</c:v>
                </c:pt>
                <c:pt idx="21">
                  <c:v>-2.4419693768498516</c:v>
                </c:pt>
                <c:pt idx="22">
                  <c:v>-3.0433902600921994</c:v>
                </c:pt>
                <c:pt idx="23">
                  <c:v>8.3984755457705731</c:v>
                </c:pt>
                <c:pt idx="24">
                  <c:v>8.1682299577469397</c:v>
                </c:pt>
                <c:pt idx="25">
                  <c:v>9.1637801253053119</c:v>
                </c:pt>
                <c:pt idx="26">
                  <c:v>8.6876640906282088</c:v>
                </c:pt>
                <c:pt idx="27">
                  <c:v>-4.4991216689317151</c:v>
                </c:pt>
                <c:pt idx="28">
                  <c:v>-1.814863106321029</c:v>
                </c:pt>
                <c:pt idx="29">
                  <c:v>-0.76769433849657076</c:v>
                </c:pt>
                <c:pt idx="30">
                  <c:v>-0.55574805495020074</c:v>
                </c:pt>
                <c:pt idx="31">
                  <c:v>4.7522109745600432</c:v>
                </c:pt>
                <c:pt idx="32">
                  <c:v>3.9771278436845554</c:v>
                </c:pt>
                <c:pt idx="33">
                  <c:v>2.750152069878538</c:v>
                </c:pt>
                <c:pt idx="34">
                  <c:v>2.8823375140957825</c:v>
                </c:pt>
                <c:pt idx="35">
                  <c:v>4.8270342631528287</c:v>
                </c:pt>
                <c:pt idx="36">
                  <c:v>4.7148376755636772</c:v>
                </c:pt>
                <c:pt idx="37">
                  <c:v>5.3713276789582061</c:v>
                </c:pt>
                <c:pt idx="38">
                  <c:v>4.1941258590952009</c:v>
                </c:pt>
                <c:pt idx="39">
                  <c:v>1.5113249649259304</c:v>
                </c:pt>
                <c:pt idx="40">
                  <c:v>0.43582045337149722</c:v>
                </c:pt>
                <c:pt idx="41">
                  <c:v>1.3155576863446863</c:v>
                </c:pt>
                <c:pt idx="42">
                  <c:v>0.33000209962056687</c:v>
                </c:pt>
                <c:pt idx="43">
                  <c:v>1.8884730023566987</c:v>
                </c:pt>
              </c:numCache>
            </c:numRef>
          </c:val>
        </c:ser>
        <c:marker val="1"/>
        <c:axId val="225301248"/>
        <c:axId val="225302784"/>
      </c:lineChart>
      <c:catAx>
        <c:axId val="2253012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302784"/>
        <c:crosses val="autoZero"/>
        <c:auto val="1"/>
        <c:lblAlgn val="ctr"/>
        <c:lblOffset val="100"/>
      </c:catAx>
      <c:valAx>
        <c:axId val="225302784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30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703169210872265E-2"/>
          <c:y val="4.5510612543295123E-2"/>
          <c:w val="0.34362948992278614"/>
          <c:h val="0.14373614257122205"/>
        </c:manualLayout>
      </c:layout>
      <c:spPr>
        <a:solidFill>
          <a:schemeClr val="dk1"/>
        </a:solidFill>
        <a:ln w="25400" cap="flat" cmpd="sng" algn="ctr">
          <a:solidFill>
            <a:schemeClr val="dk1">
              <a:shade val="50000"/>
            </a:schemeClr>
          </a:solidFill>
          <a:prstDash val="solid"/>
        </a:ln>
        <a:effectLst/>
      </c:spPr>
      <c:txPr>
        <a:bodyPr/>
        <a:lstStyle/>
        <a:p>
          <a:pPr>
            <a:defRPr lang="en-ZA" sz="120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dk1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821E-2"/>
          <c:y val="3.8152988608382718E-2"/>
          <c:w val="0.91042422686294056"/>
          <c:h val="0.82867440539005588"/>
        </c:manualLayout>
      </c:layout>
      <c:lineChart>
        <c:grouping val="standard"/>
        <c:ser>
          <c:idx val="1"/>
          <c:order val="0"/>
          <c:tx>
            <c:strRef>
              <c:f>'GDP Port Shepstone'!$N$2</c:f>
              <c:strCache>
                <c:ptCount val="1"/>
                <c:pt idx="0">
                  <c:v>Port Shepstone Quarterly Rate</c:v>
                </c:pt>
              </c:strCache>
            </c:strRef>
          </c:tx>
          <c:spPr>
            <a:ln w="44450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31750">
                <a:solidFill>
                  <a:srgbClr val="0070C0"/>
                </a:solidFill>
              </a:ln>
            </c:spPr>
            <c:trendlineType val="poly"/>
            <c:order val="6"/>
          </c:trendline>
          <c:cat>
            <c:strRef>
              <c:f>'GDP Port Shepstone'!$A$11:$C$54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Port Shepstone'!$N$11:$N$54</c:f>
              <c:numCache>
                <c:formatCode>0.00</c:formatCode>
                <c:ptCount val="44"/>
                <c:pt idx="0">
                  <c:v>-0.35971335266132576</c:v>
                </c:pt>
                <c:pt idx="1">
                  <c:v>6.3924065400689996</c:v>
                </c:pt>
                <c:pt idx="2">
                  <c:v>-0.41420956814539917</c:v>
                </c:pt>
                <c:pt idx="3">
                  <c:v>-0.23771799783022024</c:v>
                </c:pt>
                <c:pt idx="4">
                  <c:v>-2.2084733872430795</c:v>
                </c:pt>
                <c:pt idx="5">
                  <c:v>6.2498039744359852</c:v>
                </c:pt>
                <c:pt idx="6">
                  <c:v>1.4900191440014423</c:v>
                </c:pt>
                <c:pt idx="7">
                  <c:v>0.65185016302198417</c:v>
                </c:pt>
                <c:pt idx="8">
                  <c:v>-2.3823427422788122</c:v>
                </c:pt>
                <c:pt idx="9">
                  <c:v>5.4461033194405184</c:v>
                </c:pt>
                <c:pt idx="10">
                  <c:v>2.4673865250881182</c:v>
                </c:pt>
                <c:pt idx="11">
                  <c:v>0.2939814665775568</c:v>
                </c:pt>
                <c:pt idx="12">
                  <c:v>-2.7573152057175796</c:v>
                </c:pt>
                <c:pt idx="13">
                  <c:v>4.9397431045306437</c:v>
                </c:pt>
                <c:pt idx="14">
                  <c:v>2.6599975855820865</c:v>
                </c:pt>
                <c:pt idx="15">
                  <c:v>1.9308691150601827</c:v>
                </c:pt>
                <c:pt idx="16">
                  <c:v>-2.579984427438089</c:v>
                </c:pt>
                <c:pt idx="17">
                  <c:v>3.9063843370947726</c:v>
                </c:pt>
                <c:pt idx="18">
                  <c:v>2.0721097693941859</c:v>
                </c:pt>
                <c:pt idx="19">
                  <c:v>1.9764287929007838</c:v>
                </c:pt>
                <c:pt idx="20">
                  <c:v>-7.0750162624506787</c:v>
                </c:pt>
                <c:pt idx="21">
                  <c:v>0.86108612932365025</c:v>
                </c:pt>
                <c:pt idx="22">
                  <c:v>1.44286071608917</c:v>
                </c:pt>
                <c:pt idx="23">
                  <c:v>14.010684288627248</c:v>
                </c:pt>
                <c:pt idx="24">
                  <c:v>-7.2723951223932657</c:v>
                </c:pt>
                <c:pt idx="25">
                  <c:v>1.7893833866180604</c:v>
                </c:pt>
                <c:pt idx="26">
                  <c:v>1.0004193446470524</c:v>
                </c:pt>
                <c:pt idx="27">
                  <c:v>0.17807061904532259</c:v>
                </c:pt>
                <c:pt idx="28">
                  <c:v>-4.666085403227858</c:v>
                </c:pt>
                <c:pt idx="29">
                  <c:v>2.874992334681139</c:v>
                </c:pt>
                <c:pt idx="30">
                  <c:v>1.216142070971121</c:v>
                </c:pt>
                <c:pt idx="31">
                  <c:v>5.5251981211467243</c:v>
                </c:pt>
                <c:pt idx="32">
                  <c:v>-5.3714806241671829</c:v>
                </c:pt>
                <c:pt idx="33">
                  <c:v>1.6610222439233355</c:v>
                </c:pt>
                <c:pt idx="34">
                  <c:v>1.3463540505359588</c:v>
                </c:pt>
                <c:pt idx="35">
                  <c:v>7.519850601721231</c:v>
                </c:pt>
                <c:pt idx="36">
                  <c:v>-5.4727617205676582</c:v>
                </c:pt>
                <c:pt idx="37">
                  <c:v>2.2983669251497174</c:v>
                </c:pt>
                <c:pt idx="38">
                  <c:v>0.21411898191970166</c:v>
                </c:pt>
                <c:pt idx="39">
                  <c:v>4.7514186104079261</c:v>
                </c:pt>
                <c:pt idx="40">
                  <c:v>-6.4742703824774246</c:v>
                </c:pt>
                <c:pt idx="41">
                  <c:v>3.1944185713668034</c:v>
                </c:pt>
                <c:pt idx="42">
                  <c:v>-0.76072226740777804</c:v>
                </c:pt>
                <c:pt idx="43">
                  <c:v>6.3785693580233325</c:v>
                </c:pt>
              </c:numCache>
            </c:numRef>
          </c:val>
        </c:ser>
        <c:marker val="1"/>
        <c:axId val="225344896"/>
        <c:axId val="225358976"/>
      </c:lineChart>
      <c:catAx>
        <c:axId val="22534489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>
                <a:solidFill>
                  <a:schemeClr val="tx1"/>
                </a:solidFill>
              </a:defRPr>
            </a:pPr>
            <a:endParaRPr lang="en-US"/>
          </a:p>
        </c:txPr>
        <c:crossAx val="225358976"/>
        <c:crosses val="autoZero"/>
        <c:auto val="1"/>
        <c:lblAlgn val="ctr"/>
        <c:lblOffset val="100"/>
      </c:catAx>
      <c:valAx>
        <c:axId val="225358976"/>
        <c:scaling>
          <c:orientation val="minMax"/>
          <c:max val="16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34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399973499553159"/>
          <c:y val="9.4216853030357525E-2"/>
          <c:w val="0.34362948992278614"/>
          <c:h val="0.12851544241901294"/>
        </c:manualLayout>
      </c:layout>
      <c:spPr>
        <a:solidFill>
          <a:schemeClr val="dk1"/>
        </a:solidFill>
        <a:ln w="25400" cap="flat" cmpd="sng" algn="ctr">
          <a:solidFill>
            <a:schemeClr val="dk1">
              <a:shade val="50000"/>
            </a:schemeClr>
          </a:solidFill>
          <a:prstDash val="solid"/>
        </a:ln>
        <a:effectLst/>
      </c:spPr>
      <c:txPr>
        <a:bodyPr/>
        <a:lstStyle/>
        <a:p>
          <a:pPr>
            <a:defRPr lang="en-ZA" sz="120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accent1"/>
    </a:solidFill>
    <a:ln w="25400" cap="flat" cmpd="sng" algn="ctr">
      <a:solidFill>
        <a:schemeClr val="accent1">
          <a:shade val="50000"/>
        </a:schemeClr>
      </a:solidFill>
      <a:prstDash val="solid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833" l="0.70000000000000062" r="0.70000000000000062" t="0.75000000000000833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0.11408573928259012"/>
          <c:y val="5.1400554097404488E-2"/>
          <c:w val="0.85177668416448604"/>
          <c:h val="0.84753318442644243"/>
        </c:manualLayout>
      </c:layout>
      <c:barChart>
        <c:barDir val="col"/>
        <c:grouping val="clustered"/>
        <c:ser>
          <c:idx val="0"/>
          <c:order val="0"/>
          <c:tx>
            <c:strRef>
              <c:f>'GDP Port Shepstone'!$R$11:$T$11</c:f>
              <c:strCache>
                <c:ptCount val="1"/>
                <c:pt idx="0">
                  <c:v>Yearly Growth Rate %</c:v>
                </c:pt>
              </c:strCache>
            </c:strRef>
          </c:tx>
          <c:spPr>
            <a:solidFill>
              <a:srgbClr val="FF0000"/>
            </a:solidFill>
          </c:spPr>
          <c:cat>
            <c:numRef>
              <c:f>'GDP Port Shepstone'!$R$14:$R$24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'GDP Port Shepstone'!$T$14:$T$24</c:f>
              <c:numCache>
                <c:formatCode>0.00</c:formatCode>
                <c:ptCount val="11"/>
                <c:pt idx="0">
                  <c:v>6.3312330084933155</c:v>
                </c:pt>
                <c:pt idx="1">
                  <c:v>4.4966214487245404</c:v>
                </c:pt>
                <c:pt idx="2">
                  <c:v>5.7598463821287433</c:v>
                </c:pt>
                <c:pt idx="3">
                  <c:v>5.5330717684108741</c:v>
                </c:pt>
                <c:pt idx="4">
                  <c:v>5.8739792512231404</c:v>
                </c:pt>
                <c:pt idx="5">
                  <c:v>0.91405474141884446</c:v>
                </c:pt>
                <c:pt idx="6">
                  <c:v>5.0143084354728629</c:v>
                </c:pt>
                <c:pt idx="7">
                  <c:v>0.42363691101861883</c:v>
                </c:pt>
                <c:pt idx="8">
                  <c:v>3.6249062380607553</c:v>
                </c:pt>
                <c:pt idx="9">
                  <c:v>3.8921844597133126</c:v>
                </c:pt>
                <c:pt idx="10">
                  <c:v>1.0062793195827984</c:v>
                </c:pt>
              </c:numCache>
            </c:numRef>
          </c:val>
        </c:ser>
        <c:axId val="225448320"/>
        <c:axId val="225449856"/>
      </c:barChart>
      <c:catAx>
        <c:axId val="22544832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449856"/>
        <c:crosses val="autoZero"/>
        <c:auto val="1"/>
        <c:lblAlgn val="ctr"/>
        <c:lblOffset val="100"/>
      </c:catAx>
      <c:valAx>
        <c:axId val="225449856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44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858437050207435"/>
          <c:y val="3.6950489884416633E-2"/>
          <c:w val="0.26623536384327678"/>
          <c:h val="7.487748814006949E-2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821E-2"/>
          <c:y val="3.8152988608382718E-2"/>
          <c:w val="0.91042422686294056"/>
          <c:h val="0.91999856182360751"/>
        </c:manualLayout>
      </c:layout>
      <c:lineChart>
        <c:grouping val="standard"/>
        <c:ser>
          <c:idx val="1"/>
          <c:order val="0"/>
          <c:tx>
            <c:strRef>
              <c:f>'GDP Newcastle'!$O$2</c:f>
              <c:strCache>
                <c:ptCount val="1"/>
                <c:pt idx="0">
                  <c:v>Newcastle Annual Rate</c:v>
                </c:pt>
              </c:strCache>
            </c:strRef>
          </c:tx>
          <c:spPr>
            <a:ln w="44450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28575">
                <a:solidFill>
                  <a:srgbClr val="0070C0"/>
                </a:solidFill>
              </a:ln>
            </c:spPr>
            <c:trendlineType val="poly"/>
            <c:order val="6"/>
          </c:trendline>
          <c:cat>
            <c:strRef>
              <c:f>'GDP Newcastle'!$A$11:$A$54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Newcastle'!$O$11:$O$54</c:f>
              <c:numCache>
                <c:formatCode>0.00</c:formatCode>
                <c:ptCount val="44"/>
                <c:pt idx="0">
                  <c:v>6.710168141564762</c:v>
                </c:pt>
                <c:pt idx="1">
                  <c:v>6.9786421093586837</c:v>
                </c:pt>
                <c:pt idx="2">
                  <c:v>6.3475743971881107</c:v>
                </c:pt>
                <c:pt idx="3">
                  <c:v>5.3196362233653982</c:v>
                </c:pt>
                <c:pt idx="4">
                  <c:v>3.3654995899011184</c:v>
                </c:pt>
                <c:pt idx="5">
                  <c:v>3.2269541248739242</c:v>
                </c:pt>
                <c:pt idx="6">
                  <c:v>5.2008073127597658</c:v>
                </c:pt>
                <c:pt idx="7">
                  <c:v>6.1388701437537962</c:v>
                </c:pt>
                <c:pt idx="8">
                  <c:v>5.9501595515856893</c:v>
                </c:pt>
                <c:pt idx="9">
                  <c:v>5.148725483538156</c:v>
                </c:pt>
                <c:pt idx="10">
                  <c:v>6.161326873480089</c:v>
                </c:pt>
                <c:pt idx="11">
                  <c:v>5.7838691754895404</c:v>
                </c:pt>
                <c:pt idx="12">
                  <c:v>5.3775283645018952</c:v>
                </c:pt>
                <c:pt idx="13">
                  <c:v>4.8714974517456895</c:v>
                </c:pt>
                <c:pt idx="14">
                  <c:v>5.0686275926108113</c:v>
                </c:pt>
                <c:pt idx="15">
                  <c:v>6.7834417443122161</c:v>
                </c:pt>
                <c:pt idx="16">
                  <c:v>6.9781709506472707</c:v>
                </c:pt>
                <c:pt idx="17">
                  <c:v>5.9247394517156629</c:v>
                </c:pt>
                <c:pt idx="18">
                  <c:v>5.3181559214108782</c:v>
                </c:pt>
                <c:pt idx="19">
                  <c:v>5.3652296027814357</c:v>
                </c:pt>
                <c:pt idx="20">
                  <c:v>5.0666443959910312</c:v>
                </c:pt>
                <c:pt idx="21">
                  <c:v>2.6885415366184597</c:v>
                </c:pt>
                <c:pt idx="22">
                  <c:v>2.301689043834334</c:v>
                </c:pt>
                <c:pt idx="23">
                  <c:v>4.6448576445164438</c:v>
                </c:pt>
                <c:pt idx="24">
                  <c:v>-3.5176092433047779</c:v>
                </c:pt>
                <c:pt idx="25">
                  <c:v>3.9081570654368667</c:v>
                </c:pt>
                <c:pt idx="26">
                  <c:v>-0.74997000088062993</c:v>
                </c:pt>
                <c:pt idx="27">
                  <c:v>-4.4529761786750237</c:v>
                </c:pt>
                <c:pt idx="28">
                  <c:v>4.3444897223806169</c:v>
                </c:pt>
                <c:pt idx="29">
                  <c:v>0.73313196824800198</c:v>
                </c:pt>
                <c:pt idx="30">
                  <c:v>3.6833601174900767</c:v>
                </c:pt>
                <c:pt idx="31">
                  <c:v>5.9356809337270455</c:v>
                </c:pt>
                <c:pt idx="32">
                  <c:v>3.6626026951421906</c:v>
                </c:pt>
                <c:pt idx="33">
                  <c:v>3.3344475193302205</c:v>
                </c:pt>
                <c:pt idx="34">
                  <c:v>3.0416205073691462</c:v>
                </c:pt>
                <c:pt idx="35">
                  <c:v>4.0256234597863889</c:v>
                </c:pt>
                <c:pt idx="36">
                  <c:v>2.8002600389778007</c:v>
                </c:pt>
                <c:pt idx="37">
                  <c:v>4.4312688901278081</c:v>
                </c:pt>
                <c:pt idx="38">
                  <c:v>2.623763658498401</c:v>
                </c:pt>
                <c:pt idx="39">
                  <c:v>1.6527251334768209</c:v>
                </c:pt>
                <c:pt idx="40">
                  <c:v>1.7795132088940266</c:v>
                </c:pt>
                <c:pt idx="41">
                  <c:v>1.7279908873065952</c:v>
                </c:pt>
                <c:pt idx="42">
                  <c:v>1.2958012258116742</c:v>
                </c:pt>
                <c:pt idx="43">
                  <c:v>2.0543139460985795</c:v>
                </c:pt>
              </c:numCache>
            </c:numRef>
          </c:val>
        </c:ser>
        <c:marker val="1"/>
        <c:axId val="225396608"/>
        <c:axId val="225398144"/>
      </c:lineChart>
      <c:catAx>
        <c:axId val="22539660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>
                <a:solidFill>
                  <a:schemeClr val="tx1"/>
                </a:solidFill>
              </a:defRPr>
            </a:pPr>
            <a:endParaRPr lang="en-US"/>
          </a:p>
        </c:txPr>
        <c:crossAx val="225398144"/>
        <c:crosses val="autoZero"/>
        <c:auto val="1"/>
        <c:lblAlgn val="ctr"/>
        <c:lblOffset val="100"/>
      </c:catAx>
      <c:valAx>
        <c:axId val="225398144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39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255514512473591"/>
          <c:y val="0.7395745394839347"/>
          <c:w val="0.34362945429367381"/>
          <c:h val="0.11025060223636433"/>
        </c:manualLayout>
      </c:layout>
      <c:spPr>
        <a:gradFill rotWithShape="1">
          <a:gsLst>
            <a:gs pos="0">
              <a:schemeClr val="dk1">
                <a:shade val="51000"/>
                <a:satMod val="130000"/>
              </a:schemeClr>
            </a:gs>
            <a:gs pos="80000">
              <a:schemeClr val="dk1">
                <a:shade val="93000"/>
                <a:satMod val="130000"/>
              </a:schemeClr>
            </a:gs>
            <a:gs pos="100000">
              <a:schemeClr val="dk1"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c:spPr>
      <c:txPr>
        <a:bodyPr/>
        <a:lstStyle/>
        <a:p>
          <a:pPr>
            <a:defRPr lang="en-ZA" sz="120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833" l="0.70000000000000062" r="0.70000000000000062" t="0.75000000000000833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8.358838297386989E-2"/>
          <c:y val="3.8152988608382718E-2"/>
          <c:w val="0.91042422686294056"/>
          <c:h val="0.92608684188449042"/>
        </c:manualLayout>
      </c:layout>
      <c:lineChart>
        <c:grouping val="standard"/>
        <c:ser>
          <c:idx val="1"/>
          <c:order val="0"/>
          <c:tx>
            <c:strRef>
              <c:f>'GDP Newcastle'!$N$2</c:f>
              <c:strCache>
                <c:ptCount val="1"/>
                <c:pt idx="0">
                  <c:v>Newcastle Quarterly Rate</c:v>
                </c:pt>
              </c:strCache>
            </c:strRef>
          </c:tx>
          <c:spPr>
            <a:ln w="44450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31750">
                <a:solidFill>
                  <a:srgbClr val="0070C0"/>
                </a:solidFill>
              </a:ln>
            </c:spPr>
            <c:trendlineType val="poly"/>
            <c:order val="6"/>
          </c:trendline>
          <c:cat>
            <c:strRef>
              <c:f>'GDP Newcastle'!$A$11:$C$54</c:f>
              <c:strCache>
                <c:ptCount val="44"/>
                <c:pt idx="0">
                  <c:v>2003q1</c:v>
                </c:pt>
                <c:pt idx="1">
                  <c:v>2003q2</c:v>
                </c:pt>
                <c:pt idx="2">
                  <c:v>2003q3</c:v>
                </c:pt>
                <c:pt idx="3">
                  <c:v>2003q4</c:v>
                </c:pt>
                <c:pt idx="4">
                  <c:v>2004q1</c:v>
                </c:pt>
                <c:pt idx="5">
                  <c:v>2004q2</c:v>
                </c:pt>
                <c:pt idx="6">
                  <c:v>2004q3</c:v>
                </c:pt>
                <c:pt idx="7">
                  <c:v>2004q4</c:v>
                </c:pt>
                <c:pt idx="8">
                  <c:v>2005q1</c:v>
                </c:pt>
                <c:pt idx="9">
                  <c:v>2005q2</c:v>
                </c:pt>
                <c:pt idx="10">
                  <c:v>2005q3</c:v>
                </c:pt>
                <c:pt idx="11">
                  <c:v>2005q4</c:v>
                </c:pt>
                <c:pt idx="12">
                  <c:v>2006q1</c:v>
                </c:pt>
                <c:pt idx="13">
                  <c:v>2006q2</c:v>
                </c:pt>
                <c:pt idx="14">
                  <c:v>2006q3</c:v>
                </c:pt>
                <c:pt idx="15">
                  <c:v>2006q4</c:v>
                </c:pt>
                <c:pt idx="16">
                  <c:v>2007q1</c:v>
                </c:pt>
                <c:pt idx="17">
                  <c:v>2007q2</c:v>
                </c:pt>
                <c:pt idx="18">
                  <c:v>2007q3</c:v>
                </c:pt>
                <c:pt idx="19">
                  <c:v>2007q4</c:v>
                </c:pt>
                <c:pt idx="20">
                  <c:v>2008q1</c:v>
                </c:pt>
                <c:pt idx="21">
                  <c:v>2008q2</c:v>
                </c:pt>
                <c:pt idx="22">
                  <c:v>2008q3</c:v>
                </c:pt>
                <c:pt idx="23">
                  <c:v>2008q4</c:v>
                </c:pt>
                <c:pt idx="24">
                  <c:v>2009q1</c:v>
                </c:pt>
                <c:pt idx="25">
                  <c:v>2009q2</c:v>
                </c:pt>
                <c:pt idx="26">
                  <c:v>2009q3</c:v>
                </c:pt>
                <c:pt idx="27">
                  <c:v>2009q4</c:v>
                </c:pt>
                <c:pt idx="28">
                  <c:v>2010q1</c:v>
                </c:pt>
                <c:pt idx="29">
                  <c:v>2010q2</c:v>
                </c:pt>
                <c:pt idx="30">
                  <c:v>2010q3</c:v>
                </c:pt>
                <c:pt idx="31">
                  <c:v>2010q4</c:v>
                </c:pt>
                <c:pt idx="32">
                  <c:v>2011q1</c:v>
                </c:pt>
                <c:pt idx="33">
                  <c:v>2011q2</c:v>
                </c:pt>
                <c:pt idx="34">
                  <c:v>2011q3</c:v>
                </c:pt>
                <c:pt idx="35">
                  <c:v>2011q4</c:v>
                </c:pt>
                <c:pt idx="36">
                  <c:v>2012q1</c:v>
                </c:pt>
                <c:pt idx="37">
                  <c:v>2012q2</c:v>
                </c:pt>
                <c:pt idx="38">
                  <c:v>2012q3</c:v>
                </c:pt>
                <c:pt idx="39">
                  <c:v>2012q4</c:v>
                </c:pt>
                <c:pt idx="40">
                  <c:v>2013q1</c:v>
                </c:pt>
                <c:pt idx="41">
                  <c:v>2013q2</c:v>
                </c:pt>
                <c:pt idx="42">
                  <c:v>2013q3</c:v>
                </c:pt>
                <c:pt idx="43">
                  <c:v>2013q4</c:v>
                </c:pt>
              </c:strCache>
            </c:strRef>
          </c:cat>
          <c:val>
            <c:numRef>
              <c:f>'GDP Newcastle'!$N$11:$N$54</c:f>
              <c:numCache>
                <c:formatCode>0.00</c:formatCode>
                <c:ptCount val="44"/>
                <c:pt idx="0">
                  <c:v>-0.35971335266132504</c:v>
                </c:pt>
                <c:pt idx="1">
                  <c:v>6.3924065400689924</c:v>
                </c:pt>
                <c:pt idx="2">
                  <c:v>-0.41420956814539006</c:v>
                </c:pt>
                <c:pt idx="3">
                  <c:v>-0.23771799783022957</c:v>
                </c:pt>
                <c:pt idx="4">
                  <c:v>-2.2084733872430737</c:v>
                </c:pt>
                <c:pt idx="5">
                  <c:v>6.2498039744359986</c:v>
                </c:pt>
                <c:pt idx="6">
                  <c:v>1.4900191440014299</c:v>
                </c:pt>
                <c:pt idx="7">
                  <c:v>0.65185016302198806</c:v>
                </c:pt>
                <c:pt idx="8">
                  <c:v>-2.3823427422788135</c:v>
                </c:pt>
                <c:pt idx="9">
                  <c:v>5.4461033194405175</c:v>
                </c:pt>
                <c:pt idx="10">
                  <c:v>2.4673865250881231</c:v>
                </c:pt>
                <c:pt idx="11">
                  <c:v>0.29398146657755259</c:v>
                </c:pt>
                <c:pt idx="12">
                  <c:v>-2.7573152057175694</c:v>
                </c:pt>
                <c:pt idx="13">
                  <c:v>4.939743104530633</c:v>
                </c:pt>
                <c:pt idx="14">
                  <c:v>2.6599975855820941</c:v>
                </c:pt>
                <c:pt idx="15">
                  <c:v>1.9308691150601791</c:v>
                </c:pt>
                <c:pt idx="16">
                  <c:v>-2.5799844274380876</c:v>
                </c:pt>
                <c:pt idx="17">
                  <c:v>3.9063843370947726</c:v>
                </c:pt>
                <c:pt idx="18">
                  <c:v>2.0721097693941779</c:v>
                </c:pt>
                <c:pt idx="19">
                  <c:v>1.9764287929007869</c:v>
                </c:pt>
                <c:pt idx="20">
                  <c:v>-2.8560543947785271</c:v>
                </c:pt>
                <c:pt idx="21">
                  <c:v>1.5545430736791206</c:v>
                </c:pt>
                <c:pt idx="22">
                  <c:v>1.6875795236905318</c:v>
                </c:pt>
                <c:pt idx="23">
                  <c:v>4.3121474715516879</c:v>
                </c:pt>
                <c:pt idx="24">
                  <c:v>-10.43343810195085</c:v>
                </c:pt>
                <c:pt idx="25">
                  <c:v>9.3706875384020538</c:v>
                </c:pt>
                <c:pt idx="26">
                  <c:v>-2.8710006673652733</c:v>
                </c:pt>
                <c:pt idx="27">
                  <c:v>0.4202743254218283</c:v>
                </c:pt>
                <c:pt idx="28">
                  <c:v>-2.1866215852336293</c:v>
                </c:pt>
                <c:pt idx="29">
                  <c:v>5.5853733203968661</c:v>
                </c:pt>
                <c:pt idx="30">
                  <c:v>-2.6328786924012804E-2</c:v>
                </c:pt>
                <c:pt idx="31">
                  <c:v>2.601710902892671</c:v>
                </c:pt>
                <c:pt idx="32">
                  <c:v>-4.2854183264011727</c:v>
                </c:pt>
                <c:pt idx="33">
                  <c:v>5.2511314062996135</c:v>
                </c:pt>
                <c:pt idx="34">
                  <c:v>-0.30963210076451719</c:v>
                </c:pt>
                <c:pt idx="35">
                  <c:v>3.5815129086684485</c:v>
                </c:pt>
                <c:pt idx="36">
                  <c:v>-5.4128823426698522</c:v>
                </c:pt>
                <c:pt idx="37">
                  <c:v>6.9210253039623097</c:v>
                </c:pt>
                <c:pt idx="38">
                  <c:v>-2.0350814171996872</c:v>
                </c:pt>
                <c:pt idx="39">
                  <c:v>2.6014120438332515</c:v>
                </c:pt>
                <c:pt idx="40">
                  <c:v>-5.294906965312415</c:v>
                </c:pt>
                <c:pt idx="41">
                  <c:v>6.8669002715615131</c:v>
                </c:pt>
                <c:pt idx="42">
                  <c:v>-2.4512837291826419</c:v>
                </c:pt>
                <c:pt idx="43">
                  <c:v>3.3697013037321581</c:v>
                </c:pt>
              </c:numCache>
            </c:numRef>
          </c:val>
        </c:ser>
        <c:marker val="1"/>
        <c:axId val="225583872"/>
        <c:axId val="225585408"/>
      </c:lineChart>
      <c:catAx>
        <c:axId val="22558387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>
                <a:solidFill>
                  <a:schemeClr val="tx1"/>
                </a:solidFill>
              </a:defRPr>
            </a:pPr>
            <a:endParaRPr lang="en-US"/>
          </a:p>
        </c:txPr>
        <c:crossAx val="225585408"/>
        <c:crosses val="autoZero"/>
        <c:auto val="1"/>
        <c:lblAlgn val="ctr"/>
        <c:lblOffset val="100"/>
      </c:catAx>
      <c:valAx>
        <c:axId val="225585408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58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399975309834737"/>
          <c:y val="9.4216853030357525E-2"/>
          <c:w val="0.34362945429367381"/>
          <c:h val="0.12851544241901294"/>
        </c:manualLayout>
      </c:layout>
      <c:spPr>
        <a:gradFill rotWithShape="1">
          <a:gsLst>
            <a:gs pos="0">
              <a:schemeClr val="dk1">
                <a:shade val="51000"/>
                <a:satMod val="130000"/>
              </a:schemeClr>
            </a:gs>
            <a:gs pos="80000">
              <a:schemeClr val="dk1">
                <a:shade val="93000"/>
                <a:satMod val="130000"/>
              </a:schemeClr>
            </a:gs>
            <a:gs pos="100000">
              <a:schemeClr val="dk1"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c:spPr>
      <c:txPr>
        <a:bodyPr/>
        <a:lstStyle/>
        <a:p>
          <a:pPr>
            <a:defRPr lang="en-ZA" sz="120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gradFill rotWithShape="1">
      <a:gsLst>
        <a:gs pos="0">
          <a:schemeClr val="accent4">
            <a:shade val="51000"/>
            <a:satMod val="130000"/>
          </a:schemeClr>
        </a:gs>
        <a:gs pos="80000">
          <a:schemeClr val="accent4">
            <a:shade val="93000"/>
            <a:satMod val="130000"/>
          </a:schemeClr>
        </a:gs>
        <a:gs pos="100000">
          <a:schemeClr val="accent4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0.11408573928259012"/>
          <c:y val="5.1400554097404488E-2"/>
          <c:w val="0.85177668416448604"/>
          <c:h val="0.89719889180519163"/>
        </c:manualLayout>
      </c:layout>
      <c:barChart>
        <c:barDir val="col"/>
        <c:grouping val="clustered"/>
        <c:ser>
          <c:idx val="0"/>
          <c:order val="0"/>
          <c:tx>
            <c:strRef>
              <c:f>'GDP Newcastle'!$R$11:$T$11</c:f>
              <c:strCache>
                <c:ptCount val="1"/>
                <c:pt idx="0">
                  <c:v>Yearly Growth Rate %</c:v>
                </c:pt>
              </c:strCache>
            </c:strRef>
          </c:tx>
          <c:spPr>
            <a:solidFill>
              <a:srgbClr val="FF0000"/>
            </a:solidFill>
          </c:spPr>
          <c:cat>
            <c:numRef>
              <c:f>'GDP Newcastle'!$R$14:$R$24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'GDP Newcastle'!$T$14:$T$24</c:f>
              <c:numCache>
                <c:formatCode>0.00</c:formatCode>
                <c:ptCount val="11"/>
                <c:pt idx="0">
                  <c:v>6.3312330084932951</c:v>
                </c:pt>
                <c:pt idx="1">
                  <c:v>4.4966214487245688</c:v>
                </c:pt>
                <c:pt idx="2">
                  <c:v>5.7598463821287309</c:v>
                </c:pt>
                <c:pt idx="3">
                  <c:v>5.5330717684108812</c:v>
                </c:pt>
                <c:pt idx="4">
                  <c:v>5.8739792512231226</c:v>
                </c:pt>
                <c:pt idx="5">
                  <c:v>3.6652135631040728</c:v>
                </c:pt>
                <c:pt idx="6">
                  <c:v>-1.2410762858498314</c:v>
                </c:pt>
                <c:pt idx="7">
                  <c:v>3.6447968551302399</c:v>
                </c:pt>
                <c:pt idx="8">
                  <c:v>3.5174562778674616</c:v>
                </c:pt>
                <c:pt idx="9">
                  <c:v>2.8681321791798093</c:v>
                </c:pt>
                <c:pt idx="10">
                  <c:v>1.7159480359634443</c:v>
                </c:pt>
              </c:numCache>
            </c:numRef>
          </c:val>
        </c:ser>
        <c:axId val="225596928"/>
        <c:axId val="225598464"/>
      </c:barChart>
      <c:catAx>
        <c:axId val="22559692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598464"/>
        <c:crosses val="autoZero"/>
        <c:auto val="1"/>
        <c:lblAlgn val="ctr"/>
        <c:lblOffset val="100"/>
      </c:catAx>
      <c:valAx>
        <c:axId val="225598464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59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858437050207435"/>
          <c:y val="3.6950489884416633E-2"/>
          <c:w val="0.26623536384327678"/>
          <c:h val="7.487748814006949E-2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7.4300784865659913E-2"/>
          <c:y val="2.7566777616485096E-2"/>
          <c:w val="0.91959691632748863"/>
          <c:h val="0.94486644476702175"/>
        </c:manualLayout>
      </c:layout>
      <c:bar3DChart>
        <c:barDir val="col"/>
        <c:grouping val="clustered"/>
        <c:ser>
          <c:idx val="0"/>
          <c:order val="0"/>
          <c:tx>
            <c:strRef>
              <c:f>'Growth Rates'!$B$2</c:f>
              <c:strCache>
                <c:ptCount val="1"/>
                <c:pt idx="0">
                  <c:v>SA</c:v>
                </c:pt>
              </c:strCache>
            </c:strRef>
          </c:tx>
          <c:spPr>
            <a:solidFill>
              <a:schemeClr val="bg1"/>
            </a:solidFill>
          </c:spP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Rates'!$B$23:$B$46</c:f>
              <c:numCache>
                <c:formatCode>0.00</c:formatCode>
                <c:ptCount val="24"/>
                <c:pt idx="0">
                  <c:v>3.7678792529728895</c:v>
                </c:pt>
                <c:pt idx="1">
                  <c:v>5.0509671154199225</c:v>
                </c:pt>
                <c:pt idx="2">
                  <c:v>3.946904147816638</c:v>
                </c:pt>
                <c:pt idx="3">
                  <c:v>1.8083779525811465</c:v>
                </c:pt>
                <c:pt idx="4">
                  <c:v>-0.88631919660775771</c:v>
                </c:pt>
                <c:pt idx="5">
                  <c:v>-2.6626152772545963</c:v>
                </c:pt>
                <c:pt idx="6">
                  <c:v>-1.9900122957146882</c:v>
                </c:pt>
                <c:pt idx="7">
                  <c:v>-0.5531500074785598</c:v>
                </c:pt>
                <c:pt idx="8">
                  <c:v>2.3372650165426041</c:v>
                </c:pt>
                <c:pt idx="9">
                  <c:v>3.3785208798298947</c:v>
                </c:pt>
                <c:pt idx="10">
                  <c:v>3.39968776509909</c:v>
                </c:pt>
                <c:pt idx="11">
                  <c:v>3.4134005952214661</c:v>
                </c:pt>
                <c:pt idx="12">
                  <c:v>3.8126401154293394</c:v>
                </c:pt>
                <c:pt idx="13">
                  <c:v>3.635540830861852</c:v>
                </c:pt>
                <c:pt idx="14">
                  <c:v>3.2663322467627163</c:v>
                </c:pt>
                <c:pt idx="15">
                  <c:v>3.691340647527467</c:v>
                </c:pt>
                <c:pt idx="16">
                  <c:v>2.6952861732772653</c:v>
                </c:pt>
                <c:pt idx="17">
                  <c:v>2.9342589752829054</c:v>
                </c:pt>
                <c:pt idx="18">
                  <c:v>2.1794454178951255</c:v>
                </c:pt>
                <c:pt idx="19">
                  <c:v>2.0839574255435895</c:v>
                </c:pt>
                <c:pt idx="20">
                  <c:v>1.607804806903508</c:v>
                </c:pt>
                <c:pt idx="21">
                  <c:v>2.291853286638653</c:v>
                </c:pt>
                <c:pt idx="22">
                  <c:v>1.6800481318341447</c:v>
                </c:pt>
                <c:pt idx="23">
                  <c:v>1.9729664919176784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'Growth Rates'!$C$2</c:f>
              <c:strCache>
                <c:ptCount val="1"/>
                <c:pt idx="0">
                  <c:v>KZN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</c:spP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Rates'!$C$23:$C$46</c:f>
              <c:numCache>
                <c:formatCode>0.00</c:formatCode>
                <c:ptCount val="24"/>
                <c:pt idx="0">
                  <c:v>4.4557257316006122</c:v>
                </c:pt>
                <c:pt idx="1">
                  <c:v>5.6068726216044329</c:v>
                </c:pt>
                <c:pt idx="2">
                  <c:v>4.4413177630973202</c:v>
                </c:pt>
                <c:pt idx="3">
                  <c:v>1.7485037784407846</c:v>
                </c:pt>
                <c:pt idx="4">
                  <c:v>-0.88905027110819379</c:v>
                </c:pt>
                <c:pt idx="5">
                  <c:v>-2.9717783010492322</c:v>
                </c:pt>
                <c:pt idx="6">
                  <c:v>-2.1295348132728438</c:v>
                </c:pt>
                <c:pt idx="7">
                  <c:v>-0.23075114519659654</c:v>
                </c:pt>
                <c:pt idx="8">
                  <c:v>2.6839245005952592</c:v>
                </c:pt>
                <c:pt idx="9">
                  <c:v>4.4186159836273537</c:v>
                </c:pt>
                <c:pt idx="10">
                  <c:v>3.9319518223983594</c:v>
                </c:pt>
                <c:pt idx="11">
                  <c:v>3.8761962727699535</c:v>
                </c:pt>
                <c:pt idx="12">
                  <c:v>3.8362917402274812</c:v>
                </c:pt>
                <c:pt idx="13">
                  <c:v>3.1783364335934463</c:v>
                </c:pt>
                <c:pt idx="14">
                  <c:v>3.3564445934469118</c:v>
                </c:pt>
                <c:pt idx="15">
                  <c:v>3.8715772772594685</c:v>
                </c:pt>
                <c:pt idx="16">
                  <c:v>3.2334924026671508</c:v>
                </c:pt>
                <c:pt idx="17">
                  <c:v>3.2776619850437774</c:v>
                </c:pt>
                <c:pt idx="18">
                  <c:v>2.3332889152125866</c:v>
                </c:pt>
                <c:pt idx="19">
                  <c:v>2.4165410345637248</c:v>
                </c:pt>
                <c:pt idx="20">
                  <c:v>1.4376275661035978</c:v>
                </c:pt>
                <c:pt idx="21">
                  <c:v>2.534154732424474</c:v>
                </c:pt>
                <c:pt idx="22">
                  <c:v>1.3841508424852393</c:v>
                </c:pt>
                <c:pt idx="23">
                  <c:v>1.5959141345094023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'Growth Rates'!$D$2</c:f>
              <c:strCache>
                <c:ptCount val="1"/>
                <c:pt idx="0">
                  <c:v>Durban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Rates'!$D$23:$D$46</c:f>
              <c:numCache>
                <c:formatCode>0.00</c:formatCode>
                <c:ptCount val="24"/>
                <c:pt idx="0">
                  <c:v>6.659381241901956</c:v>
                </c:pt>
                <c:pt idx="1">
                  <c:v>8.0239697053462784</c:v>
                </c:pt>
                <c:pt idx="2">
                  <c:v>5.9989353934874128</c:v>
                </c:pt>
                <c:pt idx="3">
                  <c:v>0.10931599632623107</c:v>
                </c:pt>
                <c:pt idx="4">
                  <c:v>-4.1833807471969031</c:v>
                </c:pt>
                <c:pt idx="5">
                  <c:v>-6.5464750007682104</c:v>
                </c:pt>
                <c:pt idx="6">
                  <c:v>-5.0283678005535855</c:v>
                </c:pt>
                <c:pt idx="7">
                  <c:v>-0.91554574812301315</c:v>
                </c:pt>
                <c:pt idx="8">
                  <c:v>4.3060638147890655</c:v>
                </c:pt>
                <c:pt idx="9">
                  <c:v>6.272766037276531</c:v>
                </c:pt>
                <c:pt idx="10">
                  <c:v>5.5222184710701585</c:v>
                </c:pt>
                <c:pt idx="11">
                  <c:v>4.9256777562049203</c:v>
                </c:pt>
                <c:pt idx="12">
                  <c:v>3.9312491107488516</c:v>
                </c:pt>
                <c:pt idx="13">
                  <c:v>3.2708365816054679</c:v>
                </c:pt>
                <c:pt idx="14">
                  <c:v>3.3537663260483965</c:v>
                </c:pt>
                <c:pt idx="15">
                  <c:v>3.4158515091313304</c:v>
                </c:pt>
                <c:pt idx="16">
                  <c:v>2.6359484482291409</c:v>
                </c:pt>
                <c:pt idx="17">
                  <c:v>2.615897726678631</c:v>
                </c:pt>
                <c:pt idx="18">
                  <c:v>1.8209741207855481</c:v>
                </c:pt>
                <c:pt idx="19">
                  <c:v>2.3744561087979377</c:v>
                </c:pt>
                <c:pt idx="20">
                  <c:v>1.8002662612428868</c:v>
                </c:pt>
                <c:pt idx="21">
                  <c:v>2.9441686100248177</c:v>
                </c:pt>
                <c:pt idx="22">
                  <c:v>1.7251089294049622</c:v>
                </c:pt>
                <c:pt idx="23">
                  <c:v>1.7730539992569583</c:v>
                </c:pt>
              </c:numCache>
            </c:numRef>
          </c:val>
          <c:shape val="cylinder"/>
        </c:ser>
        <c:ser>
          <c:idx val="3"/>
          <c:order val="3"/>
          <c:tx>
            <c:strRef>
              <c:f>'Growth Rates'!$E$2</c:f>
              <c:strCache>
                <c:ptCount val="1"/>
                <c:pt idx="0">
                  <c:v>Pietermaritzburg</c:v>
                </c:pt>
              </c:strCache>
            </c:strRef>
          </c:tx>
          <c:spPr>
            <a:solidFill>
              <a:srgbClr val="6735F5"/>
            </a:solidFill>
          </c:spP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Rates'!$E$23:$E$46</c:f>
              <c:numCache>
                <c:formatCode>0.00</c:formatCode>
                <c:ptCount val="24"/>
                <c:pt idx="0">
                  <c:v>6.5905501605554431</c:v>
                </c:pt>
                <c:pt idx="1">
                  <c:v>-0.41725428848533774</c:v>
                </c:pt>
                <c:pt idx="2">
                  <c:v>0.52831918799998168</c:v>
                </c:pt>
                <c:pt idx="3">
                  <c:v>3.3041891537364751</c:v>
                </c:pt>
                <c:pt idx="4">
                  <c:v>-2.9859467741072665</c:v>
                </c:pt>
                <c:pt idx="5">
                  <c:v>6.3450074360088839</c:v>
                </c:pt>
                <c:pt idx="6">
                  <c:v>4.3676731056241405</c:v>
                </c:pt>
                <c:pt idx="7">
                  <c:v>12.051045039075614</c:v>
                </c:pt>
                <c:pt idx="8">
                  <c:v>3.4632115352520652</c:v>
                </c:pt>
                <c:pt idx="9">
                  <c:v>0.24102815541291017</c:v>
                </c:pt>
                <c:pt idx="10">
                  <c:v>0.88310954046919299</c:v>
                </c:pt>
                <c:pt idx="11">
                  <c:v>-4.1785895781736988</c:v>
                </c:pt>
                <c:pt idx="12">
                  <c:v>4.057377113234196</c:v>
                </c:pt>
                <c:pt idx="13">
                  <c:v>2.9063121255141104</c:v>
                </c:pt>
                <c:pt idx="14">
                  <c:v>3.2292684603540045</c:v>
                </c:pt>
                <c:pt idx="15">
                  <c:v>5.578467219794577</c:v>
                </c:pt>
                <c:pt idx="16">
                  <c:v>2.8286342142584067</c:v>
                </c:pt>
                <c:pt idx="17">
                  <c:v>4.8981721070490742</c:v>
                </c:pt>
                <c:pt idx="18">
                  <c:v>3.4494967945427057</c:v>
                </c:pt>
                <c:pt idx="19">
                  <c:v>4.1360238317283073</c:v>
                </c:pt>
                <c:pt idx="20">
                  <c:v>1.631759275534947</c:v>
                </c:pt>
                <c:pt idx="21">
                  <c:v>1.5671126581438508</c:v>
                </c:pt>
                <c:pt idx="22">
                  <c:v>0.69605391629085445</c:v>
                </c:pt>
                <c:pt idx="23">
                  <c:v>-6.0907402487405511E-2</c:v>
                </c:pt>
              </c:numCache>
            </c:numRef>
          </c:val>
          <c:shape val="cylinder"/>
        </c:ser>
        <c:ser>
          <c:idx val="4"/>
          <c:order val="4"/>
          <c:tx>
            <c:strRef>
              <c:f>'Growth Rates'!$F$2</c:f>
              <c:strCache>
                <c:ptCount val="1"/>
                <c:pt idx="0">
                  <c:v>Richards Bay</c:v>
                </c:pt>
              </c:strCache>
            </c:strRef>
          </c:tx>
          <c:spPr>
            <a:solidFill>
              <a:srgbClr val="FFFF00"/>
            </a:solidFill>
          </c:spP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Rates'!$F$23:$F$46</c:f>
              <c:numCache>
                <c:formatCode>0.00</c:formatCode>
                <c:ptCount val="24"/>
                <c:pt idx="0">
                  <c:v>6.2648635144563301</c:v>
                </c:pt>
                <c:pt idx="1">
                  <c:v>16.476968115498256</c:v>
                </c:pt>
                <c:pt idx="2">
                  <c:v>14.170112957362122</c:v>
                </c:pt>
                <c:pt idx="3">
                  <c:v>2.8791876748986271</c:v>
                </c:pt>
                <c:pt idx="4">
                  <c:v>-11.587143150815711</c:v>
                </c:pt>
                <c:pt idx="5">
                  <c:v>-19.874547534381865</c:v>
                </c:pt>
                <c:pt idx="6">
                  <c:v>-14.64590406295091</c:v>
                </c:pt>
                <c:pt idx="7">
                  <c:v>-5.5942618228423795</c:v>
                </c:pt>
                <c:pt idx="8">
                  <c:v>10.313965751809921</c:v>
                </c:pt>
                <c:pt idx="9">
                  <c:v>15.170133496640489</c:v>
                </c:pt>
                <c:pt idx="10">
                  <c:v>10.707351713587176</c:v>
                </c:pt>
                <c:pt idx="11">
                  <c:v>7.4084020040233511</c:v>
                </c:pt>
                <c:pt idx="12">
                  <c:v>2.9467296623738157</c:v>
                </c:pt>
                <c:pt idx="13">
                  <c:v>3.3349565933560221</c:v>
                </c:pt>
                <c:pt idx="14">
                  <c:v>3.8823218567518127</c:v>
                </c:pt>
                <c:pt idx="15">
                  <c:v>3.4967237348459475</c:v>
                </c:pt>
                <c:pt idx="16">
                  <c:v>1.4275162661626599</c:v>
                </c:pt>
                <c:pt idx="17">
                  <c:v>-3.5594420839049207E-2</c:v>
                </c:pt>
                <c:pt idx="18">
                  <c:v>-8.9133086241903928E-2</c:v>
                </c:pt>
                <c:pt idx="19">
                  <c:v>1.5370874204313438</c:v>
                </c:pt>
                <c:pt idx="20">
                  <c:v>2.9391079889622613</c:v>
                </c:pt>
                <c:pt idx="21">
                  <c:v>4.7462550441609501</c:v>
                </c:pt>
                <c:pt idx="22">
                  <c:v>2.8476879616742683</c:v>
                </c:pt>
                <c:pt idx="23">
                  <c:v>2.3062749421245874</c:v>
                </c:pt>
              </c:numCache>
            </c:numRef>
          </c:val>
          <c:shape val="cylinder"/>
        </c:ser>
        <c:ser>
          <c:idx val="5"/>
          <c:order val="5"/>
          <c:tx>
            <c:strRef>
              <c:f>'Growth Rates'!$G$2</c:f>
              <c:strCache>
                <c:ptCount val="1"/>
                <c:pt idx="0">
                  <c:v>Port Shepstone</c:v>
                </c:pt>
              </c:strCache>
            </c:strRef>
          </c:tx>
          <c:spPr>
            <a:solidFill>
              <a:srgbClr val="00B050"/>
            </a:solidFill>
          </c:spP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Rates'!$G$23:$G$46</c:f>
              <c:numCache>
                <c:formatCode>0.00</c:formatCode>
                <c:ptCount val="24"/>
                <c:pt idx="0">
                  <c:v>0.50359969455026887</c:v>
                </c:pt>
                <c:pt idx="1">
                  <c:v>-2.4419693768498516</c:v>
                </c:pt>
                <c:pt idx="2">
                  <c:v>-3.0433902600921994</c:v>
                </c:pt>
                <c:pt idx="3">
                  <c:v>8.3984755457705731</c:v>
                </c:pt>
                <c:pt idx="4">
                  <c:v>8.1682299577469397</c:v>
                </c:pt>
                <c:pt idx="5">
                  <c:v>9.1637801253053119</c:v>
                </c:pt>
                <c:pt idx="6">
                  <c:v>8.6876640906282088</c:v>
                </c:pt>
                <c:pt idx="7">
                  <c:v>-4.4991216689317151</c:v>
                </c:pt>
                <c:pt idx="8">
                  <c:v>-1.814863106321029</c:v>
                </c:pt>
                <c:pt idx="9">
                  <c:v>-0.76769433849657076</c:v>
                </c:pt>
                <c:pt idx="10">
                  <c:v>-0.55574805495020074</c:v>
                </c:pt>
                <c:pt idx="11">
                  <c:v>4.7522109745600432</c:v>
                </c:pt>
                <c:pt idx="12">
                  <c:v>3.9771278436845554</c:v>
                </c:pt>
                <c:pt idx="13">
                  <c:v>2.750152069878538</c:v>
                </c:pt>
                <c:pt idx="14">
                  <c:v>2.8823375140957825</c:v>
                </c:pt>
                <c:pt idx="15">
                  <c:v>4.8270342631528287</c:v>
                </c:pt>
                <c:pt idx="16">
                  <c:v>4.7148376755636772</c:v>
                </c:pt>
                <c:pt idx="17">
                  <c:v>5.3713276789582061</c:v>
                </c:pt>
                <c:pt idx="18">
                  <c:v>4.1941258590952009</c:v>
                </c:pt>
                <c:pt idx="19">
                  <c:v>1.5113249649259304</c:v>
                </c:pt>
                <c:pt idx="20">
                  <c:v>0.43582045337149722</c:v>
                </c:pt>
                <c:pt idx="21">
                  <c:v>1.3155576863446863</c:v>
                </c:pt>
                <c:pt idx="22">
                  <c:v>0.33000209962056687</c:v>
                </c:pt>
                <c:pt idx="23">
                  <c:v>1.8884730023566987</c:v>
                </c:pt>
              </c:numCache>
            </c:numRef>
          </c:val>
          <c:shape val="cylinder"/>
        </c:ser>
        <c:ser>
          <c:idx val="6"/>
          <c:order val="6"/>
          <c:tx>
            <c:strRef>
              <c:f>'Growth Rates'!$H$2</c:f>
              <c:strCache>
                <c:ptCount val="1"/>
                <c:pt idx="0">
                  <c:v>Newcastle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Rates'!$H$23:$H$46</c:f>
              <c:numCache>
                <c:formatCode>0.00</c:formatCode>
                <c:ptCount val="24"/>
                <c:pt idx="0">
                  <c:v>5.0666443959910312</c:v>
                </c:pt>
                <c:pt idx="1">
                  <c:v>2.6885415366184597</c:v>
                </c:pt>
                <c:pt idx="2">
                  <c:v>2.301689043834334</c:v>
                </c:pt>
                <c:pt idx="3">
                  <c:v>4.6448576445164438</c:v>
                </c:pt>
                <c:pt idx="4">
                  <c:v>-3.5176092433047779</c:v>
                </c:pt>
                <c:pt idx="5">
                  <c:v>3.9081570654368667</c:v>
                </c:pt>
                <c:pt idx="6">
                  <c:v>-0.74997000088062993</c:v>
                </c:pt>
                <c:pt idx="7">
                  <c:v>-4.4529761786750237</c:v>
                </c:pt>
                <c:pt idx="8">
                  <c:v>4.3444897223806169</c:v>
                </c:pt>
                <c:pt idx="9">
                  <c:v>0.73313196824800198</c:v>
                </c:pt>
                <c:pt idx="10">
                  <c:v>3.6833601174900767</c:v>
                </c:pt>
                <c:pt idx="11">
                  <c:v>5.9356809337270455</c:v>
                </c:pt>
                <c:pt idx="12">
                  <c:v>3.6626026951421906</c:v>
                </c:pt>
                <c:pt idx="13">
                  <c:v>3.3344475193302205</c:v>
                </c:pt>
                <c:pt idx="14">
                  <c:v>3.0416205073691462</c:v>
                </c:pt>
                <c:pt idx="15">
                  <c:v>4.0256234597863889</c:v>
                </c:pt>
                <c:pt idx="16">
                  <c:v>2.8002600389778007</c:v>
                </c:pt>
                <c:pt idx="17">
                  <c:v>4.4312688901278081</c:v>
                </c:pt>
                <c:pt idx="18">
                  <c:v>2.623763658498401</c:v>
                </c:pt>
                <c:pt idx="19">
                  <c:v>1.6527251334768209</c:v>
                </c:pt>
                <c:pt idx="20">
                  <c:v>1.7795132088940266</c:v>
                </c:pt>
                <c:pt idx="21">
                  <c:v>1.7279908873065952</c:v>
                </c:pt>
                <c:pt idx="22">
                  <c:v>1.2958012258116742</c:v>
                </c:pt>
                <c:pt idx="23">
                  <c:v>2.0543139460985795</c:v>
                </c:pt>
              </c:numCache>
            </c:numRef>
          </c:val>
          <c:shape val="cylinder"/>
        </c:ser>
        <c:shape val="box"/>
        <c:axId val="225684096"/>
        <c:axId val="225698176"/>
        <c:axId val="0"/>
      </c:bar3DChart>
      <c:catAx>
        <c:axId val="22568409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698176"/>
        <c:crosses val="autoZero"/>
        <c:auto val="1"/>
        <c:lblAlgn val="ctr"/>
        <c:lblOffset val="100"/>
      </c:catAx>
      <c:valAx>
        <c:axId val="225698176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684096"/>
        <c:crosses val="autoZero"/>
        <c:crossBetween val="between"/>
      </c:valAx>
      <c:spPr>
        <a:solidFill>
          <a:schemeClr val="accent3">
            <a:lumMod val="60000"/>
            <a:lumOff val="40000"/>
          </a:schemeClr>
        </a:solidFill>
      </c:spPr>
    </c:plotArea>
    <c:legend>
      <c:legendPos val="r"/>
      <c:layout>
        <c:manualLayout>
          <c:xMode val="edge"/>
          <c:yMode val="edge"/>
          <c:x val="0.12755309571810769"/>
          <c:y val="1.7591064589980145E-2"/>
          <c:w val="0.82966183574879948"/>
          <c:h val="0.13712522461638413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chemeClr val="accent3">
        <a:lumMod val="40000"/>
        <a:lumOff val="60000"/>
      </a:schemeClr>
    </a:solidFill>
  </c:spPr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0.10966337763929269"/>
          <c:y val="4.1935862833009895E-2"/>
          <c:w val="0.87772809147520336"/>
          <c:h val="0.91612827433398558"/>
        </c:manualLayout>
      </c:layout>
      <c:lineChart>
        <c:grouping val="standard"/>
        <c:ser>
          <c:idx val="0"/>
          <c:order val="0"/>
          <c:tx>
            <c:strRef>
              <c:f>'Growth Rates'!$D$2</c:f>
              <c:strCache>
                <c:ptCount val="1"/>
                <c:pt idx="0">
                  <c:v>Durban</c:v>
                </c:pt>
              </c:strCache>
            </c:strRef>
          </c:tx>
          <c:marker>
            <c:symbol val="none"/>
          </c:marke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Rates'!$D$23:$D$46</c:f>
              <c:numCache>
                <c:formatCode>0.00</c:formatCode>
                <c:ptCount val="24"/>
                <c:pt idx="0">
                  <c:v>6.659381241901956</c:v>
                </c:pt>
                <c:pt idx="1">
                  <c:v>8.0239697053462784</c:v>
                </c:pt>
                <c:pt idx="2">
                  <c:v>5.9989353934874128</c:v>
                </c:pt>
                <c:pt idx="3">
                  <c:v>0.10931599632623107</c:v>
                </c:pt>
                <c:pt idx="4">
                  <c:v>-4.1833807471969031</c:v>
                </c:pt>
                <c:pt idx="5">
                  <c:v>-6.5464750007682104</c:v>
                </c:pt>
                <c:pt idx="6">
                  <c:v>-5.0283678005535855</c:v>
                </c:pt>
                <c:pt idx="7">
                  <c:v>-0.91554574812301315</c:v>
                </c:pt>
                <c:pt idx="8">
                  <c:v>4.3060638147890655</c:v>
                </c:pt>
                <c:pt idx="9">
                  <c:v>6.272766037276531</c:v>
                </c:pt>
                <c:pt idx="10">
                  <c:v>5.5222184710701585</c:v>
                </c:pt>
                <c:pt idx="11">
                  <c:v>4.9256777562049203</c:v>
                </c:pt>
                <c:pt idx="12">
                  <c:v>3.9312491107488516</c:v>
                </c:pt>
                <c:pt idx="13">
                  <c:v>3.2708365816054679</c:v>
                </c:pt>
                <c:pt idx="14">
                  <c:v>3.3537663260483965</c:v>
                </c:pt>
                <c:pt idx="15">
                  <c:v>3.4158515091313304</c:v>
                </c:pt>
                <c:pt idx="16">
                  <c:v>2.6359484482291409</c:v>
                </c:pt>
                <c:pt idx="17">
                  <c:v>2.615897726678631</c:v>
                </c:pt>
                <c:pt idx="18">
                  <c:v>1.8209741207855481</c:v>
                </c:pt>
                <c:pt idx="19">
                  <c:v>2.3744561087979377</c:v>
                </c:pt>
                <c:pt idx="20">
                  <c:v>1.8002662612428868</c:v>
                </c:pt>
                <c:pt idx="21">
                  <c:v>2.9441686100248177</c:v>
                </c:pt>
                <c:pt idx="22">
                  <c:v>1.7251089294049622</c:v>
                </c:pt>
                <c:pt idx="23">
                  <c:v>1.7730539992569583</c:v>
                </c:pt>
              </c:numCache>
            </c:numRef>
          </c:val>
        </c:ser>
        <c:ser>
          <c:idx val="1"/>
          <c:order val="1"/>
          <c:tx>
            <c:strRef>
              <c:f>'Growth Rates'!$E$2</c:f>
              <c:strCache>
                <c:ptCount val="1"/>
                <c:pt idx="0">
                  <c:v>Pietermaritzburg</c:v>
                </c:pt>
              </c:strCache>
            </c:strRef>
          </c:tx>
          <c:marker>
            <c:symbol val="none"/>
          </c:marke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Rates'!$E$23:$E$46</c:f>
              <c:numCache>
                <c:formatCode>0.00</c:formatCode>
                <c:ptCount val="24"/>
                <c:pt idx="0">
                  <c:v>6.5905501605554431</c:v>
                </c:pt>
                <c:pt idx="1">
                  <c:v>-0.41725428848533774</c:v>
                </c:pt>
                <c:pt idx="2">
                  <c:v>0.52831918799998168</c:v>
                </c:pt>
                <c:pt idx="3">
                  <c:v>3.3041891537364751</c:v>
                </c:pt>
                <c:pt idx="4">
                  <c:v>-2.9859467741072665</c:v>
                </c:pt>
                <c:pt idx="5">
                  <c:v>6.3450074360088839</c:v>
                </c:pt>
                <c:pt idx="6">
                  <c:v>4.3676731056241405</c:v>
                </c:pt>
                <c:pt idx="7">
                  <c:v>12.051045039075614</c:v>
                </c:pt>
                <c:pt idx="8">
                  <c:v>3.4632115352520652</c:v>
                </c:pt>
                <c:pt idx="9">
                  <c:v>0.24102815541291017</c:v>
                </c:pt>
                <c:pt idx="10">
                  <c:v>0.88310954046919299</c:v>
                </c:pt>
                <c:pt idx="11">
                  <c:v>-4.1785895781736988</c:v>
                </c:pt>
                <c:pt idx="12">
                  <c:v>4.057377113234196</c:v>
                </c:pt>
                <c:pt idx="13">
                  <c:v>2.9063121255141104</c:v>
                </c:pt>
                <c:pt idx="14">
                  <c:v>3.2292684603540045</c:v>
                </c:pt>
                <c:pt idx="15">
                  <c:v>5.578467219794577</c:v>
                </c:pt>
                <c:pt idx="16">
                  <c:v>2.8286342142584067</c:v>
                </c:pt>
                <c:pt idx="17">
                  <c:v>4.8981721070490742</c:v>
                </c:pt>
                <c:pt idx="18">
                  <c:v>3.4494967945427057</c:v>
                </c:pt>
                <c:pt idx="19">
                  <c:v>4.1360238317283073</c:v>
                </c:pt>
                <c:pt idx="20">
                  <c:v>1.631759275534947</c:v>
                </c:pt>
                <c:pt idx="21">
                  <c:v>1.5671126581438508</c:v>
                </c:pt>
                <c:pt idx="22">
                  <c:v>0.69605391629085445</c:v>
                </c:pt>
                <c:pt idx="23">
                  <c:v>-6.0907402487405511E-2</c:v>
                </c:pt>
              </c:numCache>
            </c:numRef>
          </c:val>
        </c:ser>
        <c:ser>
          <c:idx val="2"/>
          <c:order val="2"/>
          <c:tx>
            <c:strRef>
              <c:f>'Growth Rates'!$F$2</c:f>
              <c:strCache>
                <c:ptCount val="1"/>
                <c:pt idx="0">
                  <c:v>Richards Bay</c:v>
                </c:pt>
              </c:strCache>
            </c:strRef>
          </c:tx>
          <c:marker>
            <c:symbol val="none"/>
          </c:marke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Rates'!$F$23:$F$46</c:f>
              <c:numCache>
                <c:formatCode>0.00</c:formatCode>
                <c:ptCount val="24"/>
                <c:pt idx="0">
                  <c:v>6.2648635144563301</c:v>
                </c:pt>
                <c:pt idx="1">
                  <c:v>16.476968115498256</c:v>
                </c:pt>
                <c:pt idx="2">
                  <c:v>14.170112957362122</c:v>
                </c:pt>
                <c:pt idx="3">
                  <c:v>2.8791876748986271</c:v>
                </c:pt>
                <c:pt idx="4">
                  <c:v>-11.587143150815711</c:v>
                </c:pt>
                <c:pt idx="5">
                  <c:v>-19.874547534381865</c:v>
                </c:pt>
                <c:pt idx="6">
                  <c:v>-14.64590406295091</c:v>
                </c:pt>
                <c:pt idx="7">
                  <c:v>-5.5942618228423795</c:v>
                </c:pt>
                <c:pt idx="8">
                  <c:v>10.313965751809921</c:v>
                </c:pt>
                <c:pt idx="9">
                  <c:v>15.170133496640489</c:v>
                </c:pt>
                <c:pt idx="10">
                  <c:v>10.707351713587176</c:v>
                </c:pt>
                <c:pt idx="11">
                  <c:v>7.4084020040233511</c:v>
                </c:pt>
                <c:pt idx="12">
                  <c:v>2.9467296623738157</c:v>
                </c:pt>
                <c:pt idx="13">
                  <c:v>3.3349565933560221</c:v>
                </c:pt>
                <c:pt idx="14">
                  <c:v>3.8823218567518127</c:v>
                </c:pt>
                <c:pt idx="15">
                  <c:v>3.4967237348459475</c:v>
                </c:pt>
                <c:pt idx="16">
                  <c:v>1.4275162661626599</c:v>
                </c:pt>
                <c:pt idx="17">
                  <c:v>-3.5594420839049207E-2</c:v>
                </c:pt>
                <c:pt idx="18">
                  <c:v>-8.9133086241903928E-2</c:v>
                </c:pt>
                <c:pt idx="19">
                  <c:v>1.5370874204313438</c:v>
                </c:pt>
                <c:pt idx="20">
                  <c:v>2.9391079889622613</c:v>
                </c:pt>
                <c:pt idx="21">
                  <c:v>4.7462550441609501</c:v>
                </c:pt>
                <c:pt idx="22">
                  <c:v>2.8476879616742683</c:v>
                </c:pt>
                <c:pt idx="23">
                  <c:v>2.3062749421245874</c:v>
                </c:pt>
              </c:numCache>
            </c:numRef>
          </c:val>
        </c:ser>
        <c:ser>
          <c:idx val="3"/>
          <c:order val="3"/>
          <c:tx>
            <c:strRef>
              <c:f>'Growth Rates'!$G$2</c:f>
              <c:strCache>
                <c:ptCount val="1"/>
                <c:pt idx="0">
                  <c:v>Port Shepstone</c:v>
                </c:pt>
              </c:strCache>
            </c:strRef>
          </c:tx>
          <c:marker>
            <c:symbol val="none"/>
          </c:marke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Rates'!$G$23:$G$46</c:f>
              <c:numCache>
                <c:formatCode>0.00</c:formatCode>
                <c:ptCount val="24"/>
                <c:pt idx="0">
                  <c:v>0.50359969455026887</c:v>
                </c:pt>
                <c:pt idx="1">
                  <c:v>-2.4419693768498516</c:v>
                </c:pt>
                <c:pt idx="2">
                  <c:v>-3.0433902600921994</c:v>
                </c:pt>
                <c:pt idx="3">
                  <c:v>8.3984755457705731</c:v>
                </c:pt>
                <c:pt idx="4">
                  <c:v>8.1682299577469397</c:v>
                </c:pt>
                <c:pt idx="5">
                  <c:v>9.1637801253053119</c:v>
                </c:pt>
                <c:pt idx="6">
                  <c:v>8.6876640906282088</c:v>
                </c:pt>
                <c:pt idx="7">
                  <c:v>-4.4991216689317151</c:v>
                </c:pt>
                <c:pt idx="8">
                  <c:v>-1.814863106321029</c:v>
                </c:pt>
                <c:pt idx="9">
                  <c:v>-0.76769433849657076</c:v>
                </c:pt>
                <c:pt idx="10">
                  <c:v>-0.55574805495020074</c:v>
                </c:pt>
                <c:pt idx="11">
                  <c:v>4.7522109745600432</c:v>
                </c:pt>
                <c:pt idx="12">
                  <c:v>3.9771278436845554</c:v>
                </c:pt>
                <c:pt idx="13">
                  <c:v>2.750152069878538</c:v>
                </c:pt>
                <c:pt idx="14">
                  <c:v>2.8823375140957825</c:v>
                </c:pt>
                <c:pt idx="15">
                  <c:v>4.8270342631528287</c:v>
                </c:pt>
                <c:pt idx="16">
                  <c:v>4.7148376755636772</c:v>
                </c:pt>
                <c:pt idx="17">
                  <c:v>5.3713276789582061</c:v>
                </c:pt>
                <c:pt idx="18">
                  <c:v>4.1941258590952009</c:v>
                </c:pt>
                <c:pt idx="19">
                  <c:v>1.5113249649259304</c:v>
                </c:pt>
                <c:pt idx="20">
                  <c:v>0.43582045337149722</c:v>
                </c:pt>
                <c:pt idx="21">
                  <c:v>1.3155576863446863</c:v>
                </c:pt>
                <c:pt idx="22">
                  <c:v>0.33000209962056687</c:v>
                </c:pt>
                <c:pt idx="23">
                  <c:v>1.8884730023566987</c:v>
                </c:pt>
              </c:numCache>
            </c:numRef>
          </c:val>
        </c:ser>
        <c:ser>
          <c:idx val="4"/>
          <c:order val="4"/>
          <c:tx>
            <c:strRef>
              <c:f>'Growth Rates'!$H$2</c:f>
              <c:strCache>
                <c:ptCount val="1"/>
                <c:pt idx="0">
                  <c:v>Newcastle</c:v>
                </c:pt>
              </c:strCache>
            </c:strRef>
          </c:tx>
          <c:marker>
            <c:symbol val="none"/>
          </c:marker>
          <c:cat>
            <c:strRef>
              <c:f>'Growth Rates'!$A$23:$A$46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'Growth Rates'!$H$23:$H$46</c:f>
              <c:numCache>
                <c:formatCode>0.00</c:formatCode>
                <c:ptCount val="24"/>
                <c:pt idx="0">
                  <c:v>5.0666443959910312</c:v>
                </c:pt>
                <c:pt idx="1">
                  <c:v>2.6885415366184597</c:v>
                </c:pt>
                <c:pt idx="2">
                  <c:v>2.301689043834334</c:v>
                </c:pt>
                <c:pt idx="3">
                  <c:v>4.6448576445164438</c:v>
                </c:pt>
                <c:pt idx="4">
                  <c:v>-3.5176092433047779</c:v>
                </c:pt>
                <c:pt idx="5">
                  <c:v>3.9081570654368667</c:v>
                </c:pt>
                <c:pt idx="6">
                  <c:v>-0.74997000088062993</c:v>
                </c:pt>
                <c:pt idx="7">
                  <c:v>-4.4529761786750237</c:v>
                </c:pt>
                <c:pt idx="8">
                  <c:v>4.3444897223806169</c:v>
                </c:pt>
                <c:pt idx="9">
                  <c:v>0.73313196824800198</c:v>
                </c:pt>
                <c:pt idx="10">
                  <c:v>3.6833601174900767</c:v>
                </c:pt>
                <c:pt idx="11">
                  <c:v>5.9356809337270455</c:v>
                </c:pt>
                <c:pt idx="12">
                  <c:v>3.6626026951421906</c:v>
                </c:pt>
                <c:pt idx="13">
                  <c:v>3.3344475193302205</c:v>
                </c:pt>
                <c:pt idx="14">
                  <c:v>3.0416205073691462</c:v>
                </c:pt>
                <c:pt idx="15">
                  <c:v>4.0256234597863889</c:v>
                </c:pt>
                <c:pt idx="16">
                  <c:v>2.8002600389778007</c:v>
                </c:pt>
                <c:pt idx="17">
                  <c:v>4.4312688901278081</c:v>
                </c:pt>
                <c:pt idx="18">
                  <c:v>2.623763658498401</c:v>
                </c:pt>
                <c:pt idx="19">
                  <c:v>1.6527251334768209</c:v>
                </c:pt>
                <c:pt idx="20">
                  <c:v>1.7795132088940266</c:v>
                </c:pt>
                <c:pt idx="21">
                  <c:v>1.7279908873065952</c:v>
                </c:pt>
                <c:pt idx="22">
                  <c:v>1.2958012258116742</c:v>
                </c:pt>
                <c:pt idx="23">
                  <c:v>2.0543139460985795</c:v>
                </c:pt>
              </c:numCache>
            </c:numRef>
          </c:val>
        </c:ser>
        <c:marker val="1"/>
        <c:axId val="225806208"/>
        <c:axId val="225807744"/>
      </c:lineChart>
      <c:catAx>
        <c:axId val="22580620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807744"/>
        <c:crosses val="autoZero"/>
        <c:auto val="1"/>
        <c:lblAlgn val="ctr"/>
        <c:lblOffset val="100"/>
      </c:catAx>
      <c:valAx>
        <c:axId val="225807744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80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4957272706368712"/>
          <c:y val="2.5706432405519303E-2"/>
          <c:w val="0.53596470653934214"/>
          <c:h val="0.13376606960957069"/>
        </c:manualLayout>
      </c:layout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/>
        <a:lstStyle/>
        <a:p>
          <a:pPr>
            <a:defRPr lang="en-ZA" sz="12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</c:chart>
  <c:spPr>
    <a:gradFill rotWithShape="1">
      <a:gsLst>
        <a:gs pos="0">
          <a:schemeClr val="accent2">
            <a:tint val="50000"/>
            <a:satMod val="300000"/>
          </a:schemeClr>
        </a:gs>
        <a:gs pos="35000">
          <a:schemeClr val="accent2">
            <a:tint val="37000"/>
            <a:satMod val="300000"/>
          </a:schemeClr>
        </a:gs>
        <a:gs pos="100000">
          <a:schemeClr val="accent2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2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7.2253024975651822E-2"/>
          <c:y val="8.2846599620591974E-2"/>
          <c:w val="0.91635992670727451"/>
          <c:h val="0.80995582235390329"/>
        </c:manualLayout>
      </c:layout>
      <c:bar3DChart>
        <c:barDir val="col"/>
        <c:grouping val="clustered"/>
        <c:ser>
          <c:idx val="0"/>
          <c:order val="0"/>
          <c:tx>
            <c:strRef>
              <c:f>'Contr Rates'!$B$2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5"/>
            </a:solidFill>
          </c:spPr>
          <c:cat>
            <c:strRef>
              <c:f>'Contr Rates'!$A$76:$A$99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'Contr Rates'!$B$76:$B$99</c:f>
              <c:numCache>
                <c:formatCode>0.00</c:formatCode>
                <c:ptCount val="24"/>
                <c:pt idx="0">
                  <c:v>78.730496743905107</c:v>
                </c:pt>
                <c:pt idx="1">
                  <c:v>78.529155415158911</c:v>
                </c:pt>
                <c:pt idx="2">
                  <c:v>78.203568518421889</c:v>
                </c:pt>
                <c:pt idx="3">
                  <c:v>76.900452884611326</c:v>
                </c:pt>
                <c:pt idx="4">
                  <c:v>76.12697616307895</c:v>
                </c:pt>
                <c:pt idx="5">
                  <c:v>76.45709596293274</c:v>
                </c:pt>
                <c:pt idx="6">
                  <c:v>76.482386022679705</c:v>
                </c:pt>
                <c:pt idx="7">
                  <c:v>76.918300425084539</c:v>
                </c:pt>
                <c:pt idx="8">
                  <c:v>77.402675784225281</c:v>
                </c:pt>
                <c:pt idx="9">
                  <c:v>77.445601941261145</c:v>
                </c:pt>
                <c:pt idx="10">
                  <c:v>77.345502995597784</c:v>
                </c:pt>
                <c:pt idx="11">
                  <c:v>77.056435918462554</c:v>
                </c:pt>
                <c:pt idx="12">
                  <c:v>77.42004956373647</c:v>
                </c:pt>
                <c:pt idx="13">
                  <c:v>77.477284439784256</c:v>
                </c:pt>
                <c:pt idx="14">
                  <c:v>77.343819178899793</c:v>
                </c:pt>
                <c:pt idx="15">
                  <c:v>76.958396409386154</c:v>
                </c:pt>
                <c:pt idx="16">
                  <c:v>76.983233837013572</c:v>
                </c:pt>
                <c:pt idx="17">
                  <c:v>77.126660781326052</c:v>
                </c:pt>
                <c:pt idx="18">
                  <c:v>77.057236065725775</c:v>
                </c:pt>
                <c:pt idx="19">
                  <c:v>76.977710917644416</c:v>
                </c:pt>
                <c:pt idx="20">
                  <c:v>77.268653061658441</c:v>
                </c:pt>
                <c:pt idx="21">
                  <c:v>77.349849054123823</c:v>
                </c:pt>
                <c:pt idx="22">
                  <c:v>77.248852746741107</c:v>
                </c:pt>
                <c:pt idx="23">
                  <c:v>76.997514415164346</c:v>
                </c:pt>
              </c:numCache>
            </c:numRef>
          </c:val>
          <c:shape val="cylinder"/>
        </c:ser>
        <c:ser>
          <c:idx val="1"/>
          <c:order val="1"/>
          <c:tx>
            <c:strRef>
              <c:f>'Contr Rates'!$C$2</c:f>
              <c:strCache>
                <c:ptCount val="1"/>
                <c:pt idx="0">
                  <c:v>Durban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cat>
            <c:strRef>
              <c:f>'Contr Rates'!$A$76:$A$99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'Contr Rates'!$C$76:$C$99</c:f>
              <c:numCache>
                <c:formatCode>0.00</c:formatCode>
                <c:ptCount val="24"/>
                <c:pt idx="0">
                  <c:v>58.440941989797132</c:v>
                </c:pt>
                <c:pt idx="1">
                  <c:v>58.543455033832636</c:v>
                </c:pt>
                <c:pt idx="2">
                  <c:v>58.087081840123474</c:v>
                </c:pt>
                <c:pt idx="3">
                  <c:v>56.311469509910417</c:v>
                </c:pt>
                <c:pt idx="4">
                  <c:v>56.498434357946657</c:v>
                </c:pt>
                <c:pt idx="5">
                  <c:v>56.386607347301741</c:v>
                </c:pt>
                <c:pt idx="6">
                  <c:v>56.366596005589386</c:v>
                </c:pt>
                <c:pt idx="7">
                  <c:v>55.924959730134873</c:v>
                </c:pt>
                <c:pt idx="8">
                  <c:v>57.39096288184323</c:v>
                </c:pt>
                <c:pt idx="9">
                  <c:v>57.387858226306761</c:v>
                </c:pt>
                <c:pt idx="10">
                  <c:v>57.229063381166256</c:v>
                </c:pt>
                <c:pt idx="11">
                  <c:v>56.489980512610401</c:v>
                </c:pt>
                <c:pt idx="12">
                  <c:v>57.443446409862354</c:v>
                </c:pt>
                <c:pt idx="13">
                  <c:v>57.439306869147046</c:v>
                </c:pt>
                <c:pt idx="14">
                  <c:v>57.227580408959696</c:v>
                </c:pt>
                <c:pt idx="15">
                  <c:v>56.242136584218564</c:v>
                </c:pt>
                <c:pt idx="16">
                  <c:v>57.11094788321742</c:v>
                </c:pt>
                <c:pt idx="17">
                  <c:v>57.071257480918511</c:v>
                </c:pt>
                <c:pt idx="18">
                  <c:v>56.941079931905115</c:v>
                </c:pt>
                <c:pt idx="19">
                  <c:v>56.219025608987941</c:v>
                </c:pt>
                <c:pt idx="20">
                  <c:v>57.315119058307673</c:v>
                </c:pt>
                <c:pt idx="21">
                  <c:v>57.299474192124102</c:v>
                </c:pt>
                <c:pt idx="22">
                  <c:v>57.132574574010356</c:v>
                </c:pt>
                <c:pt idx="23">
                  <c:v>56.317047568605631</c:v>
                </c:pt>
              </c:numCache>
            </c:numRef>
          </c:val>
          <c:shape val="cylinder"/>
        </c:ser>
        <c:ser>
          <c:idx val="2"/>
          <c:order val="2"/>
          <c:tx>
            <c:strRef>
              <c:f>'Contr Rates'!$D$2</c:f>
              <c:strCache>
                <c:ptCount val="1"/>
                <c:pt idx="0">
                  <c:v>Pietermaritzburg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cat>
            <c:strRef>
              <c:f>'Contr Rates'!$A$76:$A$99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'Contr Rates'!$D$76:$D$99</c:f>
              <c:numCache>
                <c:formatCode>0.00</c:formatCode>
                <c:ptCount val="24"/>
                <c:pt idx="0">
                  <c:v>8.1954277173082808</c:v>
                </c:pt>
                <c:pt idx="1">
                  <c:v>7.5731591891401866</c:v>
                </c:pt>
                <c:pt idx="2">
                  <c:v>7.7303872407602352</c:v>
                </c:pt>
                <c:pt idx="3">
                  <c:v>8.1540819678682031</c:v>
                </c:pt>
                <c:pt idx="4">
                  <c:v>8.0220365454144265</c:v>
                </c:pt>
                <c:pt idx="5">
                  <c:v>8.300344540807977</c:v>
                </c:pt>
                <c:pt idx="6">
                  <c:v>8.2435750865621475</c:v>
                </c:pt>
                <c:pt idx="7">
                  <c:v>9.1578659388686514</c:v>
                </c:pt>
                <c:pt idx="8">
                  <c:v>8.0829172441390664</c:v>
                </c:pt>
                <c:pt idx="9">
                  <c:v>7.9682637332142185</c:v>
                </c:pt>
                <c:pt idx="10">
                  <c:v>8.0017499323389583</c:v>
                </c:pt>
                <c:pt idx="11">
                  <c:v>8.4477451254771179</c:v>
                </c:pt>
                <c:pt idx="12">
                  <c:v>8.1001271689539251</c:v>
                </c:pt>
                <c:pt idx="13">
                  <c:v>7.947255821054128</c:v>
                </c:pt>
                <c:pt idx="14">
                  <c:v>7.9919040865537809</c:v>
                </c:pt>
                <c:pt idx="15">
                  <c:v>8.5865643440713235</c:v>
                </c:pt>
                <c:pt idx="16">
                  <c:v>8.0683603195024727</c:v>
                </c:pt>
                <c:pt idx="17">
                  <c:v>8.0719546983587733</c:v>
                </c:pt>
                <c:pt idx="18">
                  <c:v>8.0790763684849622</c:v>
                </c:pt>
                <c:pt idx="19">
                  <c:v>8.7307251361390303</c:v>
                </c:pt>
                <c:pt idx="20">
                  <c:v>8.083801577531819</c:v>
                </c:pt>
                <c:pt idx="21">
                  <c:v>7.9958247508757072</c:v>
                </c:pt>
                <c:pt idx="22">
                  <c:v>8.0242434624592338</c:v>
                </c:pt>
                <c:pt idx="23">
                  <c:v>8.5883448685624906</c:v>
                </c:pt>
              </c:numCache>
            </c:numRef>
          </c:val>
          <c:shape val="cylinder"/>
        </c:ser>
        <c:ser>
          <c:idx val="3"/>
          <c:order val="3"/>
          <c:tx>
            <c:strRef>
              <c:f>'Contr Rates'!$E$2</c:f>
              <c:strCache>
                <c:ptCount val="1"/>
                <c:pt idx="0">
                  <c:v>Richards Bay</c:v>
                </c:pt>
              </c:strCache>
            </c:strRef>
          </c:tx>
          <c:spPr>
            <a:solidFill>
              <a:srgbClr val="FFFF00"/>
            </a:solidFill>
          </c:spPr>
          <c:cat>
            <c:strRef>
              <c:f>'Contr Rates'!$A$76:$A$99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'Contr Rates'!$E$76:$E$99</c:f>
              <c:numCache>
                <c:formatCode>0.00</c:formatCode>
                <c:ptCount val="24"/>
                <c:pt idx="0">
                  <c:v>6.3044421173581151</c:v>
                </c:pt>
                <c:pt idx="1">
                  <c:v>6.8349776586806366</c:v>
                </c:pt>
                <c:pt idx="2">
                  <c:v>6.774376217579074</c:v>
                </c:pt>
                <c:pt idx="3">
                  <c:v>6.265975876990848</c:v>
                </c:pt>
                <c:pt idx="4">
                  <c:v>5.6239370116081693</c:v>
                </c:pt>
                <c:pt idx="5">
                  <c:v>5.6442926388302501</c:v>
                </c:pt>
                <c:pt idx="6">
                  <c:v>5.9080209385509725</c:v>
                </c:pt>
                <c:pt idx="7">
                  <c:v>5.9291222982792213</c:v>
                </c:pt>
                <c:pt idx="8">
                  <c:v>6.0418297986388652</c:v>
                </c:pt>
                <c:pt idx="9">
                  <c:v>6.2254601881537326</c:v>
                </c:pt>
                <c:pt idx="10">
                  <c:v>6.2931691410267847</c:v>
                </c:pt>
                <c:pt idx="11">
                  <c:v>6.1307361474067923</c:v>
                </c:pt>
                <c:pt idx="12">
                  <c:v>5.990069642535051</c:v>
                </c:pt>
                <c:pt idx="13">
                  <c:v>6.234910161888207</c:v>
                </c:pt>
                <c:pt idx="14">
                  <c:v>6.3251887657189432</c:v>
                </c:pt>
                <c:pt idx="15">
                  <c:v>6.1086114408922878</c:v>
                </c:pt>
                <c:pt idx="16">
                  <c:v>5.8852788175940276</c:v>
                </c:pt>
                <c:pt idx="17">
                  <c:v>6.0348876629573969</c:v>
                </c:pt>
                <c:pt idx="18">
                  <c:v>6.1754596150988998</c:v>
                </c:pt>
                <c:pt idx="19">
                  <c:v>6.0561566288594335</c:v>
                </c:pt>
                <c:pt idx="20">
                  <c:v>5.9723927529226488</c:v>
                </c:pt>
                <c:pt idx="21">
                  <c:v>6.1650860043331122</c:v>
                </c:pt>
                <c:pt idx="22">
                  <c:v>6.2646058406148759</c:v>
                </c:pt>
                <c:pt idx="23">
                  <c:v>6.0985014057195039</c:v>
                </c:pt>
              </c:numCache>
            </c:numRef>
          </c:val>
          <c:shape val="cylinder"/>
        </c:ser>
        <c:ser>
          <c:idx val="4"/>
          <c:order val="4"/>
          <c:tx>
            <c:strRef>
              <c:f>'Contr Rates'!$F$2</c:f>
              <c:strCache>
                <c:ptCount val="1"/>
                <c:pt idx="0">
                  <c:v>Newcastle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</c:spPr>
          <c:cat>
            <c:strRef>
              <c:f>'Contr Rates'!$A$76:$A$99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'Contr Rates'!$F$76:$F$99</c:f>
              <c:numCache>
                <c:formatCode>0.00</c:formatCode>
                <c:ptCount val="24"/>
                <c:pt idx="0">
                  <c:v>2.8514810350969717</c:v>
                </c:pt>
                <c:pt idx="1">
                  <c:v>2.756561460960206</c:v>
                </c:pt>
                <c:pt idx="2">
                  <c:v>2.7768238933294205</c:v>
                </c:pt>
                <c:pt idx="3">
                  <c:v>2.915598620997204</c:v>
                </c:pt>
                <c:pt idx="4">
                  <c:v>2.7758558284033099</c:v>
                </c:pt>
                <c:pt idx="5">
                  <c:v>2.9520196931433667</c:v>
                </c:pt>
                <c:pt idx="6">
                  <c:v>2.8159655130830248</c:v>
                </c:pt>
                <c:pt idx="7">
                  <c:v>2.7922107672601766</c:v>
                </c:pt>
                <c:pt idx="8">
                  <c:v>2.8207459090245468</c:v>
                </c:pt>
                <c:pt idx="9">
                  <c:v>2.8478273392256432</c:v>
                </c:pt>
                <c:pt idx="10">
                  <c:v>2.809230089995268</c:v>
                </c:pt>
                <c:pt idx="11">
                  <c:v>2.8475700839435794</c:v>
                </c:pt>
                <c:pt idx="12">
                  <c:v>2.8160275908416095</c:v>
                </c:pt>
                <c:pt idx="13">
                  <c:v>2.8521361644430718</c:v>
                </c:pt>
                <c:pt idx="14">
                  <c:v>2.8006731654692376</c:v>
                </c:pt>
                <c:pt idx="15">
                  <c:v>2.8517931574003197</c:v>
                </c:pt>
                <c:pt idx="16">
                  <c:v>2.8042097760898219</c:v>
                </c:pt>
                <c:pt idx="17">
                  <c:v>2.8839943989373609</c:v>
                </c:pt>
                <c:pt idx="18">
                  <c:v>2.8086229228491768</c:v>
                </c:pt>
                <c:pt idx="19">
                  <c:v>2.8305246695346922</c:v>
                </c:pt>
                <c:pt idx="20">
                  <c:v>2.8136610919853258</c:v>
                </c:pt>
                <c:pt idx="21">
                  <c:v>2.8613193008686921</c:v>
                </c:pt>
                <c:pt idx="22">
                  <c:v>2.8061753927712276</c:v>
                </c:pt>
                <c:pt idx="23">
                  <c:v>2.8432959702928642</c:v>
                </c:pt>
              </c:numCache>
            </c:numRef>
          </c:val>
          <c:shape val="cylinder"/>
        </c:ser>
        <c:ser>
          <c:idx val="5"/>
          <c:order val="5"/>
          <c:tx>
            <c:strRef>
              <c:f>'Contr Rates'!$G$2</c:f>
              <c:strCache>
                <c:ptCount val="1"/>
                <c:pt idx="0">
                  <c:v>Port Shepstone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'Contr Rates'!$A$76:$A$99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'Contr Rates'!$G$76:$G$99</c:f>
              <c:numCache>
                <c:formatCode>0.00</c:formatCode>
                <c:ptCount val="24"/>
                <c:pt idx="0">
                  <c:v>2.9382038843446088</c:v>
                </c:pt>
                <c:pt idx="1">
                  <c:v>2.8210020725452409</c:v>
                </c:pt>
                <c:pt idx="2">
                  <c:v>2.8348993266296838</c:v>
                </c:pt>
                <c:pt idx="3">
                  <c:v>3.2533269088446581</c:v>
                </c:pt>
                <c:pt idx="4">
                  <c:v>3.2067124197063896</c:v>
                </c:pt>
                <c:pt idx="5">
                  <c:v>3.1738317428494041</c:v>
                </c:pt>
                <c:pt idx="6">
                  <c:v>3.1482284788941732</c:v>
                </c:pt>
                <c:pt idx="7">
                  <c:v>3.1141416905416111</c:v>
                </c:pt>
                <c:pt idx="8">
                  <c:v>3.0662199505795784</c:v>
                </c:pt>
                <c:pt idx="9">
                  <c:v>3.0161924543607941</c:v>
                </c:pt>
                <c:pt idx="10">
                  <c:v>3.0122904510705308</c:v>
                </c:pt>
                <c:pt idx="11">
                  <c:v>3.1404040490246685</c:v>
                </c:pt>
                <c:pt idx="12">
                  <c:v>3.0703787515435259</c:v>
                </c:pt>
                <c:pt idx="13">
                  <c:v>3.003675423251813</c:v>
                </c:pt>
                <c:pt idx="14">
                  <c:v>2.9984727521981291</c:v>
                </c:pt>
                <c:pt idx="15">
                  <c:v>3.1692908828036459</c:v>
                </c:pt>
                <c:pt idx="16">
                  <c:v>3.1144370406098312</c:v>
                </c:pt>
                <c:pt idx="17">
                  <c:v>3.0645665401540034</c:v>
                </c:pt>
                <c:pt idx="18">
                  <c:v>3.0529972273876114</c:v>
                </c:pt>
                <c:pt idx="19">
                  <c:v>3.1412788741233078</c:v>
                </c:pt>
                <c:pt idx="20">
                  <c:v>3.0836785809109784</c:v>
                </c:pt>
                <c:pt idx="21">
                  <c:v>3.0281448059222038</c:v>
                </c:pt>
                <c:pt idx="22">
                  <c:v>3.0212534768854242</c:v>
                </c:pt>
                <c:pt idx="23">
                  <c:v>3.1503246019838733</c:v>
                </c:pt>
              </c:numCache>
            </c:numRef>
          </c:val>
          <c:shape val="cylinder"/>
        </c:ser>
        <c:shape val="box"/>
        <c:axId val="225852416"/>
        <c:axId val="225870592"/>
        <c:axId val="0"/>
      </c:bar3DChart>
      <c:catAx>
        <c:axId val="22585241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870592"/>
        <c:crosses val="autoZero"/>
        <c:auto val="1"/>
        <c:lblAlgn val="ctr"/>
        <c:lblOffset val="100"/>
      </c:catAx>
      <c:valAx>
        <c:axId val="225870592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58524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6306907288762821E-2"/>
          <c:y val="1.403065666910968E-2"/>
          <c:w val="0.89692166740027701"/>
          <c:h val="9.4051203026829566E-2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  <c:dispBlanksAs val="gap"/>
  </c:chart>
  <c:spPr>
    <a:solidFill>
      <a:schemeClr val="accent3">
        <a:lumMod val="60000"/>
        <a:lumOff val="40000"/>
      </a:schemeClr>
    </a:solidFill>
  </c:sp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0.10716885389326336"/>
          <c:y val="5.1400554097404488E-2"/>
          <c:w val="0.79955118110235612"/>
          <c:h val="0.8326195683872849"/>
        </c:manualLayout>
      </c:layout>
      <c:lineChart>
        <c:grouping val="standard"/>
        <c:ser>
          <c:idx val="1"/>
          <c:order val="1"/>
          <c:tx>
            <c:strRef>
              <c:f>'Contr Rates'!$D$2</c:f>
              <c:strCache>
                <c:ptCount val="1"/>
                <c:pt idx="0">
                  <c:v>Pietermaritzburg</c:v>
                </c:pt>
              </c:strCache>
            </c:strRef>
          </c:tx>
          <c:marker>
            <c:symbol val="none"/>
          </c:marker>
          <c:cat>
            <c:strRef>
              <c:f>'Contr Rates'!$A$77:$A$99</c:f>
              <c:strCache>
                <c:ptCount val="23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  <c:pt idx="19">
                  <c:v>2013q1</c:v>
                </c:pt>
                <c:pt idx="20">
                  <c:v>2013q2</c:v>
                </c:pt>
                <c:pt idx="21">
                  <c:v>2013q3</c:v>
                </c:pt>
                <c:pt idx="22">
                  <c:v>2013q4</c:v>
                </c:pt>
              </c:strCache>
            </c:strRef>
          </c:cat>
          <c:val>
            <c:numRef>
              <c:f>'Contr Rates'!$D$3:$D$99</c:f>
              <c:numCache>
                <c:formatCode>0.00</c:formatCode>
                <c:ptCount val="24"/>
                <c:pt idx="0">
                  <c:v>8.1954277173082808</c:v>
                </c:pt>
                <c:pt idx="1">
                  <c:v>7.5731591891401866</c:v>
                </c:pt>
                <c:pt idx="2">
                  <c:v>7.7303872407602352</c:v>
                </c:pt>
                <c:pt idx="3">
                  <c:v>8.1540819678682031</c:v>
                </c:pt>
                <c:pt idx="4">
                  <c:v>8.0220365454144265</c:v>
                </c:pt>
                <c:pt idx="5">
                  <c:v>8.300344540807977</c:v>
                </c:pt>
                <c:pt idx="6">
                  <c:v>8.2435750865621475</c:v>
                </c:pt>
                <c:pt idx="7">
                  <c:v>9.1578659388686514</c:v>
                </c:pt>
                <c:pt idx="8">
                  <c:v>8.0829172441390664</c:v>
                </c:pt>
                <c:pt idx="9">
                  <c:v>7.9682637332142185</c:v>
                </c:pt>
                <c:pt idx="10">
                  <c:v>8.0017499323389583</c:v>
                </c:pt>
                <c:pt idx="11">
                  <c:v>8.4477451254771179</c:v>
                </c:pt>
                <c:pt idx="12">
                  <c:v>8.1001271689539251</c:v>
                </c:pt>
                <c:pt idx="13">
                  <c:v>7.947255821054128</c:v>
                </c:pt>
                <c:pt idx="14">
                  <c:v>7.9919040865537809</c:v>
                </c:pt>
                <c:pt idx="15">
                  <c:v>8.5865643440713235</c:v>
                </c:pt>
                <c:pt idx="16">
                  <c:v>8.0683603195024727</c:v>
                </c:pt>
                <c:pt idx="17">
                  <c:v>8.0719546983587733</c:v>
                </c:pt>
                <c:pt idx="18">
                  <c:v>8.0790763684849622</c:v>
                </c:pt>
                <c:pt idx="19">
                  <c:v>8.7307251361390303</c:v>
                </c:pt>
                <c:pt idx="20">
                  <c:v>8.083801577531819</c:v>
                </c:pt>
                <c:pt idx="21">
                  <c:v>7.9958247508757072</c:v>
                </c:pt>
                <c:pt idx="22">
                  <c:v>8.0242434624592338</c:v>
                </c:pt>
                <c:pt idx="23">
                  <c:v>8.5883448685624906</c:v>
                </c:pt>
              </c:numCache>
            </c:numRef>
          </c:val>
        </c:ser>
        <c:ser>
          <c:idx val="2"/>
          <c:order val="2"/>
          <c:tx>
            <c:strRef>
              <c:f>'Contr Rates'!$E$2</c:f>
              <c:strCache>
                <c:ptCount val="1"/>
                <c:pt idx="0">
                  <c:v>Richards Bay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'Contr Rates'!$A$77:$A$99</c:f>
              <c:strCache>
                <c:ptCount val="23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  <c:pt idx="19">
                  <c:v>2013q1</c:v>
                </c:pt>
                <c:pt idx="20">
                  <c:v>2013q2</c:v>
                </c:pt>
                <c:pt idx="21">
                  <c:v>2013q3</c:v>
                </c:pt>
                <c:pt idx="22">
                  <c:v>2013q4</c:v>
                </c:pt>
              </c:strCache>
            </c:strRef>
          </c:cat>
          <c:val>
            <c:numRef>
              <c:f>'Contr Rates'!$E$3:$E$99</c:f>
              <c:numCache>
                <c:formatCode>0.00</c:formatCode>
                <c:ptCount val="24"/>
                <c:pt idx="0">
                  <c:v>6.3044421173581151</c:v>
                </c:pt>
                <c:pt idx="1">
                  <c:v>6.8349776586806366</c:v>
                </c:pt>
                <c:pt idx="2">
                  <c:v>6.774376217579074</c:v>
                </c:pt>
                <c:pt idx="3">
                  <c:v>6.265975876990848</c:v>
                </c:pt>
                <c:pt idx="4">
                  <c:v>5.6239370116081693</c:v>
                </c:pt>
                <c:pt idx="5">
                  <c:v>5.6442926388302501</c:v>
                </c:pt>
                <c:pt idx="6">
                  <c:v>5.9080209385509725</c:v>
                </c:pt>
                <c:pt idx="7">
                  <c:v>5.9291222982792213</c:v>
                </c:pt>
                <c:pt idx="8">
                  <c:v>6.0418297986388652</c:v>
                </c:pt>
                <c:pt idx="9">
                  <c:v>6.2254601881537326</c:v>
                </c:pt>
                <c:pt idx="10">
                  <c:v>6.2931691410267847</c:v>
                </c:pt>
                <c:pt idx="11">
                  <c:v>6.1307361474067923</c:v>
                </c:pt>
                <c:pt idx="12">
                  <c:v>5.990069642535051</c:v>
                </c:pt>
                <c:pt idx="13">
                  <c:v>6.234910161888207</c:v>
                </c:pt>
                <c:pt idx="14">
                  <c:v>6.3251887657189432</c:v>
                </c:pt>
                <c:pt idx="15">
                  <c:v>6.1086114408922878</c:v>
                </c:pt>
                <c:pt idx="16">
                  <c:v>5.8852788175940276</c:v>
                </c:pt>
                <c:pt idx="17">
                  <c:v>6.0348876629573969</c:v>
                </c:pt>
                <c:pt idx="18">
                  <c:v>6.1754596150988998</c:v>
                </c:pt>
                <c:pt idx="19">
                  <c:v>6.0561566288594335</c:v>
                </c:pt>
                <c:pt idx="20">
                  <c:v>5.9723927529226488</c:v>
                </c:pt>
                <c:pt idx="21">
                  <c:v>6.1650860043331122</c:v>
                </c:pt>
                <c:pt idx="22">
                  <c:v>6.2646058406148759</c:v>
                </c:pt>
                <c:pt idx="23">
                  <c:v>6.0985014057195039</c:v>
                </c:pt>
              </c:numCache>
            </c:numRef>
          </c:val>
        </c:ser>
        <c:ser>
          <c:idx val="3"/>
          <c:order val="3"/>
          <c:tx>
            <c:strRef>
              <c:f>'Contr Rates'!$F$2</c:f>
              <c:strCache>
                <c:ptCount val="1"/>
                <c:pt idx="0">
                  <c:v>Newcastle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'Contr Rates'!$A$77:$A$99</c:f>
              <c:strCache>
                <c:ptCount val="23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  <c:pt idx="19">
                  <c:v>2013q1</c:v>
                </c:pt>
                <c:pt idx="20">
                  <c:v>2013q2</c:v>
                </c:pt>
                <c:pt idx="21">
                  <c:v>2013q3</c:v>
                </c:pt>
                <c:pt idx="22">
                  <c:v>2013q4</c:v>
                </c:pt>
              </c:strCache>
            </c:strRef>
          </c:cat>
          <c:val>
            <c:numRef>
              <c:f>'Contr Rates'!$F$3:$F$99</c:f>
              <c:numCache>
                <c:formatCode>0.00</c:formatCode>
                <c:ptCount val="24"/>
                <c:pt idx="0">
                  <c:v>2.8514810350969717</c:v>
                </c:pt>
                <c:pt idx="1">
                  <c:v>2.756561460960206</c:v>
                </c:pt>
                <c:pt idx="2">
                  <c:v>2.7768238933294205</c:v>
                </c:pt>
                <c:pt idx="3">
                  <c:v>2.915598620997204</c:v>
                </c:pt>
                <c:pt idx="4">
                  <c:v>2.7758558284033099</c:v>
                </c:pt>
                <c:pt idx="5">
                  <c:v>2.9520196931433667</c:v>
                </c:pt>
                <c:pt idx="6">
                  <c:v>2.8159655130830248</c:v>
                </c:pt>
                <c:pt idx="7">
                  <c:v>2.7922107672601766</c:v>
                </c:pt>
                <c:pt idx="8">
                  <c:v>2.8207459090245468</c:v>
                </c:pt>
                <c:pt idx="9">
                  <c:v>2.8478273392256432</c:v>
                </c:pt>
                <c:pt idx="10">
                  <c:v>2.809230089995268</c:v>
                </c:pt>
                <c:pt idx="11">
                  <c:v>2.8475700839435794</c:v>
                </c:pt>
                <c:pt idx="12">
                  <c:v>2.8160275908416095</c:v>
                </c:pt>
                <c:pt idx="13">
                  <c:v>2.8521361644430718</c:v>
                </c:pt>
                <c:pt idx="14">
                  <c:v>2.8006731654692376</c:v>
                </c:pt>
                <c:pt idx="15">
                  <c:v>2.8517931574003197</c:v>
                </c:pt>
                <c:pt idx="16">
                  <c:v>2.8042097760898219</c:v>
                </c:pt>
                <c:pt idx="17">
                  <c:v>2.8839943989373609</c:v>
                </c:pt>
                <c:pt idx="18">
                  <c:v>2.8086229228491768</c:v>
                </c:pt>
                <c:pt idx="19">
                  <c:v>2.8305246695346922</c:v>
                </c:pt>
                <c:pt idx="20">
                  <c:v>2.8136610919853258</c:v>
                </c:pt>
                <c:pt idx="21">
                  <c:v>2.8613193008686921</c:v>
                </c:pt>
                <c:pt idx="22">
                  <c:v>2.8061753927712276</c:v>
                </c:pt>
                <c:pt idx="23">
                  <c:v>2.8432959702928642</c:v>
                </c:pt>
              </c:numCache>
            </c:numRef>
          </c:val>
        </c:ser>
        <c:ser>
          <c:idx val="4"/>
          <c:order val="4"/>
          <c:tx>
            <c:strRef>
              <c:f>'Contr Rates'!$G$2</c:f>
              <c:strCache>
                <c:ptCount val="1"/>
                <c:pt idx="0">
                  <c:v>Port Shepstone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'Contr Rates'!$A$77:$A$99</c:f>
              <c:strCache>
                <c:ptCount val="23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  <c:pt idx="19">
                  <c:v>2013q1</c:v>
                </c:pt>
                <c:pt idx="20">
                  <c:v>2013q2</c:v>
                </c:pt>
                <c:pt idx="21">
                  <c:v>2013q3</c:v>
                </c:pt>
                <c:pt idx="22">
                  <c:v>2013q4</c:v>
                </c:pt>
              </c:strCache>
            </c:strRef>
          </c:cat>
          <c:val>
            <c:numRef>
              <c:f>'Contr Rates'!$G$3:$G$99</c:f>
              <c:numCache>
                <c:formatCode>0.00</c:formatCode>
                <c:ptCount val="24"/>
                <c:pt idx="0">
                  <c:v>2.9382038843446088</c:v>
                </c:pt>
                <c:pt idx="1">
                  <c:v>2.8210020725452409</c:v>
                </c:pt>
                <c:pt idx="2">
                  <c:v>2.8348993266296838</c:v>
                </c:pt>
                <c:pt idx="3">
                  <c:v>3.2533269088446581</c:v>
                </c:pt>
                <c:pt idx="4">
                  <c:v>3.2067124197063896</c:v>
                </c:pt>
                <c:pt idx="5">
                  <c:v>3.1738317428494041</c:v>
                </c:pt>
                <c:pt idx="6">
                  <c:v>3.1482284788941732</c:v>
                </c:pt>
                <c:pt idx="7">
                  <c:v>3.1141416905416111</c:v>
                </c:pt>
                <c:pt idx="8">
                  <c:v>3.0662199505795784</c:v>
                </c:pt>
                <c:pt idx="9">
                  <c:v>3.0161924543607941</c:v>
                </c:pt>
                <c:pt idx="10">
                  <c:v>3.0122904510705308</c:v>
                </c:pt>
                <c:pt idx="11">
                  <c:v>3.1404040490246685</c:v>
                </c:pt>
                <c:pt idx="12">
                  <c:v>3.0703787515435259</c:v>
                </c:pt>
                <c:pt idx="13">
                  <c:v>3.003675423251813</c:v>
                </c:pt>
                <c:pt idx="14">
                  <c:v>2.9984727521981291</c:v>
                </c:pt>
                <c:pt idx="15">
                  <c:v>3.1692908828036459</c:v>
                </c:pt>
                <c:pt idx="16">
                  <c:v>3.1144370406098312</c:v>
                </c:pt>
                <c:pt idx="17">
                  <c:v>3.0645665401540034</c:v>
                </c:pt>
                <c:pt idx="18">
                  <c:v>3.0529972273876114</c:v>
                </c:pt>
                <c:pt idx="19">
                  <c:v>3.1412788741233078</c:v>
                </c:pt>
                <c:pt idx="20">
                  <c:v>3.0836785809109784</c:v>
                </c:pt>
                <c:pt idx="21">
                  <c:v>3.0281448059222038</c:v>
                </c:pt>
                <c:pt idx="22">
                  <c:v>3.0212534768854242</c:v>
                </c:pt>
                <c:pt idx="23">
                  <c:v>3.1503246019838733</c:v>
                </c:pt>
              </c:numCache>
            </c:numRef>
          </c:val>
        </c:ser>
        <c:marker val="1"/>
        <c:axId val="226063104"/>
        <c:axId val="226064640"/>
      </c:lineChart>
      <c:lineChart>
        <c:grouping val="standard"/>
        <c:ser>
          <c:idx val="0"/>
          <c:order val="0"/>
          <c:tx>
            <c:strRef>
              <c:f>'Contr Rates'!$C$2</c:f>
              <c:strCache>
                <c:ptCount val="1"/>
                <c:pt idx="0">
                  <c:v>Durban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'Contr Rates'!$A$76:$A$99</c:f>
              <c:strCache>
                <c:ptCount val="24"/>
                <c:pt idx="0">
                  <c:v>2008q1</c:v>
                </c:pt>
                <c:pt idx="1">
                  <c:v>2008q2</c:v>
                </c:pt>
                <c:pt idx="2">
                  <c:v>2008q3</c:v>
                </c:pt>
                <c:pt idx="3">
                  <c:v>2008q4</c:v>
                </c:pt>
                <c:pt idx="4">
                  <c:v>2009q1</c:v>
                </c:pt>
                <c:pt idx="5">
                  <c:v>2009q2</c:v>
                </c:pt>
                <c:pt idx="6">
                  <c:v>2009q3</c:v>
                </c:pt>
                <c:pt idx="7">
                  <c:v>2009q4</c:v>
                </c:pt>
                <c:pt idx="8">
                  <c:v>2010q1</c:v>
                </c:pt>
                <c:pt idx="9">
                  <c:v>2010q2</c:v>
                </c:pt>
                <c:pt idx="10">
                  <c:v>2010q3</c:v>
                </c:pt>
                <c:pt idx="11">
                  <c:v>2010q4</c:v>
                </c:pt>
                <c:pt idx="12">
                  <c:v>2011q1</c:v>
                </c:pt>
                <c:pt idx="13">
                  <c:v>2011q2</c:v>
                </c:pt>
                <c:pt idx="14">
                  <c:v>2011q3</c:v>
                </c:pt>
                <c:pt idx="15">
                  <c:v>2011q4</c:v>
                </c:pt>
                <c:pt idx="16">
                  <c:v>2012q1</c:v>
                </c:pt>
                <c:pt idx="17">
                  <c:v>2012q2</c:v>
                </c:pt>
                <c:pt idx="18">
                  <c:v>2012q3</c:v>
                </c:pt>
                <c:pt idx="19">
                  <c:v>2012q4</c:v>
                </c:pt>
                <c:pt idx="20">
                  <c:v>2013q1</c:v>
                </c:pt>
                <c:pt idx="21">
                  <c:v>2013q2</c:v>
                </c:pt>
                <c:pt idx="22">
                  <c:v>2013q3</c:v>
                </c:pt>
                <c:pt idx="23">
                  <c:v>2013q4</c:v>
                </c:pt>
              </c:strCache>
            </c:strRef>
          </c:cat>
          <c:val>
            <c:numRef>
              <c:f>'Contr Rates'!$C$3:$C$99</c:f>
              <c:numCache>
                <c:formatCode>0.00</c:formatCode>
                <c:ptCount val="24"/>
                <c:pt idx="0">
                  <c:v>58.440941989797132</c:v>
                </c:pt>
                <c:pt idx="1">
                  <c:v>58.543455033832636</c:v>
                </c:pt>
                <c:pt idx="2">
                  <c:v>58.087081840123474</c:v>
                </c:pt>
                <c:pt idx="3">
                  <c:v>56.311469509910417</c:v>
                </c:pt>
                <c:pt idx="4">
                  <c:v>56.498434357946657</c:v>
                </c:pt>
                <c:pt idx="5">
                  <c:v>56.386607347301741</c:v>
                </c:pt>
                <c:pt idx="6">
                  <c:v>56.366596005589386</c:v>
                </c:pt>
                <c:pt idx="7">
                  <c:v>55.924959730134873</c:v>
                </c:pt>
                <c:pt idx="8">
                  <c:v>57.39096288184323</c:v>
                </c:pt>
                <c:pt idx="9">
                  <c:v>57.387858226306761</c:v>
                </c:pt>
                <c:pt idx="10">
                  <c:v>57.229063381166256</c:v>
                </c:pt>
                <c:pt idx="11">
                  <c:v>56.489980512610401</c:v>
                </c:pt>
                <c:pt idx="12">
                  <c:v>57.443446409862354</c:v>
                </c:pt>
                <c:pt idx="13">
                  <c:v>57.439306869147046</c:v>
                </c:pt>
                <c:pt idx="14">
                  <c:v>57.227580408959696</c:v>
                </c:pt>
                <c:pt idx="15">
                  <c:v>56.242136584218564</c:v>
                </c:pt>
                <c:pt idx="16">
                  <c:v>57.11094788321742</c:v>
                </c:pt>
                <c:pt idx="17">
                  <c:v>57.071257480918511</c:v>
                </c:pt>
                <c:pt idx="18">
                  <c:v>56.941079931905115</c:v>
                </c:pt>
                <c:pt idx="19">
                  <c:v>56.219025608987941</c:v>
                </c:pt>
                <c:pt idx="20">
                  <c:v>57.315119058307673</c:v>
                </c:pt>
                <c:pt idx="21">
                  <c:v>57.299474192124102</c:v>
                </c:pt>
                <c:pt idx="22">
                  <c:v>57.132574574010356</c:v>
                </c:pt>
                <c:pt idx="23">
                  <c:v>56.317047568605631</c:v>
                </c:pt>
              </c:numCache>
            </c:numRef>
          </c:val>
        </c:ser>
        <c:marker val="1"/>
        <c:axId val="226076160"/>
        <c:axId val="226074624"/>
      </c:lineChart>
      <c:catAx>
        <c:axId val="22606310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6064640"/>
        <c:crosses val="autoZero"/>
        <c:auto val="1"/>
        <c:lblAlgn val="ctr"/>
        <c:lblOffset val="100"/>
      </c:catAx>
      <c:valAx>
        <c:axId val="226064640"/>
        <c:scaling>
          <c:orientation val="minMax"/>
          <c:min val="2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6063104"/>
        <c:crosses val="autoZero"/>
        <c:crossBetween val="between"/>
      </c:valAx>
      <c:valAx>
        <c:axId val="226074624"/>
        <c:scaling>
          <c:orientation val="minMax"/>
        </c:scaling>
        <c:axPos val="r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6076160"/>
        <c:crosses val="max"/>
        <c:crossBetween val="between"/>
      </c:valAx>
      <c:catAx>
        <c:axId val="226076160"/>
        <c:scaling>
          <c:orientation val="minMax"/>
        </c:scaling>
        <c:delete val="1"/>
        <c:axPos val="b"/>
        <c:tickLblPos val="none"/>
        <c:crossAx val="226074624"/>
        <c:crosses val="autoZero"/>
        <c:auto val="1"/>
        <c:lblAlgn val="ctr"/>
        <c:lblOffset val="100"/>
      </c:catAx>
    </c:plotArea>
    <c:legend>
      <c:legendPos val="r"/>
      <c:layout>
        <c:manualLayout>
          <c:xMode val="edge"/>
          <c:yMode val="edge"/>
          <c:x val="0.11550542668652972"/>
          <c:y val="0.55600240129558265"/>
          <c:w val="0.4480581368770345"/>
          <c:h val="0.18977913665047344"/>
        </c:manualLayout>
      </c:layout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/>
        <a:lstStyle/>
        <a:p>
          <a:pPr>
            <a:defRPr lang="en-ZA" sz="12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</c:chart>
  <c:spPr>
    <a:gradFill rotWithShape="1">
      <a:gsLst>
        <a:gs pos="0">
          <a:schemeClr val="accent1">
            <a:tint val="50000"/>
            <a:satMod val="300000"/>
          </a:schemeClr>
        </a:gs>
        <a:gs pos="35000">
          <a:schemeClr val="accent1">
            <a:tint val="37000"/>
            <a:satMod val="300000"/>
          </a:schemeClr>
        </a:gs>
        <a:gs pos="100000">
          <a:schemeClr val="accent1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1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62"/>
      <c:depthPercent val="500"/>
      <c:rAngAx val="1"/>
    </c:view3D>
    <c:floor>
      <c:spPr>
        <a:noFill/>
        <a:ln w="9525">
          <a:noFill/>
        </a:ln>
      </c:spPr>
    </c:floor>
    <c:sideWall>
      <c:spPr>
        <a:noFill/>
        <a:ln w="25400">
          <a:noFill/>
        </a:ln>
      </c:spPr>
    </c:sideWall>
    <c:backWall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3404455212329244"/>
          <c:y val="5.5851136359209304E-2"/>
          <c:w val="0.85916521973214888"/>
          <c:h val="0.81117126616948065"/>
        </c:manualLayout>
      </c:layout>
      <c:bar3DChart>
        <c:barDir val="col"/>
        <c:grouping val="clustered"/>
        <c:ser>
          <c:idx val="0"/>
          <c:order val="0"/>
          <c:tx>
            <c:strRef>
              <c:f>Budget!$D$1</c:f>
              <c:strCache>
                <c:ptCount val="1"/>
                <c:pt idx="0">
                  <c:v>KZN GDP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Budget!$A$2:$A$15</c:f>
              <c:numCache>
                <c:formatCode>General</c:formatCode>
                <c:ptCount val="1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</c:numCache>
            </c:numRef>
          </c:cat>
          <c:val>
            <c:numRef>
              <c:f>Budget!$D$2:$D$15</c:f>
              <c:numCache>
                <c:formatCode>_ "R"\ * #,##0_ ;_ "R"\ * \-#,##0_ ;_ "R"\ * "-"_ ;_ @_ </c:formatCode>
                <c:ptCount val="14"/>
                <c:pt idx="0">
                  <c:v>209731886752.28973</c:v>
                </c:pt>
                <c:pt idx="1">
                  <c:v>219073575619.64322</c:v>
                </c:pt>
                <c:pt idx="2">
                  <c:v>224523013157.06317</c:v>
                </c:pt>
                <c:pt idx="3">
                  <c:v>230682272127.7204</c:v>
                </c:pt>
                <c:pt idx="4">
                  <c:v>241055469101.39075</c:v>
                </c:pt>
                <c:pt idx="5">
                  <c:v>254938581202.70999</c:v>
                </c:pt>
                <c:pt idx="6">
                  <c:v>269045168756.13422</c:v>
                </c:pt>
                <c:pt idx="7">
                  <c:v>284904866117.12146</c:v>
                </c:pt>
                <c:pt idx="8">
                  <c:v>296224504961.37573</c:v>
                </c:pt>
                <c:pt idx="9">
                  <c:v>290947350270.17792</c:v>
                </c:pt>
                <c:pt idx="10">
                  <c:v>302617814561.54669</c:v>
                </c:pt>
                <c:pt idx="11">
                  <c:v>313387868894.0459</c:v>
                </c:pt>
                <c:pt idx="12">
                  <c:v>322182253665.54987</c:v>
                </c:pt>
                <c:pt idx="13">
                  <c:v>327786435866.65967</c:v>
                </c:pt>
              </c:numCache>
            </c:numRef>
          </c:val>
          <c:shape val="pyramid"/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KZN Budget</c:v>
                </c:pt>
              </c:strCache>
            </c:strRef>
          </c:tx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Budget!$C$2:$C$15</c:f>
              <c:numCache>
                <c:formatCode>_ "R"\ * #,##0_ ;_ "R"\ * \-#,##0_ ;_ "R"\ * "-"_ ;_ @_ </c:formatCode>
                <c:ptCount val="14"/>
                <c:pt idx="0">
                  <c:v>21799650000</c:v>
                </c:pt>
                <c:pt idx="1">
                  <c:v>25061194000</c:v>
                </c:pt>
                <c:pt idx="2">
                  <c:v>22429241000</c:v>
                </c:pt>
                <c:pt idx="3">
                  <c:v>25476494000</c:v>
                </c:pt>
                <c:pt idx="4">
                  <c:v>28014475000</c:v>
                </c:pt>
                <c:pt idx="5">
                  <c:v>33307079000</c:v>
                </c:pt>
                <c:pt idx="6">
                  <c:v>36881397000</c:v>
                </c:pt>
                <c:pt idx="7">
                  <c:v>44482953000</c:v>
                </c:pt>
                <c:pt idx="8">
                  <c:v>55533549000</c:v>
                </c:pt>
                <c:pt idx="9">
                  <c:v>63809285000</c:v>
                </c:pt>
                <c:pt idx="10">
                  <c:v>67662724000</c:v>
                </c:pt>
                <c:pt idx="11">
                  <c:v>78643854000</c:v>
                </c:pt>
                <c:pt idx="12">
                  <c:v>86467069000</c:v>
                </c:pt>
                <c:pt idx="13">
                  <c:v>91847746000</c:v>
                </c:pt>
              </c:numCache>
            </c:numRef>
          </c:val>
          <c:shape val="pyramid"/>
        </c:ser>
        <c:gapDepth val="0"/>
        <c:shape val="box"/>
        <c:axId val="224870400"/>
        <c:axId val="224871936"/>
        <c:axId val="0"/>
      </c:bar3DChart>
      <c:catAx>
        <c:axId val="224870400"/>
        <c:scaling>
          <c:orientation val="minMax"/>
        </c:scaling>
        <c:axPos val="b"/>
        <c:numFmt formatCode="General" sourceLinked="1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lang="en-ZA"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871936"/>
        <c:crosses val="autoZero"/>
        <c:auto val="1"/>
        <c:lblAlgn val="ctr"/>
        <c:lblOffset val="100"/>
        <c:tickLblSkip val="1"/>
        <c:tickMarkSkip val="1"/>
      </c:catAx>
      <c:valAx>
        <c:axId val="224871936"/>
        <c:scaling>
          <c:orientation val="minMax"/>
        </c:scaling>
        <c:axPos val="l"/>
        <c:numFmt formatCode="_ &quot;R&quot;\ * #,##0_ ;_ &quot;R&quot;\ * \-#,##0_ ;_ &quot;R&quot;\ * &quot;-&quot;_ ;_ @_ 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87040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16468604484398613"/>
                <c:y val="1.3297889609335839E-2"/>
              </c:manualLayout>
            </c:layout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lang="en-ZA"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3531463525736949"/>
          <c:y val="1.3297983321705039E-2"/>
          <c:w val="0.15280160227905387"/>
          <c:h val="0.11436180604006745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tx>
        <c:rich>
          <a:bodyPr/>
          <a:lstStyle/>
          <a:p>
            <a:pPr>
              <a:defRPr lang="en-ZA"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ZA"/>
              <a:t>Year-on-Year Percentage Change</a:t>
            </a:r>
          </a:p>
        </c:rich>
      </c:tx>
      <c:layout>
        <c:manualLayout>
          <c:xMode val="edge"/>
          <c:yMode val="edge"/>
          <c:x val="0.27656266267687762"/>
          <c:y val="1.358695652173913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281256318097166E-2"/>
          <c:y val="4.3478260869565223E-2"/>
          <c:w val="0.91250069618278262"/>
          <c:h val="0.91576086956521741"/>
        </c:manualLayout>
      </c:layout>
      <c:lineChart>
        <c:grouping val="standard"/>
        <c:ser>
          <c:idx val="2"/>
          <c:order val="0"/>
          <c:tx>
            <c:strRef>
              <c:f>Budget!$C$1</c:f>
              <c:strCache>
                <c:ptCount val="1"/>
                <c:pt idx="0">
                  <c:v>KZN Budget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Budget!$C$78:$C$90</c:f>
              <c:numCache>
                <c:formatCode>General</c:formatCode>
                <c:ptCount val="1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</c:numCache>
            </c:numRef>
          </c:cat>
          <c:val>
            <c:numRef>
              <c:f>Budget!$D$78:$D$90</c:f>
              <c:numCache>
                <c:formatCode>0.00</c:formatCode>
                <c:ptCount val="13"/>
                <c:pt idx="0">
                  <c:v>9.2364512159598924</c:v>
                </c:pt>
                <c:pt idx="1">
                  <c:v>-9.6521053665679304</c:v>
                </c:pt>
                <c:pt idx="2">
                  <c:v>7.6194060854162062</c:v>
                </c:pt>
                <c:pt idx="3">
                  <c:v>8.5703830565016794</c:v>
                </c:pt>
                <c:pt idx="4">
                  <c:v>15.492390451721834</c:v>
                </c:pt>
                <c:pt idx="5">
                  <c:v>6.2980730442718604</c:v>
                </c:pt>
                <c:pt idx="6">
                  <c:v>13.710813630514048</c:v>
                </c:pt>
                <c:pt idx="7">
                  <c:v>13.358983227799644</c:v>
                </c:pt>
                <c:pt idx="8">
                  <c:v>7.4938945073544643</c:v>
                </c:pt>
                <c:pt idx="9">
                  <c:v>1.5139941683251887</c:v>
                </c:pt>
                <c:pt idx="10">
                  <c:v>11.470883214318519</c:v>
                </c:pt>
                <c:pt idx="11">
                  <c:v>4.2476495645800876</c:v>
                </c:pt>
                <c:pt idx="12">
                  <c:v>0.6028048923457785</c:v>
                </c:pt>
              </c:numCache>
            </c:numRef>
          </c:val>
        </c:ser>
        <c:ser>
          <c:idx val="4"/>
          <c:order val="1"/>
          <c:tx>
            <c:strRef>
              <c:f>Budget!$D$1</c:f>
              <c:strCache>
                <c:ptCount val="1"/>
                <c:pt idx="0">
                  <c:v>KZN GDP</c:v>
                </c:pt>
              </c:strCache>
            </c:strRef>
          </c:tx>
          <c:spPr>
            <a:ln w="381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Budget!$C$78:$C$90</c:f>
              <c:numCache>
                <c:formatCode>General</c:formatCode>
                <c:ptCount val="1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</c:numCache>
            </c:numRef>
          </c:cat>
          <c:val>
            <c:numRef>
              <c:f>Budget!$E$78:$E$90</c:f>
              <c:numCache>
                <c:formatCode>0.00</c:formatCode>
                <c:ptCount val="13"/>
                <c:pt idx="0">
                  <c:v>4.4541099648747133</c:v>
                </c:pt>
                <c:pt idx="1">
                  <c:v>2.4874919405530207</c:v>
                </c:pt>
                <c:pt idx="2">
                  <c:v>2.7432639906487308</c:v>
                </c:pt>
                <c:pt idx="3">
                  <c:v>4.4967464894428852</c:v>
                </c:pt>
                <c:pt idx="4">
                  <c:v>5.7593018540806655</c:v>
                </c:pt>
                <c:pt idx="5">
                  <c:v>5.533327865431092</c:v>
                </c:pt>
                <c:pt idx="6">
                  <c:v>5.8948084570002681</c:v>
                </c:pt>
                <c:pt idx="7">
                  <c:v>3.973129346130889</c:v>
                </c:pt>
                <c:pt idx="8">
                  <c:v>-1.7814713512259546</c:v>
                </c:pt>
                <c:pt idx="9">
                  <c:v>4.0111945616728981</c:v>
                </c:pt>
                <c:pt idx="10">
                  <c:v>3.5589624319056017</c:v>
                </c:pt>
                <c:pt idx="11">
                  <c:v>2.8062301206934346</c:v>
                </c:pt>
                <c:pt idx="12">
                  <c:v>1.7394447202940537</c:v>
                </c:pt>
              </c:numCache>
            </c:numRef>
          </c:val>
        </c:ser>
        <c:marker val="1"/>
        <c:axId val="224916992"/>
        <c:axId val="224918912"/>
      </c:lineChart>
      <c:catAx>
        <c:axId val="22491699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918912"/>
        <c:crosses val="autoZero"/>
        <c:auto val="1"/>
        <c:lblAlgn val="ctr"/>
        <c:lblOffset val="100"/>
        <c:tickLblSkip val="1"/>
        <c:tickMarkSkip val="1"/>
      </c:catAx>
      <c:valAx>
        <c:axId val="224918912"/>
        <c:scaling>
          <c:orientation val="minMax"/>
        </c:scaling>
        <c:axPos val="l"/>
        <c:title>
          <c:tx>
            <c:rich>
              <a:bodyPr rot="-120000" vert="horz"/>
              <a:lstStyle/>
              <a:p>
                <a:pPr algn="ctr">
                  <a:defRPr lang="en-ZA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ZA"/>
                  <a:t>%</a:t>
                </a:r>
              </a:p>
            </c:rich>
          </c:tx>
          <c:layout>
            <c:manualLayout>
              <c:xMode val="edge"/>
              <c:yMode val="edge"/>
              <c:x val="8.4375229795304721E-2"/>
              <c:y val="1.358695652173913E-2"/>
            </c:manualLayout>
          </c:layout>
          <c:spPr>
            <a:noFill/>
            <a:ln w="25400">
              <a:noFill/>
            </a:ln>
          </c:spPr>
        </c:title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9169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625057790106336"/>
          <c:y val="1.358695652173913E-2"/>
          <c:w val="0.16875002275201134"/>
          <c:h val="0.1168478260869565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 paperSize="9" orientation="landscape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autoTitleDeleted val="1"/>
    <c:plotArea>
      <c:layout>
        <c:manualLayout>
          <c:layoutTarget val="inner"/>
          <c:xMode val="edge"/>
          <c:yMode val="edge"/>
          <c:x val="0.10542651621020618"/>
          <c:y val="4.9707744276956414E-2"/>
          <c:w val="0.88837343806540403"/>
          <c:h val="0.83625969783585163"/>
        </c:manualLayout>
      </c:layout>
      <c:lineChart>
        <c:grouping val="standard"/>
        <c:ser>
          <c:idx val="0"/>
          <c:order val="0"/>
          <c:tx>
            <c:strRef>
              <c:f>Budget!$H$1</c:f>
              <c:strCache>
                <c:ptCount val="1"/>
                <c:pt idx="0">
                  <c:v>KZN Budget as a % of KZN GDP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Budget!$A$2:$B$15</c:f>
              <c:numCache>
                <c:formatCode>General</c:formatCode>
                <c:ptCount val="1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</c:numCache>
            </c:numRef>
          </c:cat>
          <c:val>
            <c:numRef>
              <c:f>Budget!$H$2:$H$15</c:f>
              <c:numCache>
                <c:formatCode>0.00%</c:formatCode>
                <c:ptCount val="14"/>
                <c:pt idx="0">
                  <c:v>0.10394056114961261</c:v>
                </c:pt>
                <c:pt idx="1">
                  <c:v>0.11439624303896599</c:v>
                </c:pt>
                <c:pt idx="2">
                  <c:v>9.9897291972960545E-2</c:v>
                </c:pt>
                <c:pt idx="3">
                  <c:v>0.11043975666190158</c:v>
                </c:pt>
                <c:pt idx="4">
                  <c:v>0.11621588634529915</c:v>
                </c:pt>
                <c:pt idx="5">
                  <c:v>0.13064746356894666</c:v>
                </c:pt>
                <c:pt idx="6">
                  <c:v>0.13708254703294726</c:v>
                </c:pt>
                <c:pt idx="7">
                  <c:v>0.1561326544058167</c:v>
                </c:pt>
                <c:pt idx="8">
                  <c:v>0.18747115133922138</c:v>
                </c:pt>
                <c:pt idx="9">
                  <c:v>0.21931557355908474</c:v>
                </c:pt>
                <c:pt idx="10">
                  <c:v>0.22359134440923237</c:v>
                </c:pt>
                <c:pt idx="11">
                  <c:v>0.2509473461035242</c:v>
                </c:pt>
                <c:pt idx="12">
                  <c:v>0.26837936607693952</c:v>
                </c:pt>
                <c:pt idx="13">
                  <c:v>0.28020606086751793</c:v>
                </c:pt>
              </c:numCache>
            </c:numRef>
          </c:val>
        </c:ser>
        <c:marker val="1"/>
        <c:axId val="226258304"/>
        <c:axId val="226280576"/>
      </c:lineChart>
      <c:catAx>
        <c:axId val="22625830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280576"/>
        <c:crosses val="autoZero"/>
        <c:auto val="1"/>
        <c:lblAlgn val="ctr"/>
        <c:lblOffset val="100"/>
        <c:tickLblSkip val="1"/>
        <c:tickMarkSkip val="1"/>
      </c:catAx>
      <c:valAx>
        <c:axId val="226280576"/>
        <c:scaling>
          <c:orientation val="minMax"/>
          <c:min val="0.1"/>
        </c:scaling>
        <c:axPos val="l"/>
        <c:numFmt formatCode="0.0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2583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2635722401919685"/>
          <c:y val="1.461988304093568E-2"/>
          <c:w val="0.39534950247401973"/>
          <c:h val="0.122807324523031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10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  <c:userShapes r:id="rId1"/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0.13310591295754517"/>
          <c:y val="5.0000071806169333E-2"/>
          <c:w val="0.86006897603336985"/>
          <c:h val="0.83529531723248696"/>
        </c:manualLayout>
      </c:layout>
      <c:lineChart>
        <c:grouping val="standard"/>
        <c:ser>
          <c:idx val="0"/>
          <c:order val="0"/>
          <c:tx>
            <c:strRef>
              <c:f>Budget!$H$1</c:f>
              <c:strCache>
                <c:ptCount val="1"/>
                <c:pt idx="0">
                  <c:v>KZN Budget as a % of KZN GDP</c:v>
                </c:pt>
              </c:strCache>
            </c:strRef>
          </c:tx>
          <c:spPr>
            <a:ln w="38100">
              <a:solidFill>
                <a:srgbClr val="FF6600"/>
              </a:solidFill>
              <a:prstDash val="solid"/>
            </a:ln>
          </c:spPr>
          <c:marker>
            <c:symbol val="none"/>
          </c:marker>
          <c:cat>
            <c:numRef>
              <c:f>Budget!$A$2:$A$15</c:f>
              <c:numCache>
                <c:formatCode>General</c:formatCode>
                <c:ptCount val="1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</c:numCache>
            </c:numRef>
          </c:cat>
          <c:val>
            <c:numRef>
              <c:f>Budget!$H$2:$H$15</c:f>
              <c:numCache>
                <c:formatCode>0.00%</c:formatCode>
                <c:ptCount val="14"/>
                <c:pt idx="0">
                  <c:v>0.10394056114961261</c:v>
                </c:pt>
                <c:pt idx="1">
                  <c:v>0.11439624303896599</c:v>
                </c:pt>
                <c:pt idx="2">
                  <c:v>9.9897291972960545E-2</c:v>
                </c:pt>
                <c:pt idx="3">
                  <c:v>0.11043975666190158</c:v>
                </c:pt>
                <c:pt idx="4">
                  <c:v>0.11621588634529915</c:v>
                </c:pt>
                <c:pt idx="5">
                  <c:v>0.13064746356894666</c:v>
                </c:pt>
                <c:pt idx="6">
                  <c:v>0.13708254703294726</c:v>
                </c:pt>
                <c:pt idx="7">
                  <c:v>0.1561326544058167</c:v>
                </c:pt>
                <c:pt idx="8">
                  <c:v>0.18747115133922138</c:v>
                </c:pt>
                <c:pt idx="9">
                  <c:v>0.21931557355908474</c:v>
                </c:pt>
                <c:pt idx="10">
                  <c:v>0.22359134440923237</c:v>
                </c:pt>
                <c:pt idx="11">
                  <c:v>0.2509473461035242</c:v>
                </c:pt>
                <c:pt idx="12">
                  <c:v>0.26837936607693952</c:v>
                </c:pt>
                <c:pt idx="13">
                  <c:v>0.28020606086751793</c:v>
                </c:pt>
              </c:numCache>
            </c:numRef>
          </c:val>
        </c:ser>
        <c:ser>
          <c:idx val="1"/>
          <c:order val="1"/>
          <c:tx>
            <c:strRef>
              <c:f>Budget!$I$130</c:f>
              <c:strCache>
                <c:ptCount val="1"/>
                <c:pt idx="0">
                  <c:v>National public-sector expenditure to GDP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Budget!$J$131:$J$144</c:f>
              <c:numCache>
                <c:formatCode>0.00%</c:formatCode>
                <c:ptCount val="14"/>
                <c:pt idx="0">
                  <c:v>0.2228</c:v>
                </c:pt>
                <c:pt idx="1">
                  <c:v>0.22</c:v>
                </c:pt>
                <c:pt idx="2">
                  <c:v>0.22600000000000001</c:v>
                </c:pt>
                <c:pt idx="3">
                  <c:v>0.23600000000000002</c:v>
                </c:pt>
                <c:pt idx="4">
                  <c:v>0.23699999999999999</c:v>
                </c:pt>
                <c:pt idx="5">
                  <c:v>0.24100000000000002</c:v>
                </c:pt>
                <c:pt idx="6">
                  <c:v>0.24600000000000002</c:v>
                </c:pt>
                <c:pt idx="7">
                  <c:v>0.249</c:v>
                </c:pt>
                <c:pt idx="8">
                  <c:v>0.26899999999999996</c:v>
                </c:pt>
                <c:pt idx="9">
                  <c:v>0.29100000000000004</c:v>
                </c:pt>
                <c:pt idx="10">
                  <c:v>0.29199999999999998</c:v>
                </c:pt>
                <c:pt idx="11">
                  <c:v>0.32</c:v>
                </c:pt>
                <c:pt idx="12">
                  <c:v>0.34</c:v>
                </c:pt>
                <c:pt idx="13">
                  <c:v>0.37</c:v>
                </c:pt>
              </c:numCache>
            </c:numRef>
          </c:val>
        </c:ser>
        <c:marker val="1"/>
        <c:axId val="226309248"/>
        <c:axId val="226310784"/>
      </c:lineChart>
      <c:catAx>
        <c:axId val="22630924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310784"/>
        <c:crosses val="autoZero"/>
        <c:auto val="1"/>
        <c:lblAlgn val="ctr"/>
        <c:lblOffset val="100"/>
        <c:tickLblSkip val="1"/>
        <c:tickMarkSkip val="1"/>
      </c:catAx>
      <c:valAx>
        <c:axId val="226310784"/>
        <c:scaling>
          <c:orientation val="minMax"/>
          <c:min val="0.05"/>
        </c:scaling>
        <c:axPos val="l"/>
        <c:numFmt formatCode="0.0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3092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38228346456693"/>
          <c:y val="1.4705865571151435E-2"/>
          <c:w val="0.51365223097112933"/>
          <c:h val="0.1323530754307881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 paperSize="9" orientation="landscape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layout>
        <c:manualLayout>
          <c:xMode val="edge"/>
          <c:yMode val="edge"/>
          <c:x val="0.46551775855604255"/>
          <c:y val="3.6303630363036306E-2"/>
        </c:manualLayout>
      </c:layout>
      <c:spPr>
        <a:noFill/>
        <a:ln w="25400">
          <a:noFill/>
        </a:ln>
      </c:spPr>
      <c:txPr>
        <a:bodyPr/>
        <a:lstStyle/>
        <a:p>
          <a:pPr>
            <a:defRPr lang="en-ZA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view3D>
      <c:perspective val="0"/>
    </c:view3D>
    <c:plotArea>
      <c:layout>
        <c:manualLayout>
          <c:layoutTarget val="inner"/>
          <c:xMode val="edge"/>
          <c:yMode val="edge"/>
          <c:x val="1.2315285747101281E-2"/>
          <c:y val="0.38283951771193581"/>
          <c:w val="0.97044451687159206"/>
          <c:h val="0.51485314450915487"/>
        </c:manualLayout>
      </c:layout>
      <c:pie3DChart>
        <c:varyColors val="1"/>
        <c:ser>
          <c:idx val="0"/>
          <c:order val="0"/>
          <c:tx>
            <c:strRef>
              <c:f>SocioEcon!$C$62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5.3204715948656722E-2"/>
                  <c:y val="-3.2515469486374668E-2"/>
                </c:manualLayout>
              </c:layout>
              <c:dLblPos val="bestFit"/>
              <c:showPercent val="1"/>
            </c:dLbl>
            <c:dLbl>
              <c:idx val="1"/>
              <c:layout>
                <c:manualLayout>
                  <c:x val="-8.9644360281095591E-3"/>
                  <c:y val="-0.11801127050460777"/>
                </c:manualLayout>
              </c:layout>
              <c:dLblPos val="bestFit"/>
              <c:showPercent val="1"/>
            </c:dLbl>
            <c:dLbl>
              <c:idx val="2"/>
              <c:layout>
                <c:manualLayout>
                  <c:x val="5.665031443666587E-2"/>
                  <c:y val="-0.34306329815426423"/>
                </c:manualLayout>
              </c:layout>
              <c:dLblPos val="bestFit"/>
              <c:showPercent val="1"/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ZA"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SocioEcon!$A$76:$A$78</c:f>
              <c:strCache>
                <c:ptCount val="3"/>
                <c:pt idx="0">
                  <c:v>Primary Sector</c:v>
                </c:pt>
                <c:pt idx="1">
                  <c:v>Secondary Sector</c:v>
                </c:pt>
                <c:pt idx="2">
                  <c:v>Tertiary Sector</c:v>
                </c:pt>
              </c:strCache>
            </c:strRef>
          </c:cat>
          <c:val>
            <c:numRef>
              <c:f>SocioEcon!$C$76:$C$78</c:f>
              <c:numCache>
                <c:formatCode>#,##0</c:formatCode>
                <c:ptCount val="3"/>
                <c:pt idx="0">
                  <c:v>79837</c:v>
                </c:pt>
                <c:pt idx="1">
                  <c:v>580496</c:v>
                </c:pt>
                <c:pt idx="2">
                  <c:v>1075332</c:v>
                </c:pt>
              </c:numCache>
            </c:numRef>
          </c:val>
        </c:ser>
      </c:pie3DChart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72660176098677365"/>
          <c:y val="1.6501650165016681E-2"/>
          <c:w val="0.26108400243073016"/>
          <c:h val="0.1914198348968784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57"/>
      <c:depthPercent val="100"/>
      <c:rAngAx val="1"/>
    </c:view3D>
    <c:floor>
      <c:spPr>
        <a:solidFill>
          <a:srgbClr val="99CCFF"/>
        </a:solidFill>
        <a:ln w="3175">
          <a:solidFill>
            <a:srgbClr val="000000"/>
          </a:solidFill>
          <a:prstDash val="solid"/>
        </a:ln>
      </c:spPr>
    </c:floor>
    <c:sideWall>
      <c:spPr>
        <a:noFill/>
        <a:ln w="25400">
          <a:noFill/>
        </a:ln>
      </c:spPr>
    </c:sideWall>
    <c:backWall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3874811420677721"/>
          <c:y val="1.183431952662722E-2"/>
          <c:w val="0.85448533749295652"/>
          <c:h val="0.88757396449703141"/>
        </c:manualLayout>
      </c:layout>
      <c:bar3DChart>
        <c:barDir val="col"/>
        <c:grouping val="clustered"/>
        <c:ser>
          <c:idx val="4"/>
          <c:order val="0"/>
          <c:tx>
            <c:strRef>
              <c:f>SocioEcon!$D$4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SocioEcon!$A$3</c:f>
              <c:strCache>
                <c:ptCount val="1"/>
                <c:pt idx="0">
                  <c:v>Per Capita Income</c:v>
                </c:pt>
              </c:strCache>
            </c:strRef>
          </c:cat>
          <c:val>
            <c:numRef>
              <c:f>SocioEcon!$D$3</c:f>
              <c:numCache>
                <c:formatCode>"R"\ #,##0.00</c:formatCode>
                <c:ptCount val="1"/>
                <c:pt idx="0">
                  <c:v>9222.3471532989588</c:v>
                </c:pt>
              </c:numCache>
            </c:numRef>
          </c:val>
          <c:shape val="cylinder"/>
        </c:ser>
        <c:ser>
          <c:idx val="3"/>
          <c:order val="1"/>
          <c:tx>
            <c:strRef>
              <c:f>SocioEcon!$F$4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00FF00"/>
            </a:solidFill>
            <a:ln w="3175">
              <a:solidFill>
                <a:srgbClr val="000000"/>
              </a:solidFill>
              <a:prstDash val="solid"/>
            </a:ln>
          </c:spPr>
          <c:cat>
            <c:strRef>
              <c:f>SocioEcon!$A$3</c:f>
              <c:strCache>
                <c:ptCount val="1"/>
                <c:pt idx="0">
                  <c:v>Per Capita Income</c:v>
                </c:pt>
              </c:strCache>
            </c:strRef>
          </c:cat>
          <c:val>
            <c:numRef>
              <c:f>SocioEcon!$F$3</c:f>
            </c:numRef>
          </c:val>
          <c:shape val="cylinder"/>
        </c:ser>
        <c:ser>
          <c:idx val="2"/>
          <c:order val="2"/>
          <c:tx>
            <c:strRef>
              <c:f>SocioEcon!$G$4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FF6600"/>
            </a:solidFill>
            <a:ln w="3175">
              <a:solidFill>
                <a:srgbClr val="000000"/>
              </a:solidFill>
              <a:prstDash val="solid"/>
            </a:ln>
          </c:spPr>
          <c:cat>
            <c:strRef>
              <c:f>SocioEcon!$A$3</c:f>
              <c:strCache>
                <c:ptCount val="1"/>
                <c:pt idx="0">
                  <c:v>Per Capita Income</c:v>
                </c:pt>
              </c:strCache>
            </c:strRef>
          </c:cat>
          <c:val>
            <c:numRef>
              <c:f>SocioEcon!$G$3</c:f>
            </c:numRef>
          </c:val>
          <c:shape val="cylinder"/>
        </c:ser>
        <c:ser>
          <c:idx val="0"/>
          <c:order val="3"/>
          <c:tx>
            <c:strRef>
              <c:f>SocioEcon!$H$4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0000FF"/>
            </a:solidFill>
            <a:ln w="3175">
              <a:solidFill>
                <a:srgbClr val="000000"/>
              </a:solidFill>
              <a:prstDash val="solid"/>
            </a:ln>
          </c:spPr>
          <c:cat>
            <c:strRef>
              <c:f>SocioEcon!$A$3</c:f>
              <c:strCache>
                <c:ptCount val="1"/>
                <c:pt idx="0">
                  <c:v>Per Capita Income</c:v>
                </c:pt>
              </c:strCache>
            </c:strRef>
          </c:cat>
          <c:val>
            <c:numRef>
              <c:f>SocioEcon!$H$3</c:f>
            </c:numRef>
          </c:val>
          <c:shape val="cylinder"/>
        </c:ser>
        <c:ser>
          <c:idx val="1"/>
          <c:order val="4"/>
          <c:tx>
            <c:strRef>
              <c:f>SocioEcon!$C$4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9933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SocioEcon!$A$3</c:f>
              <c:strCache>
                <c:ptCount val="1"/>
                <c:pt idx="0">
                  <c:v>Per Capita Income</c:v>
                </c:pt>
              </c:strCache>
            </c:strRef>
          </c:cat>
          <c:val>
            <c:numRef>
              <c:f>SocioEcon!$C$3</c:f>
              <c:numCache>
                <c:formatCode>"R"\ #,##0.00</c:formatCode>
                <c:ptCount val="1"/>
                <c:pt idx="0">
                  <c:v>15375.940377591691</c:v>
                </c:pt>
              </c:numCache>
            </c:numRef>
          </c:val>
          <c:shape val="cylinder"/>
        </c:ser>
        <c:shape val="box"/>
        <c:axId val="226706944"/>
        <c:axId val="226708480"/>
        <c:axId val="0"/>
      </c:bar3DChart>
      <c:catAx>
        <c:axId val="226706944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08480"/>
        <c:crosses val="autoZero"/>
        <c:auto val="1"/>
        <c:lblAlgn val="ctr"/>
        <c:lblOffset val="100"/>
        <c:tickLblSkip val="1"/>
        <c:tickMarkSkip val="1"/>
      </c:catAx>
      <c:valAx>
        <c:axId val="226708480"/>
        <c:scaling>
          <c:orientation val="minMax"/>
        </c:scaling>
        <c:axPos val="l"/>
        <c:numFmt formatCode="&quot;R&quot;\ #,##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069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7986605735196799"/>
          <c:y val="7.1005837385080969E-2"/>
          <c:w val="0.10490711503701665"/>
          <c:h val="0.1449705262252053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 orientation="landscape" horizontalDpi="200" verticalDpi="200" copies="0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layout>
        <c:manualLayout>
          <c:xMode val="edge"/>
          <c:yMode val="edge"/>
          <c:x val="0.46633416458852867"/>
          <c:y val="3.6184210526316318E-2"/>
        </c:manualLayout>
      </c:layout>
      <c:spPr>
        <a:noFill/>
        <a:ln w="25400">
          <a:noFill/>
        </a:ln>
      </c:spPr>
      <c:txPr>
        <a:bodyPr/>
        <a:lstStyle/>
        <a:p>
          <a:pPr>
            <a:defRPr lang="en-ZA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view3D>
      <c:perspective val="0"/>
    </c:view3D>
    <c:plotArea>
      <c:layout>
        <c:manualLayout>
          <c:layoutTarget val="inner"/>
          <c:xMode val="edge"/>
          <c:yMode val="edge"/>
          <c:x val="1.2468827930174564E-2"/>
          <c:y val="0.38486903922479504"/>
          <c:w val="0.97007481296759845"/>
          <c:h val="0.50986923999865053"/>
        </c:manualLayout>
      </c:layout>
      <c:pie3DChart>
        <c:varyColors val="1"/>
        <c:ser>
          <c:idx val="0"/>
          <c:order val="0"/>
          <c:tx>
            <c:strRef>
              <c:f>SocioEcon!$D$62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6.2961493903039165E-2"/>
                  <c:y val="-7.4843090789745034E-2"/>
                </c:manualLayout>
              </c:layout>
              <c:dLblPos val="bestFit"/>
              <c:showPercent val="1"/>
            </c:dLbl>
            <c:dLbl>
              <c:idx val="1"/>
              <c:layout>
                <c:manualLayout>
                  <c:x val="-1.1571072319202349E-2"/>
                  <c:y val="-0.27045383807358125"/>
                </c:manualLayout>
              </c:layout>
              <c:dLblPos val="bestFit"/>
              <c:showPercent val="1"/>
            </c:dLbl>
            <c:dLbl>
              <c:idx val="2"/>
              <c:layout>
                <c:manualLayout>
                  <c:x val="1.9950124688279679E-2"/>
                  <c:y val="-0.30876955847695176"/>
                </c:manualLayout>
              </c:layout>
              <c:dLblPos val="bestFit"/>
              <c:showPercent val="1"/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ZA"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SocioEcon!$A$76:$A$78</c:f>
              <c:strCache>
                <c:ptCount val="3"/>
                <c:pt idx="0">
                  <c:v>Primary Sector</c:v>
                </c:pt>
                <c:pt idx="1">
                  <c:v>Secondary Sector</c:v>
                </c:pt>
                <c:pt idx="2">
                  <c:v>Tertiary Sector</c:v>
                </c:pt>
              </c:strCache>
            </c:strRef>
          </c:cat>
          <c:val>
            <c:numRef>
              <c:f>SocioEcon!$D$76:$D$78</c:f>
              <c:numCache>
                <c:formatCode>#,##0</c:formatCode>
                <c:ptCount val="3"/>
                <c:pt idx="0">
                  <c:v>152045</c:v>
                </c:pt>
                <c:pt idx="1">
                  <c:v>437355</c:v>
                </c:pt>
                <c:pt idx="2">
                  <c:v>844739</c:v>
                </c:pt>
              </c:numCache>
            </c:numRef>
          </c:val>
        </c:ser>
      </c:pie3DChart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7256857855361597"/>
          <c:y val="1.6447368421052631E-2"/>
          <c:w val="0.26433915211970094"/>
          <c:h val="0.1907898190357813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layout>
        <c:manualLayout>
          <c:xMode val="edge"/>
          <c:yMode val="edge"/>
          <c:x val="0.4656873037929114"/>
          <c:y val="3.6065573770491806E-2"/>
        </c:manualLayout>
      </c:layout>
      <c:spPr>
        <a:noFill/>
        <a:ln w="25400">
          <a:noFill/>
        </a:ln>
      </c:spPr>
      <c:txPr>
        <a:bodyPr/>
        <a:lstStyle/>
        <a:p>
          <a:pPr>
            <a:defRPr lang="en-ZA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view3D>
      <c:perspective val="0"/>
    </c:view3D>
    <c:plotArea>
      <c:layout>
        <c:manualLayout>
          <c:layoutTarget val="inner"/>
          <c:xMode val="edge"/>
          <c:yMode val="edge"/>
          <c:x val="1.22549312933979E-2"/>
          <c:y val="0.38032786885247066"/>
          <c:w val="0.97059055843711362"/>
          <c:h val="0.51475409836065578"/>
        </c:manualLayout>
      </c:layout>
      <c:pie3DChart>
        <c:varyColors val="1"/>
        <c:ser>
          <c:idx val="0"/>
          <c:order val="0"/>
          <c:tx>
            <c:strRef>
              <c:f>SocioEcon!$E$62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8.7959371816300105E-2"/>
                  <c:y val="-7.0741190138117971E-2"/>
                </c:manualLayout>
              </c:layout>
              <c:dLblPos val="bestFit"/>
              <c:showPercent val="1"/>
            </c:dLbl>
            <c:dLbl>
              <c:idx val="1"/>
              <c:layout>
                <c:manualLayout>
                  <c:x val="-2.1174346907012042E-2"/>
                  <c:y val="-0.3165344004130633"/>
                </c:manualLayout>
              </c:layout>
              <c:dLblPos val="bestFit"/>
              <c:showPercent val="1"/>
            </c:dLbl>
            <c:dLbl>
              <c:idx val="2"/>
              <c:layout>
                <c:manualLayout>
                  <c:x val="8.0882546536426222E-2"/>
                  <c:y val="-0.33097026806076352"/>
                </c:manualLayout>
              </c:layout>
              <c:dLblPos val="bestFit"/>
              <c:showPercent val="1"/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ZA"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SocioEcon!$A$76:$A$78</c:f>
              <c:strCache>
                <c:ptCount val="3"/>
                <c:pt idx="0">
                  <c:v>Primary Sector</c:v>
                </c:pt>
                <c:pt idx="1">
                  <c:v>Secondary Sector</c:v>
                </c:pt>
                <c:pt idx="2">
                  <c:v>Tertiary Sector</c:v>
                </c:pt>
              </c:strCache>
            </c:strRef>
          </c:cat>
          <c:val>
            <c:numRef>
              <c:f>SocioEcon!$E$76:$E$78</c:f>
              <c:numCache>
                <c:formatCode>#,##0</c:formatCode>
                <c:ptCount val="3"/>
                <c:pt idx="0">
                  <c:v>133932</c:v>
                </c:pt>
                <c:pt idx="1">
                  <c:v>451726</c:v>
                </c:pt>
                <c:pt idx="2">
                  <c:v>697560</c:v>
                </c:pt>
              </c:numCache>
            </c:numRef>
          </c:val>
        </c:ser>
      </c:pie3DChart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72794297771602079"/>
          <c:y val="1.6393442622950821E-2"/>
          <c:w val="0.2598044362101799"/>
          <c:h val="0.1901639344262296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65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8993288590604064E-2"/>
          <c:y val="1.0178142339929079E-2"/>
          <c:w val="0.89429530201343055"/>
          <c:h val="0.87532024123390095"/>
        </c:manualLayout>
      </c:layout>
      <c:bar3DChart>
        <c:barDir val="col"/>
        <c:grouping val="percentStacked"/>
        <c:ser>
          <c:idx val="2"/>
          <c:order val="0"/>
          <c:tx>
            <c:strRef>
              <c:f>SocioEcon!$E$15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SocioEcon!$A$16:$A$25</c:f>
              <c:strCache>
                <c:ptCount val="10"/>
                <c:pt idx="0">
                  <c:v>Males - 0 to 4</c:v>
                </c:pt>
                <c:pt idx="1">
                  <c:v>Males - 5 to 14</c:v>
                </c:pt>
                <c:pt idx="2">
                  <c:v>Males - 15 to 34</c:v>
                </c:pt>
                <c:pt idx="3">
                  <c:v>Males - 35 to 64</c:v>
                </c:pt>
                <c:pt idx="4">
                  <c:v>Males - Over 65</c:v>
                </c:pt>
                <c:pt idx="5">
                  <c:v>Females - 0 to 4</c:v>
                </c:pt>
                <c:pt idx="6">
                  <c:v>Females - 5 to 14</c:v>
                </c:pt>
                <c:pt idx="7">
                  <c:v>Females - 15 to 34</c:v>
                </c:pt>
                <c:pt idx="8">
                  <c:v>Females - 35 to 64</c:v>
                </c:pt>
                <c:pt idx="9">
                  <c:v>Females - Over 65</c:v>
                </c:pt>
              </c:strCache>
            </c:strRef>
          </c:cat>
          <c:val>
            <c:numRef>
              <c:f>SocioEcon!$E$16:$E$25</c:f>
              <c:numCache>
                <c:formatCode>#,##0</c:formatCode>
                <c:ptCount val="10"/>
                <c:pt idx="0">
                  <c:v>480693</c:v>
                </c:pt>
                <c:pt idx="1">
                  <c:v>1008320</c:v>
                </c:pt>
                <c:pt idx="2">
                  <c:v>1421379</c:v>
                </c:pt>
                <c:pt idx="3">
                  <c:v>843719</c:v>
                </c:pt>
                <c:pt idx="4">
                  <c:v>137502</c:v>
                </c:pt>
                <c:pt idx="5">
                  <c:v>483853</c:v>
                </c:pt>
                <c:pt idx="6">
                  <c:v>1015842</c:v>
                </c:pt>
                <c:pt idx="7">
                  <c:v>1620137</c:v>
                </c:pt>
                <c:pt idx="8">
                  <c:v>1047994</c:v>
                </c:pt>
                <c:pt idx="9">
                  <c:v>239070</c:v>
                </c:pt>
              </c:numCache>
            </c:numRef>
          </c:val>
        </c:ser>
        <c:ser>
          <c:idx val="1"/>
          <c:order val="1"/>
          <c:tx>
            <c:strRef>
              <c:f>SocioEcon!$D$15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SocioEcon!$A$16:$A$25</c:f>
              <c:strCache>
                <c:ptCount val="10"/>
                <c:pt idx="0">
                  <c:v>Males - 0 to 4</c:v>
                </c:pt>
                <c:pt idx="1">
                  <c:v>Males - 5 to 14</c:v>
                </c:pt>
                <c:pt idx="2">
                  <c:v>Males - 15 to 34</c:v>
                </c:pt>
                <c:pt idx="3">
                  <c:v>Males - 35 to 64</c:v>
                </c:pt>
                <c:pt idx="4">
                  <c:v>Males - Over 65</c:v>
                </c:pt>
                <c:pt idx="5">
                  <c:v>Females - 0 to 4</c:v>
                </c:pt>
                <c:pt idx="6">
                  <c:v>Females - 5 to 14</c:v>
                </c:pt>
                <c:pt idx="7">
                  <c:v>Females - 15 to 34</c:v>
                </c:pt>
                <c:pt idx="8">
                  <c:v>Females - 35 to 64</c:v>
                </c:pt>
                <c:pt idx="9">
                  <c:v>Females - Over 65</c:v>
                </c:pt>
              </c:strCache>
            </c:strRef>
          </c:cat>
          <c:val>
            <c:numRef>
              <c:f>SocioEcon!$D$16:$D$25</c:f>
              <c:numCache>
                <c:formatCode>#,##0</c:formatCode>
                <c:ptCount val="10"/>
                <c:pt idx="0">
                  <c:v>516037</c:v>
                </c:pt>
                <c:pt idx="1">
                  <c:v>1153667</c:v>
                </c:pt>
                <c:pt idx="2">
                  <c:v>1661762</c:v>
                </c:pt>
                <c:pt idx="3">
                  <c:v>998089</c:v>
                </c:pt>
                <c:pt idx="4">
                  <c:v>148527</c:v>
                </c:pt>
                <c:pt idx="5">
                  <c:v>517451</c:v>
                </c:pt>
                <c:pt idx="6">
                  <c:v>1157653</c:v>
                </c:pt>
                <c:pt idx="7">
                  <c:v>1841198</c:v>
                </c:pt>
                <c:pt idx="8">
                  <c:v>1292324</c:v>
                </c:pt>
                <c:pt idx="9">
                  <c:v>297421</c:v>
                </c:pt>
              </c:numCache>
            </c:numRef>
          </c:val>
        </c:ser>
        <c:ser>
          <c:idx val="0"/>
          <c:order val="2"/>
          <c:tx>
            <c:strRef>
              <c:f>SocioEcon!$C$15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SocioEcon!$A$16:$A$25</c:f>
              <c:strCache>
                <c:ptCount val="10"/>
                <c:pt idx="0">
                  <c:v>Males - 0 to 4</c:v>
                </c:pt>
                <c:pt idx="1">
                  <c:v>Males - 5 to 14</c:v>
                </c:pt>
                <c:pt idx="2">
                  <c:v>Males - 15 to 34</c:v>
                </c:pt>
                <c:pt idx="3">
                  <c:v>Males - 35 to 64</c:v>
                </c:pt>
                <c:pt idx="4">
                  <c:v>Males - Over 65</c:v>
                </c:pt>
                <c:pt idx="5">
                  <c:v>Females - 0 to 4</c:v>
                </c:pt>
                <c:pt idx="6">
                  <c:v>Females - 5 to 14</c:v>
                </c:pt>
                <c:pt idx="7">
                  <c:v>Females - 15 to 34</c:v>
                </c:pt>
                <c:pt idx="8">
                  <c:v>Females - 35 to 64</c:v>
                </c:pt>
                <c:pt idx="9">
                  <c:v>Females - Over 65</c:v>
                </c:pt>
              </c:strCache>
            </c:strRef>
          </c:cat>
          <c:val>
            <c:numRef>
              <c:f>SocioEcon!$C$16:$C$25</c:f>
              <c:numCache>
                <c:formatCode>#,##0</c:formatCode>
                <c:ptCount val="10"/>
                <c:pt idx="0">
                  <c:v>542207</c:v>
                </c:pt>
                <c:pt idx="1">
                  <c:v>1180183</c:v>
                </c:pt>
                <c:pt idx="2">
                  <c:v>1924855</c:v>
                </c:pt>
                <c:pt idx="3">
                  <c:v>1063818</c:v>
                </c:pt>
                <c:pt idx="4">
                  <c:v>162219</c:v>
                </c:pt>
                <c:pt idx="5">
                  <c:v>539022</c:v>
                </c:pt>
                <c:pt idx="6">
                  <c:v>1173843</c:v>
                </c:pt>
                <c:pt idx="7">
                  <c:v>1941531</c:v>
                </c:pt>
                <c:pt idx="8">
                  <c:v>1397046</c:v>
                </c:pt>
                <c:pt idx="9">
                  <c:v>334506</c:v>
                </c:pt>
              </c:numCache>
            </c:numRef>
          </c:val>
        </c:ser>
        <c:shape val="cylinder"/>
        <c:axId val="226528640"/>
        <c:axId val="226534528"/>
        <c:axId val="0"/>
      </c:bar3DChart>
      <c:catAx>
        <c:axId val="226528640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534528"/>
        <c:crosses val="autoZero"/>
        <c:auto val="1"/>
        <c:lblAlgn val="ctr"/>
        <c:lblOffset val="100"/>
        <c:tickLblSkip val="1"/>
        <c:tickMarkSkip val="1"/>
      </c:catAx>
      <c:valAx>
        <c:axId val="22653452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5286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6744966442953031"/>
          <c:y val="0.43002651386134516"/>
          <c:w val="0.34060402684563751"/>
          <c:h val="7.124708648060168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 orientation="landscape" horizontalDpi="300" verticalDpi="300"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65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8827632347337768E-2"/>
          <c:y val="1.015229684562465E-2"/>
          <c:w val="0.8944738249741957"/>
          <c:h val="0.87563560293515763"/>
        </c:manualLayout>
      </c:layout>
      <c:bar3DChart>
        <c:barDir val="col"/>
        <c:grouping val="percentStacked"/>
        <c:ser>
          <c:idx val="2"/>
          <c:order val="0"/>
          <c:tx>
            <c:strRef>
              <c:f>SocioEcon!$E$15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SocioEcon!$A$41:$A$46</c:f>
              <c:strCache>
                <c:ptCount val="6"/>
                <c:pt idx="0">
                  <c:v>No Schooling</c:v>
                </c:pt>
                <c:pt idx="1">
                  <c:v>Some Primary</c:v>
                </c:pt>
                <c:pt idx="2">
                  <c:v>Complete Primary</c:v>
                </c:pt>
                <c:pt idx="3">
                  <c:v>Secondary</c:v>
                </c:pt>
                <c:pt idx="4">
                  <c:v>Grade 12</c:v>
                </c:pt>
                <c:pt idx="5">
                  <c:v>Higher</c:v>
                </c:pt>
              </c:strCache>
            </c:strRef>
          </c:cat>
          <c:val>
            <c:numRef>
              <c:f>SocioEcon!$E$41:$E$46</c:f>
              <c:numCache>
                <c:formatCode>#,##0</c:formatCode>
                <c:ptCount val="6"/>
                <c:pt idx="0">
                  <c:v>957217</c:v>
                </c:pt>
                <c:pt idx="1">
                  <c:v>747586</c:v>
                </c:pt>
                <c:pt idx="2">
                  <c:v>278433</c:v>
                </c:pt>
                <c:pt idx="3">
                  <c:v>1328708</c:v>
                </c:pt>
                <c:pt idx="4">
                  <c:v>665303</c:v>
                </c:pt>
                <c:pt idx="5">
                  <c:v>200820</c:v>
                </c:pt>
              </c:numCache>
            </c:numRef>
          </c:val>
        </c:ser>
        <c:ser>
          <c:idx val="1"/>
          <c:order val="1"/>
          <c:tx>
            <c:strRef>
              <c:f>SocioEcon!$D$15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SocioEcon!$A$41:$A$46</c:f>
              <c:strCache>
                <c:ptCount val="6"/>
                <c:pt idx="0">
                  <c:v>No Schooling</c:v>
                </c:pt>
                <c:pt idx="1">
                  <c:v>Some Primary</c:v>
                </c:pt>
                <c:pt idx="2">
                  <c:v>Complete Primary</c:v>
                </c:pt>
                <c:pt idx="3">
                  <c:v>Secondary</c:v>
                </c:pt>
                <c:pt idx="4">
                  <c:v>Grade 12</c:v>
                </c:pt>
                <c:pt idx="5">
                  <c:v>Higher</c:v>
                </c:pt>
              </c:strCache>
            </c:strRef>
          </c:cat>
          <c:val>
            <c:numRef>
              <c:f>SocioEcon!$D$41:$D$46</c:f>
              <c:numCache>
                <c:formatCode>#,##0</c:formatCode>
                <c:ptCount val="6"/>
                <c:pt idx="0">
                  <c:v>1114879</c:v>
                </c:pt>
                <c:pt idx="1">
                  <c:v>869654</c:v>
                </c:pt>
                <c:pt idx="2">
                  <c:v>292212</c:v>
                </c:pt>
                <c:pt idx="3">
                  <c:v>1463896</c:v>
                </c:pt>
                <c:pt idx="4">
                  <c:v>999391</c:v>
                </c:pt>
                <c:pt idx="5">
                  <c:v>350925</c:v>
                </c:pt>
              </c:numCache>
            </c:numRef>
          </c:val>
        </c:ser>
        <c:ser>
          <c:idx val="0"/>
          <c:order val="2"/>
          <c:tx>
            <c:strRef>
              <c:f>SocioEcon!$C$15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SocioEcon!$A$41:$A$46</c:f>
              <c:strCache>
                <c:ptCount val="6"/>
                <c:pt idx="0">
                  <c:v>No Schooling</c:v>
                </c:pt>
                <c:pt idx="1">
                  <c:v>Some Primary</c:v>
                </c:pt>
                <c:pt idx="2">
                  <c:v>Complete Primary</c:v>
                </c:pt>
                <c:pt idx="3">
                  <c:v>Secondary</c:v>
                </c:pt>
                <c:pt idx="4">
                  <c:v>Grade 12</c:v>
                </c:pt>
                <c:pt idx="5">
                  <c:v>Higher</c:v>
                </c:pt>
              </c:strCache>
            </c:strRef>
          </c:cat>
          <c:val>
            <c:numRef>
              <c:f>SocioEcon!$C$41:$C$46</c:f>
              <c:numCache>
                <c:formatCode>#,##0</c:formatCode>
                <c:ptCount val="6"/>
                <c:pt idx="0">
                  <c:v>912152</c:v>
                </c:pt>
                <c:pt idx="1">
                  <c:v>2689800</c:v>
                </c:pt>
                <c:pt idx="2">
                  <c:v>565222</c:v>
                </c:pt>
                <c:pt idx="3">
                  <c:v>2700350</c:v>
                </c:pt>
                <c:pt idx="4">
                  <c:v>1517672</c:v>
                </c:pt>
                <c:pt idx="5">
                  <c:v>612333</c:v>
                </c:pt>
              </c:numCache>
            </c:numRef>
          </c:val>
        </c:ser>
        <c:shape val="cylinder"/>
        <c:axId val="226851072"/>
        <c:axId val="226856960"/>
        <c:axId val="0"/>
      </c:bar3DChart>
      <c:catAx>
        <c:axId val="226851072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856960"/>
        <c:crosses val="autoZero"/>
        <c:auto val="1"/>
        <c:lblAlgn val="ctr"/>
        <c:lblOffset val="100"/>
        <c:tickLblSkip val="1"/>
        <c:tickMarkSkip val="1"/>
      </c:catAx>
      <c:valAx>
        <c:axId val="22685696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8510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510940529418838"/>
          <c:y val="0.65736120548383958"/>
          <c:w val="0.34003402840976443"/>
          <c:h val="7.106598984770888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9.7520661157025068E-2"/>
          <c:y val="7.4074280165710091E-2"/>
          <c:w val="0.8793388429752067"/>
          <c:h val="0.79772301716920135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9933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SocioEcon!$J$51:$L$51</c:f>
              <c:strCache>
                <c:ptCount val="3"/>
                <c:pt idx="0">
                  <c:v>Unemployment rate 1996</c:v>
                </c:pt>
                <c:pt idx="1">
                  <c:v>Unemployment rate 2001</c:v>
                </c:pt>
                <c:pt idx="2">
                  <c:v>Unemployment rate 2007</c:v>
                </c:pt>
              </c:strCache>
            </c:strRef>
          </c:cat>
          <c:val>
            <c:numRef>
              <c:f>SocioEcon!$J$52:$L$52</c:f>
              <c:numCache>
                <c:formatCode>0.00</c:formatCode>
                <c:ptCount val="3"/>
                <c:pt idx="0">
                  <c:v>20.451979829032872</c:v>
                </c:pt>
                <c:pt idx="1">
                  <c:v>26.579524570573998</c:v>
                </c:pt>
                <c:pt idx="2">
                  <c:v>20.747212454067725</c:v>
                </c:pt>
              </c:numCache>
            </c:numRef>
          </c:val>
        </c:ser>
        <c:axId val="226868224"/>
        <c:axId val="226882304"/>
      </c:barChart>
      <c:catAx>
        <c:axId val="2268682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882304"/>
        <c:crosses val="autoZero"/>
        <c:auto val="1"/>
        <c:lblAlgn val="ctr"/>
        <c:lblOffset val="100"/>
        <c:tickLblSkip val="1"/>
        <c:tickMarkSkip val="1"/>
      </c:catAx>
      <c:valAx>
        <c:axId val="226882304"/>
        <c:scaling>
          <c:orientation val="minMax"/>
        </c:scaling>
        <c:axPos val="l"/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8682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view3D>
      <c:hPercent val="66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8662287917968688E-2"/>
          <c:y val="1.0126582278481023E-2"/>
          <c:w val="0.89464955993412365"/>
          <c:h val="0.9012658227848106"/>
        </c:manualLayout>
      </c:layout>
      <c:bar3DChart>
        <c:barDir val="col"/>
        <c:grouping val="percentStacked"/>
        <c:ser>
          <c:idx val="1"/>
          <c:order val="0"/>
          <c:tx>
            <c:strRef>
              <c:f>SocioEcon!$D$15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SocioEcon!$A$92:$A$103</c:f>
              <c:strCache>
                <c:ptCount val="12"/>
                <c:pt idx="0">
                  <c:v>None</c:v>
                </c:pt>
                <c:pt idx="1">
                  <c:v>R1 - 400</c:v>
                </c:pt>
                <c:pt idx="2">
                  <c:v>R401 - 800</c:v>
                </c:pt>
                <c:pt idx="3">
                  <c:v>R801 - 1600</c:v>
                </c:pt>
                <c:pt idx="4">
                  <c:v>R1601 - 3200</c:v>
                </c:pt>
                <c:pt idx="5">
                  <c:v>R3201 - 6400</c:v>
                </c:pt>
                <c:pt idx="6">
                  <c:v>R6401 - 12800</c:v>
                </c:pt>
                <c:pt idx="7">
                  <c:v>R12801 - 25600</c:v>
                </c:pt>
                <c:pt idx="8">
                  <c:v>R25601 - 51200</c:v>
                </c:pt>
                <c:pt idx="9">
                  <c:v>R51201 - 102400</c:v>
                </c:pt>
                <c:pt idx="10">
                  <c:v>R102401 - 204800</c:v>
                </c:pt>
                <c:pt idx="11">
                  <c:v>Over R204801</c:v>
                </c:pt>
              </c:strCache>
            </c:strRef>
          </c:cat>
          <c:val>
            <c:numRef>
              <c:f>SocioEcon!$D$92:$D$103</c:f>
              <c:numCache>
                <c:formatCode>#,##0</c:formatCode>
                <c:ptCount val="12"/>
                <c:pt idx="0">
                  <c:v>7001831</c:v>
                </c:pt>
                <c:pt idx="1">
                  <c:v>548744</c:v>
                </c:pt>
                <c:pt idx="2">
                  <c:v>851506</c:v>
                </c:pt>
                <c:pt idx="3">
                  <c:v>393905</c:v>
                </c:pt>
                <c:pt idx="4">
                  <c:v>346716</c:v>
                </c:pt>
                <c:pt idx="5">
                  <c:v>253475</c:v>
                </c:pt>
                <c:pt idx="6">
                  <c:v>122773</c:v>
                </c:pt>
                <c:pt idx="7">
                  <c:v>39314</c:v>
                </c:pt>
                <c:pt idx="8">
                  <c:v>12588</c:v>
                </c:pt>
                <c:pt idx="9">
                  <c:v>6263</c:v>
                </c:pt>
                <c:pt idx="10">
                  <c:v>5424</c:v>
                </c:pt>
                <c:pt idx="11">
                  <c:v>1589</c:v>
                </c:pt>
              </c:numCache>
            </c:numRef>
          </c:val>
        </c:ser>
        <c:ser>
          <c:idx val="0"/>
          <c:order val="1"/>
          <c:tx>
            <c:strRef>
              <c:f>SocioEcon!$C$15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SocioEcon!$A$92:$A$103</c:f>
              <c:strCache>
                <c:ptCount val="12"/>
                <c:pt idx="0">
                  <c:v>None</c:v>
                </c:pt>
                <c:pt idx="1">
                  <c:v>R1 - 400</c:v>
                </c:pt>
                <c:pt idx="2">
                  <c:v>R401 - 800</c:v>
                </c:pt>
                <c:pt idx="3">
                  <c:v>R801 - 1600</c:v>
                </c:pt>
                <c:pt idx="4">
                  <c:v>R1601 - 3200</c:v>
                </c:pt>
                <c:pt idx="5">
                  <c:v>R3201 - 6400</c:v>
                </c:pt>
                <c:pt idx="6">
                  <c:v>R6401 - 12800</c:v>
                </c:pt>
                <c:pt idx="7">
                  <c:v>R12801 - 25600</c:v>
                </c:pt>
                <c:pt idx="8">
                  <c:v>R25601 - 51200</c:v>
                </c:pt>
                <c:pt idx="9">
                  <c:v>R51201 - 102400</c:v>
                </c:pt>
                <c:pt idx="10">
                  <c:v>R102401 - 204800</c:v>
                </c:pt>
                <c:pt idx="11">
                  <c:v>Over R204801</c:v>
                </c:pt>
              </c:strCache>
            </c:strRef>
          </c:cat>
          <c:val>
            <c:numRef>
              <c:f>SocioEcon!$C$92:$C$103</c:f>
              <c:numCache>
                <c:formatCode>#,##0</c:formatCode>
                <c:ptCount val="12"/>
                <c:pt idx="0">
                  <c:v>5076097</c:v>
                </c:pt>
                <c:pt idx="1">
                  <c:v>1852232</c:v>
                </c:pt>
                <c:pt idx="2">
                  <c:v>506078</c:v>
                </c:pt>
                <c:pt idx="3">
                  <c:v>1199727</c:v>
                </c:pt>
                <c:pt idx="4">
                  <c:v>370084</c:v>
                </c:pt>
                <c:pt idx="5">
                  <c:v>307417</c:v>
                </c:pt>
                <c:pt idx="6">
                  <c:v>236783</c:v>
                </c:pt>
                <c:pt idx="7">
                  <c:v>82566</c:v>
                </c:pt>
                <c:pt idx="8">
                  <c:v>34672</c:v>
                </c:pt>
                <c:pt idx="9">
                  <c:v>9379</c:v>
                </c:pt>
                <c:pt idx="10">
                  <c:v>9841</c:v>
                </c:pt>
                <c:pt idx="11">
                  <c:v>4020</c:v>
                </c:pt>
              </c:numCache>
            </c:numRef>
          </c:val>
        </c:ser>
        <c:shape val="cylinder"/>
        <c:axId val="226796288"/>
        <c:axId val="226797824"/>
        <c:axId val="0"/>
      </c:bar3DChart>
      <c:catAx>
        <c:axId val="226796288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97824"/>
        <c:crosses val="autoZero"/>
        <c:auto val="1"/>
        <c:lblAlgn val="ctr"/>
        <c:lblOffset val="100"/>
        <c:tickLblSkip val="1"/>
        <c:tickMarkSkip val="1"/>
      </c:catAx>
      <c:valAx>
        <c:axId val="22679782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ZA"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962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0033497485055176"/>
          <c:y val="0.14683544303797719"/>
          <c:w val="0.33946523406982215"/>
          <c:h val="7.0886075949364816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ZA"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88" r="0.75000000000000788" t="1" header="0.5" footer="0.5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0.10558573928259063"/>
          <c:y val="0.15788203557888641"/>
          <c:w val="0.87683092738408652"/>
          <c:h val="0.77010024788568165"/>
        </c:manualLayout>
      </c:layout>
      <c:lineChart>
        <c:grouping val="standard"/>
        <c:ser>
          <c:idx val="0"/>
          <c:order val="0"/>
          <c:tx>
            <c:strRef>
              <c:f>Economics!$B$354</c:f>
              <c:strCache>
                <c:ptCount val="1"/>
                <c:pt idx="0">
                  <c:v>Location Quotients</c:v>
                </c:pt>
              </c:strCache>
            </c:strRef>
          </c:tx>
          <c:marker>
            <c:symbol val="none"/>
          </c:marker>
          <c:cat>
            <c:numRef>
              <c:f>Economics!$A$355:$A$370</c:f>
              <c:numCache>
                <c:formatCode>General</c:formatCode>
                <c:ptCount val="16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</c:numCache>
            </c:numRef>
          </c:cat>
          <c:val>
            <c:numRef>
              <c:f>Economics!$B$355:$B$370</c:f>
              <c:numCache>
                <c:formatCode>#,##0.00</c:formatCode>
                <c:ptCount val="16"/>
                <c:pt idx="0">
                  <c:v>0.90030965753576886</c:v>
                </c:pt>
                <c:pt idx="1">
                  <c:v>0.90226400129283058</c:v>
                </c:pt>
                <c:pt idx="2">
                  <c:v>0.89764852369358494</c:v>
                </c:pt>
                <c:pt idx="3">
                  <c:v>0.89548329523166581</c:v>
                </c:pt>
                <c:pt idx="4">
                  <c:v>0.89219058864371115</c:v>
                </c:pt>
                <c:pt idx="5">
                  <c:v>0.89457697581025697</c:v>
                </c:pt>
                <c:pt idx="6">
                  <c:v>0.8959986659239243</c:v>
                </c:pt>
                <c:pt idx="7">
                  <c:v>0.90275153890235083</c:v>
                </c:pt>
                <c:pt idx="8">
                  <c:v>0.90637831926549262</c:v>
                </c:pt>
                <c:pt idx="9">
                  <c:v>0.90930669603630754</c:v>
                </c:pt>
                <c:pt idx="10">
                  <c:v>0.91181581718723415</c:v>
                </c:pt>
                <c:pt idx="11">
                  <c:v>0.91114442503691917</c:v>
                </c:pt>
                <c:pt idx="12">
                  <c:v>0.90784715651813719</c:v>
                </c:pt>
                <c:pt idx="13">
                  <c:v>0.91686366819321619</c:v>
                </c:pt>
                <c:pt idx="14">
                  <c:v>0.91752964277922056</c:v>
                </c:pt>
                <c:pt idx="15">
                  <c:v>0.91697031738451096</c:v>
                </c:pt>
              </c:numCache>
            </c:numRef>
          </c:val>
        </c:ser>
        <c:ser>
          <c:idx val="1"/>
          <c:order val="1"/>
          <c:tx>
            <c:strRef>
              <c:f>Economics!$C$354</c:f>
              <c:strCache>
                <c:ptCount val="1"/>
                <c:pt idx="0">
                  <c:v>Diversity</c:v>
                </c:pt>
              </c:strCache>
            </c:strRef>
          </c:tx>
          <c:marker>
            <c:symbol val="none"/>
          </c:marker>
          <c:cat>
            <c:numRef>
              <c:f>Economics!$A$355:$A$370</c:f>
              <c:numCache>
                <c:formatCode>General</c:formatCode>
                <c:ptCount val="16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</c:numCache>
            </c:numRef>
          </c:cat>
          <c:val>
            <c:numRef>
              <c:f>Economics!$C$355:$C$370</c:f>
              <c:numCache>
                <c:formatCode>#,##0.00</c:formatCode>
                <c:ptCount val="16"/>
                <c:pt idx="0">
                  <c:v>0.11611581850512875</c:v>
                </c:pt>
                <c:pt idx="1">
                  <c:v>0.11614638231334368</c:v>
                </c:pt>
                <c:pt idx="2">
                  <c:v>0.1165668047576628</c:v>
                </c:pt>
                <c:pt idx="3">
                  <c:v>0.11695931512436458</c:v>
                </c:pt>
                <c:pt idx="4">
                  <c:v>0.11759453463995634</c:v>
                </c:pt>
                <c:pt idx="5">
                  <c:v>0.11760653400257556</c:v>
                </c:pt>
                <c:pt idx="6">
                  <c:v>0.11797089500061768</c:v>
                </c:pt>
                <c:pt idx="7">
                  <c:v>0.11771223136718187</c:v>
                </c:pt>
                <c:pt idx="8">
                  <c:v>0.11843315552029174</c:v>
                </c:pt>
                <c:pt idx="9">
                  <c:v>0.11825904669778645</c:v>
                </c:pt>
                <c:pt idx="10">
                  <c:v>0.11830906929630497</c:v>
                </c:pt>
                <c:pt idx="11">
                  <c:v>0.11721071195455673</c:v>
                </c:pt>
                <c:pt idx="12">
                  <c:v>0.11668086753437645</c:v>
                </c:pt>
                <c:pt idx="13">
                  <c:v>0.1169605132937009</c:v>
                </c:pt>
                <c:pt idx="14">
                  <c:v>0.11758207910365821</c:v>
                </c:pt>
                <c:pt idx="15">
                  <c:v>0.11891238098347549</c:v>
                </c:pt>
              </c:numCache>
            </c:numRef>
          </c:val>
        </c:ser>
        <c:ser>
          <c:idx val="2"/>
          <c:order val="2"/>
          <c:tx>
            <c:strRef>
              <c:f>Economics!$D$354</c:f>
              <c:strCache>
                <c:ptCount val="1"/>
                <c:pt idx="0">
                  <c:v>Competition</c:v>
                </c:pt>
              </c:strCache>
            </c:strRef>
          </c:tx>
          <c:marker>
            <c:symbol val="none"/>
          </c:marker>
          <c:cat>
            <c:numRef>
              <c:f>Economics!$A$355:$A$370</c:f>
              <c:numCache>
                <c:formatCode>General</c:formatCode>
                <c:ptCount val="16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</c:numCache>
            </c:numRef>
          </c:cat>
          <c:val>
            <c:numRef>
              <c:f>Economics!$D$355:$D$370</c:f>
              <c:numCache>
                <c:formatCode>#,##0.00</c:formatCode>
                <c:ptCount val="16"/>
                <c:pt idx="0">
                  <c:v>1.527898087554745</c:v>
                </c:pt>
                <c:pt idx="1">
                  <c:v>1.5885234004158775</c:v>
                </c:pt>
                <c:pt idx="2">
                  <c:v>1.5872795643725781</c:v>
                </c:pt>
                <c:pt idx="3">
                  <c:v>1.5828651462781398</c:v>
                </c:pt>
                <c:pt idx="4">
                  <c:v>1.6223579656135092</c:v>
                </c:pt>
                <c:pt idx="5">
                  <c:v>1.689089492115712</c:v>
                </c:pt>
                <c:pt idx="6">
                  <c:v>1.5684464336324595</c:v>
                </c:pt>
                <c:pt idx="7">
                  <c:v>1.5593606726789639</c:v>
                </c:pt>
                <c:pt idx="8">
                  <c:v>1.5402746461680534</c:v>
                </c:pt>
                <c:pt idx="9">
                  <c:v>1.5284570939276145</c:v>
                </c:pt>
                <c:pt idx="10">
                  <c:v>1.487824116448935</c:v>
                </c:pt>
                <c:pt idx="11">
                  <c:v>1.5022905852927426</c:v>
                </c:pt>
                <c:pt idx="12">
                  <c:v>1.4676847907923911</c:v>
                </c:pt>
                <c:pt idx="13">
                  <c:v>1.3813040249227175</c:v>
                </c:pt>
                <c:pt idx="14">
                  <c:v>1.3688199387969686</c:v>
                </c:pt>
                <c:pt idx="15">
                  <c:v>1.3511078291204588</c:v>
                </c:pt>
              </c:numCache>
            </c:numRef>
          </c:val>
        </c:ser>
        <c:marker val="1"/>
        <c:axId val="214120320"/>
        <c:axId val="214121856"/>
      </c:lineChart>
      <c:lineChart>
        <c:grouping val="standard"/>
        <c:ser>
          <c:idx val="3"/>
          <c:order val="3"/>
          <c:tx>
            <c:strRef>
              <c:f>Economics!$E$354</c:f>
              <c:strCache>
                <c:ptCount val="1"/>
                <c:pt idx="0">
                  <c:v>Actual vs Necessary Employment</c:v>
                </c:pt>
              </c:strCache>
            </c:strRef>
          </c:tx>
          <c:marker>
            <c:symbol val="none"/>
          </c:marker>
          <c:cat>
            <c:numRef>
              <c:f>Economics!$A$355:$A$370</c:f>
              <c:numCache>
                <c:formatCode>General</c:formatCode>
                <c:ptCount val="16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</c:numCache>
            </c:numRef>
          </c:cat>
          <c:val>
            <c:numRef>
              <c:f>Economics!$E$355:$E$370</c:f>
              <c:numCache>
                <c:formatCode>#,##0.00</c:formatCode>
                <c:ptCount val="16"/>
                <c:pt idx="0">
                  <c:v>-1.4288131153043397</c:v>
                </c:pt>
                <c:pt idx="1">
                  <c:v>-1.4538547106442659</c:v>
                </c:pt>
                <c:pt idx="2">
                  <c:v>-1.3148677141207283</c:v>
                </c:pt>
                <c:pt idx="3">
                  <c:v>-1.3487772557464159</c:v>
                </c:pt>
                <c:pt idx="4">
                  <c:v>-1.2996236062843851</c:v>
                </c:pt>
                <c:pt idx="5">
                  <c:v>-1.2271699109226619</c:v>
                </c:pt>
                <c:pt idx="6">
                  <c:v>-1.2418402105369464</c:v>
                </c:pt>
                <c:pt idx="7">
                  <c:v>-1.3757612735425657</c:v>
                </c:pt>
                <c:pt idx="8">
                  <c:v>-1.4186407813779709</c:v>
                </c:pt>
                <c:pt idx="9">
                  <c:v>-1.5744363097597105</c:v>
                </c:pt>
                <c:pt idx="10">
                  <c:v>-1.6983248803922408</c:v>
                </c:pt>
                <c:pt idx="11">
                  <c:v>-2.0125831549282611</c:v>
                </c:pt>
                <c:pt idx="12">
                  <c:v>-2.1605465608197316</c:v>
                </c:pt>
                <c:pt idx="13">
                  <c:v>-2.1110669368310169</c:v>
                </c:pt>
                <c:pt idx="14">
                  <c:v>-2.2903547611433979</c:v>
                </c:pt>
                <c:pt idx="15">
                  <c:v>-2.3266710077604422</c:v>
                </c:pt>
              </c:numCache>
            </c:numRef>
          </c:val>
        </c:ser>
        <c:marker val="1"/>
        <c:axId val="214129280"/>
        <c:axId val="214127744"/>
      </c:lineChart>
      <c:catAx>
        <c:axId val="21412032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14121856"/>
        <c:crosses val="autoZero"/>
        <c:auto val="1"/>
        <c:lblAlgn val="ctr"/>
        <c:lblOffset val="100"/>
      </c:catAx>
      <c:valAx>
        <c:axId val="214121856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14120320"/>
        <c:crosses val="autoZero"/>
        <c:crossBetween val="between"/>
      </c:valAx>
      <c:valAx>
        <c:axId val="214127744"/>
        <c:scaling>
          <c:orientation val="minMax"/>
        </c:scaling>
        <c:axPos val="r"/>
        <c:numFmt formatCode="#,##0.00" sourceLinked="1"/>
        <c:tickLblPos val="nextTo"/>
        <c:crossAx val="214129280"/>
        <c:crosses val="max"/>
        <c:crossBetween val="between"/>
      </c:valAx>
      <c:catAx>
        <c:axId val="214129280"/>
        <c:scaling>
          <c:orientation val="minMax"/>
        </c:scaling>
        <c:delete val="1"/>
        <c:axPos val="b"/>
        <c:numFmt formatCode="General" sourceLinked="1"/>
        <c:tickLblPos val="none"/>
        <c:crossAx val="214127744"/>
        <c:crosses val="autoZero"/>
        <c:auto val="1"/>
        <c:lblAlgn val="ctr"/>
        <c:lblOffset val="100"/>
      </c:cat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3527777777777776E-2"/>
          <c:y val="1.794254884806086E-2"/>
          <c:w val="0.9259166666666665"/>
          <c:h val="0.14467009332166814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0.16346062992125968"/>
          <c:y val="5.1400554097404488E-2"/>
          <c:w val="0.82365048118985162"/>
          <c:h val="0.91571741032371545"/>
        </c:manualLayout>
      </c:layout>
      <c:lineChart>
        <c:grouping val="standard"/>
        <c:ser>
          <c:idx val="0"/>
          <c:order val="0"/>
          <c:tx>
            <c:strRef>
              <c:f>Economics!$B$372</c:f>
              <c:strCache>
                <c:ptCount val="1"/>
                <c:pt idx="0">
                  <c:v>National Share</c:v>
                </c:pt>
              </c:strCache>
            </c:strRef>
          </c:tx>
          <c:marker>
            <c:symbol val="none"/>
          </c:marker>
          <c:cat>
            <c:numRef>
              <c:f>Economics!$A$373:$A$387</c:f>
              <c:numCache>
                <c:formatCode>General</c:formatCode>
                <c:ptCount val="15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</c:numCache>
            </c:numRef>
          </c:cat>
          <c:val>
            <c:numRef>
              <c:f>Economics!$B$373:$B$387</c:f>
              <c:numCache>
                <c:formatCode>#,##0.00</c:formatCode>
                <c:ptCount val="15"/>
                <c:pt idx="0">
                  <c:v>15283.269352746131</c:v>
                </c:pt>
                <c:pt idx="1">
                  <c:v>-1626.0882881975656</c:v>
                </c:pt>
                <c:pt idx="2">
                  <c:v>20823.782498081298</c:v>
                </c:pt>
                <c:pt idx="3">
                  <c:v>7201.6727320219461</c:v>
                </c:pt>
                <c:pt idx="4">
                  <c:v>9205.2186768226293</c:v>
                </c:pt>
                <c:pt idx="5">
                  <c:v>24833.148552740946</c:v>
                </c:pt>
                <c:pt idx="6">
                  <c:v>24946.443257789291</c:v>
                </c:pt>
                <c:pt idx="7">
                  <c:v>31216.698117613756</c:v>
                </c:pt>
                <c:pt idx="8">
                  <c:v>37276.380278459379</c:v>
                </c:pt>
                <c:pt idx="9">
                  <c:v>43765.036375824769</c:v>
                </c:pt>
                <c:pt idx="10">
                  <c:v>53753.63213980326</c:v>
                </c:pt>
                <c:pt idx="11">
                  <c:v>50729.609989636374</c:v>
                </c:pt>
                <c:pt idx="12">
                  <c:v>-20421.637404656005</c:v>
                </c:pt>
                <c:pt idx="13">
                  <c:v>-19467.744955847047</c:v>
                </c:pt>
                <c:pt idx="14">
                  <c:v>38163.977188806712</c:v>
                </c:pt>
              </c:numCache>
            </c:numRef>
          </c:val>
        </c:ser>
        <c:ser>
          <c:idx val="1"/>
          <c:order val="1"/>
          <c:tx>
            <c:strRef>
              <c:f>Economics!$C$372</c:f>
              <c:strCache>
                <c:ptCount val="1"/>
                <c:pt idx="0">
                  <c:v>Industry Mix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cat>
            <c:numRef>
              <c:f>Economics!$A$373:$A$387</c:f>
              <c:numCache>
                <c:formatCode>General</c:formatCode>
                <c:ptCount val="15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</c:numCache>
            </c:numRef>
          </c:cat>
          <c:val>
            <c:numRef>
              <c:f>Economics!$C$373:$C$387</c:f>
              <c:numCache>
                <c:formatCode>#,##0.00</c:formatCode>
                <c:ptCount val="15"/>
                <c:pt idx="0">
                  <c:v>-2951.280236589093</c:v>
                </c:pt>
                <c:pt idx="1">
                  <c:v>5602.0615861139595</c:v>
                </c:pt>
                <c:pt idx="2">
                  <c:v>-2531.0952709255425</c:v>
                </c:pt>
                <c:pt idx="3">
                  <c:v>765.2540908252422</c:v>
                </c:pt>
                <c:pt idx="4">
                  <c:v>-2322.9825316887927</c:v>
                </c:pt>
                <c:pt idx="5">
                  <c:v>-524.28080842065219</c:v>
                </c:pt>
                <c:pt idx="6">
                  <c:v>-7895.918214881307</c:v>
                </c:pt>
                <c:pt idx="7">
                  <c:v>-4222.1672930453487</c:v>
                </c:pt>
                <c:pt idx="8">
                  <c:v>-5734.7187671235888</c:v>
                </c:pt>
                <c:pt idx="9">
                  <c:v>-3731.6997332196142</c:v>
                </c:pt>
                <c:pt idx="10">
                  <c:v>-3242.6744814903741</c:v>
                </c:pt>
                <c:pt idx="11">
                  <c:v>3399.1575655167539</c:v>
                </c:pt>
                <c:pt idx="12">
                  <c:v>3523.0185788000472</c:v>
                </c:pt>
                <c:pt idx="13">
                  <c:v>-4825.4616852378531</c:v>
                </c:pt>
                <c:pt idx="14">
                  <c:v>1130.5958718496277</c:v>
                </c:pt>
              </c:numCache>
            </c:numRef>
          </c:val>
        </c:ser>
        <c:ser>
          <c:idx val="2"/>
          <c:order val="2"/>
          <c:tx>
            <c:strRef>
              <c:f>Economics!$D$372</c:f>
              <c:strCache>
                <c:ptCount val="1"/>
                <c:pt idx="0">
                  <c:v>Regional Shift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numRef>
              <c:f>Economics!$A$373:$A$387</c:f>
              <c:numCache>
                <c:formatCode>General</c:formatCode>
                <c:ptCount val="15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</c:numCache>
            </c:numRef>
          </c:cat>
          <c:val>
            <c:numRef>
              <c:f>Economics!$D$373:$D$387</c:f>
              <c:numCache>
                <c:formatCode>#,##0</c:formatCode>
                <c:ptCount val="15"/>
                <c:pt idx="0">
                  <c:v>-472.64400848369974</c:v>
                </c:pt>
                <c:pt idx="1">
                  <c:v>-5040.867012895601</c:v>
                </c:pt>
                <c:pt idx="2">
                  <c:v>-11370.049886568955</c:v>
                </c:pt>
                <c:pt idx="3">
                  <c:v>-5511.323786741099</c:v>
                </c:pt>
                <c:pt idx="4">
                  <c:v>-5389.0226681475197</c:v>
                </c:pt>
                <c:pt idx="5">
                  <c:v>-6216.3892049917431</c:v>
                </c:pt>
                <c:pt idx="6">
                  <c:v>-6116.6164341982148</c:v>
                </c:pt>
                <c:pt idx="7">
                  <c:v>-4603.5075546448606</c:v>
                </c:pt>
                <c:pt idx="8">
                  <c:v>-9540.0922762932023</c:v>
                </c:pt>
                <c:pt idx="9">
                  <c:v>1762.3082045497176</c:v>
                </c:pt>
                <c:pt idx="10">
                  <c:v>2141.876400440668</c:v>
                </c:pt>
                <c:pt idx="11">
                  <c:v>17808.518898182578</c:v>
                </c:pt>
                <c:pt idx="12">
                  <c:v>56723.258990396542</c:v>
                </c:pt>
                <c:pt idx="13">
                  <c:v>9482.2066410849129</c:v>
                </c:pt>
                <c:pt idx="14">
                  <c:v>9689.4269393436516</c:v>
                </c:pt>
              </c:numCache>
            </c:numRef>
          </c:val>
        </c:ser>
        <c:ser>
          <c:idx val="3"/>
          <c:order val="3"/>
          <c:tx>
            <c:strRef>
              <c:f>Economics!$E$372</c:f>
              <c:strCache>
                <c:ptCount val="1"/>
                <c:pt idx="0">
                  <c:v>Total Employment Change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Economics!$A$373:$A$387</c:f>
              <c:numCache>
                <c:formatCode>General</c:formatCode>
                <c:ptCount val="15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</c:numCache>
            </c:numRef>
          </c:cat>
          <c:val>
            <c:numRef>
              <c:f>Economics!$E$373:$E$387</c:f>
              <c:numCache>
                <c:formatCode>#,##0</c:formatCode>
                <c:ptCount val="15"/>
                <c:pt idx="0">
                  <c:v>11859.345107673085</c:v>
                </c:pt>
                <c:pt idx="1">
                  <c:v>-1064.8937149789417</c:v>
                </c:pt>
                <c:pt idx="2">
                  <c:v>6922.6373405866325</c:v>
                </c:pt>
                <c:pt idx="3">
                  <c:v>2455.6030361063313</c:v>
                </c:pt>
                <c:pt idx="4">
                  <c:v>1493.2134769862751</c:v>
                </c:pt>
                <c:pt idx="5">
                  <c:v>18092.478539328557</c:v>
                </c:pt>
                <c:pt idx="6">
                  <c:v>10933.908608709578</c:v>
                </c:pt>
                <c:pt idx="7">
                  <c:v>22391.023269923753</c:v>
                </c:pt>
                <c:pt idx="8">
                  <c:v>22001.569235042436</c:v>
                </c:pt>
                <c:pt idx="9">
                  <c:v>41795.644847155083</c:v>
                </c:pt>
                <c:pt idx="10">
                  <c:v>52652.83405875368</c:v>
                </c:pt>
                <c:pt idx="11">
                  <c:v>71937.286453335546</c:v>
                </c:pt>
                <c:pt idx="12">
                  <c:v>39824.640164540615</c:v>
                </c:pt>
                <c:pt idx="13">
                  <c:v>-14811</c:v>
                </c:pt>
                <c:pt idx="14">
                  <c:v>48984</c:v>
                </c:pt>
              </c:numCache>
            </c:numRef>
          </c:val>
        </c:ser>
        <c:marker val="1"/>
        <c:axId val="226951552"/>
        <c:axId val="226953088"/>
      </c:lineChart>
      <c:catAx>
        <c:axId val="22695155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6953088"/>
        <c:crosses val="autoZero"/>
        <c:auto val="1"/>
        <c:lblAlgn val="ctr"/>
        <c:lblOffset val="100"/>
      </c:catAx>
      <c:valAx>
        <c:axId val="226953088"/>
        <c:scaling>
          <c:orientation val="minMax"/>
        </c:scaling>
        <c:axPos val="l"/>
        <c:numFmt formatCode="#,##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2695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0377777777777778"/>
          <c:y val="2.6242344706911939E-2"/>
          <c:w val="0.76288888888889672"/>
          <c:h val="0.20214494021580631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Introduction!A1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hyperlink" Target="#Introduction!A1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Introduction!A1"/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Introduction!A1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Introduction!A1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Relationship Id="rId9" Type="http://schemas.openxmlformats.org/officeDocument/2006/relationships/hyperlink" Target="#Introduction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Relationship Id="rId9" Type="http://schemas.openxmlformats.org/officeDocument/2006/relationships/hyperlink" Target="#Introduction!A1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6" Type="http://schemas.openxmlformats.org/officeDocument/2006/relationships/chart" Target="../charts/chart47.xml"/><Relationship Id="rId5" Type="http://schemas.openxmlformats.org/officeDocument/2006/relationships/chart" Target="../charts/chart46.xml"/><Relationship Id="rId4" Type="http://schemas.openxmlformats.org/officeDocument/2006/relationships/chart" Target="../charts/chart45.xml"/><Relationship Id="rId9" Type="http://schemas.openxmlformats.org/officeDocument/2006/relationships/hyperlink" Target="#Introduction!A1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7.xml"/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6" Type="http://schemas.openxmlformats.org/officeDocument/2006/relationships/chart" Target="../charts/chart55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Relationship Id="rId9" Type="http://schemas.openxmlformats.org/officeDocument/2006/relationships/hyperlink" Target="#Introduction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hyperlink" Target="#Introduction!A1"/><Relationship Id="rId1" Type="http://schemas.openxmlformats.org/officeDocument/2006/relationships/chart" Target="../charts/chart58.xml"/><Relationship Id="rId4" Type="http://schemas.openxmlformats.org/officeDocument/2006/relationships/chart" Target="../charts/chart60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hyperlink" Target="#Introduction!A1"/><Relationship Id="rId1" Type="http://schemas.openxmlformats.org/officeDocument/2006/relationships/chart" Target="../charts/chart61.xml"/><Relationship Id="rId4" Type="http://schemas.openxmlformats.org/officeDocument/2006/relationships/chart" Target="../charts/chart63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hyperlink" Target="#Introduction!A1"/><Relationship Id="rId1" Type="http://schemas.openxmlformats.org/officeDocument/2006/relationships/chart" Target="../charts/chart64.xml"/><Relationship Id="rId4" Type="http://schemas.openxmlformats.org/officeDocument/2006/relationships/chart" Target="../charts/chart66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hyperlink" Target="#Introduction!A1"/><Relationship Id="rId1" Type="http://schemas.openxmlformats.org/officeDocument/2006/relationships/chart" Target="../charts/chart67.xml"/><Relationship Id="rId4" Type="http://schemas.openxmlformats.org/officeDocument/2006/relationships/chart" Target="../charts/chart69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hyperlink" Target="#Introduction!A1"/><Relationship Id="rId1" Type="http://schemas.openxmlformats.org/officeDocument/2006/relationships/chart" Target="../charts/chart70.xml"/><Relationship Id="rId4" Type="http://schemas.openxmlformats.org/officeDocument/2006/relationships/chart" Target="../charts/chart72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4.xml"/><Relationship Id="rId2" Type="http://schemas.openxmlformats.org/officeDocument/2006/relationships/chart" Target="../charts/chart73.xml"/><Relationship Id="rId1" Type="http://schemas.openxmlformats.org/officeDocument/2006/relationships/hyperlink" Target="#Introduction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hyperlink" Target="#Introduction!A1"/><Relationship Id="rId1" Type="http://schemas.openxmlformats.org/officeDocument/2006/relationships/chart" Target="../charts/chart75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Relationship Id="rId5" Type="http://schemas.openxmlformats.org/officeDocument/2006/relationships/hyperlink" Target="#Introduction!A1"/><Relationship Id="rId4" Type="http://schemas.openxmlformats.org/officeDocument/2006/relationships/chart" Target="../charts/chart80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Relationship Id="rId9" Type="http://schemas.openxmlformats.org/officeDocument/2006/relationships/hyperlink" Target="#Introduction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Introduction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hyperlink" Target="#Introduction!A1"/><Relationship Id="rId2" Type="http://schemas.openxmlformats.org/officeDocument/2006/relationships/chart" Target="../charts/chart90.xml"/><Relationship Id="rId1" Type="http://schemas.openxmlformats.org/officeDocument/2006/relationships/chart" Target="../charts/chart8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10</xdr:row>
      <xdr:rowOff>114300</xdr:rowOff>
    </xdr:from>
    <xdr:to>
      <xdr:col>7</xdr:col>
      <xdr:colOff>257175</xdr:colOff>
      <xdr:row>17</xdr:row>
      <xdr:rowOff>66675</xdr:rowOff>
    </xdr:to>
    <xdr:sp macro="" textlink="">
      <xdr:nvSpPr>
        <xdr:cNvPr id="2" name="Left Arrow 1"/>
        <xdr:cNvSpPr/>
      </xdr:nvSpPr>
      <xdr:spPr>
        <a:xfrm>
          <a:off x="7858125" y="1800225"/>
          <a:ext cx="1943100" cy="1076325"/>
        </a:xfrm>
        <a:prstGeom prst="lef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ZA" sz="1200" b="1" cap="none" spc="0">
              <a:ln w="18000">
                <a:noFill/>
                <a:prstDash val="solid"/>
                <a:miter lim="800000"/>
              </a:ln>
              <a:solidFill>
                <a:schemeClr val="bg1">
                  <a:lumMod val="95000"/>
                </a:schemeClr>
              </a:solidFill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Arial" pitchFamily="34" charset="0"/>
              <a:cs typeface="Arial" pitchFamily="34" charset="0"/>
            </a:rPr>
            <a:t>Return</a:t>
          </a:r>
          <a:r>
            <a:rPr lang="en-ZA" sz="1200" b="1" cap="none" spc="0" baseline="0">
              <a:ln w="18000">
                <a:noFill/>
                <a:prstDash val="solid"/>
                <a:miter lim="800000"/>
              </a:ln>
              <a:solidFill>
                <a:schemeClr val="bg1">
                  <a:lumMod val="95000"/>
                </a:schemeClr>
              </a:solidFill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Arial" pitchFamily="34" charset="0"/>
              <a:cs typeface="Arial" pitchFamily="34" charset="0"/>
            </a:rPr>
            <a:t> to Introduction Page</a:t>
          </a:r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</xdr:row>
      <xdr:rowOff>95250</xdr:rowOff>
    </xdr:from>
    <xdr:to>
      <xdr:col>11</xdr:col>
      <xdr:colOff>95250</xdr:colOff>
      <xdr:row>31</xdr:row>
      <xdr:rowOff>152400</xdr:rowOff>
    </xdr:to>
    <xdr:graphicFrame macro="">
      <xdr:nvGraphicFramePr>
        <xdr:cNvPr id="250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36</xdr:row>
      <xdr:rowOff>9525</xdr:rowOff>
    </xdr:from>
    <xdr:to>
      <xdr:col>11</xdr:col>
      <xdr:colOff>142875</xdr:colOff>
      <xdr:row>67</xdr:row>
      <xdr:rowOff>114300</xdr:rowOff>
    </xdr:to>
    <xdr:graphicFrame macro="">
      <xdr:nvGraphicFramePr>
        <xdr:cNvPr id="250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68</xdr:row>
      <xdr:rowOff>142875</xdr:rowOff>
    </xdr:from>
    <xdr:to>
      <xdr:col>11</xdr:col>
      <xdr:colOff>171450</xdr:colOff>
      <xdr:row>100</xdr:row>
      <xdr:rowOff>47625</xdr:rowOff>
    </xdr:to>
    <xdr:graphicFrame macro="">
      <xdr:nvGraphicFramePr>
        <xdr:cNvPr id="250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</xdr:colOff>
      <xdr:row>103</xdr:row>
      <xdr:rowOff>152400</xdr:rowOff>
    </xdr:from>
    <xdr:to>
      <xdr:col>11</xdr:col>
      <xdr:colOff>123825</xdr:colOff>
      <xdr:row>132</xdr:row>
      <xdr:rowOff>9525</xdr:rowOff>
    </xdr:to>
    <xdr:graphicFrame macro="">
      <xdr:nvGraphicFramePr>
        <xdr:cNvPr id="250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132</xdr:row>
      <xdr:rowOff>142875</xdr:rowOff>
    </xdr:from>
    <xdr:to>
      <xdr:col>11</xdr:col>
      <xdr:colOff>142875</xdr:colOff>
      <xdr:row>160</xdr:row>
      <xdr:rowOff>28575</xdr:rowOff>
    </xdr:to>
    <xdr:graphicFrame macro="">
      <xdr:nvGraphicFramePr>
        <xdr:cNvPr id="2504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163</xdr:row>
      <xdr:rowOff>104775</xdr:rowOff>
    </xdr:from>
    <xdr:to>
      <xdr:col>11</xdr:col>
      <xdr:colOff>66675</xdr:colOff>
      <xdr:row>192</xdr:row>
      <xdr:rowOff>161925</xdr:rowOff>
    </xdr:to>
    <xdr:graphicFrame macro="">
      <xdr:nvGraphicFramePr>
        <xdr:cNvPr id="2505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</xdr:colOff>
      <xdr:row>197</xdr:row>
      <xdr:rowOff>0</xdr:rowOff>
    </xdr:from>
    <xdr:to>
      <xdr:col>11</xdr:col>
      <xdr:colOff>66675</xdr:colOff>
      <xdr:row>227</xdr:row>
      <xdr:rowOff>19050</xdr:rowOff>
    </xdr:to>
    <xdr:graphicFrame macro="">
      <xdr:nvGraphicFramePr>
        <xdr:cNvPr id="2506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390525</xdr:colOff>
      <xdr:row>0</xdr:row>
      <xdr:rowOff>38100</xdr:rowOff>
    </xdr:from>
    <xdr:to>
      <xdr:col>9</xdr:col>
      <xdr:colOff>400049</xdr:colOff>
      <xdr:row>1</xdr:row>
      <xdr:rowOff>0</xdr:rowOff>
    </xdr:to>
    <xdr:sp macro="" textlink="">
      <xdr:nvSpPr>
        <xdr:cNvPr id="9" name="Left Arrow 8">
          <a:hlinkClick xmlns:r="http://schemas.openxmlformats.org/officeDocument/2006/relationships" r:id="rId8"/>
        </xdr:cNvPr>
        <xdr:cNvSpPr/>
      </xdr:nvSpPr>
      <xdr:spPr>
        <a:xfrm>
          <a:off x="8153400" y="38100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57150</xdr:colOff>
      <xdr:row>230</xdr:row>
      <xdr:rowOff>142875</xdr:rowOff>
    </xdr:from>
    <xdr:to>
      <xdr:col>11</xdr:col>
      <xdr:colOff>85725</xdr:colOff>
      <xdr:row>263</xdr:row>
      <xdr:rowOff>0</xdr:rowOff>
    </xdr:to>
    <xdr:graphicFrame macro="">
      <xdr:nvGraphicFramePr>
        <xdr:cNvPr id="2508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76200</xdr:colOff>
      <xdr:row>266</xdr:row>
      <xdr:rowOff>161925</xdr:rowOff>
    </xdr:from>
    <xdr:to>
      <xdr:col>11</xdr:col>
      <xdr:colOff>114300</xdr:colOff>
      <xdr:row>299</xdr:row>
      <xdr:rowOff>9525</xdr:rowOff>
    </xdr:to>
    <xdr:graphicFrame macro="">
      <xdr:nvGraphicFramePr>
        <xdr:cNvPr id="2509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38100</xdr:colOff>
      <xdr:row>302</xdr:row>
      <xdr:rowOff>161925</xdr:rowOff>
    </xdr:from>
    <xdr:to>
      <xdr:col>11</xdr:col>
      <xdr:colOff>85725</xdr:colOff>
      <xdr:row>333</xdr:row>
      <xdr:rowOff>123825</xdr:rowOff>
    </xdr:to>
    <xdr:graphicFrame macro="">
      <xdr:nvGraphicFramePr>
        <xdr:cNvPr id="2510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0.0572</cdr:x>
      <cdr:y>0.04979</cdr:y>
    </cdr:from>
    <cdr:to>
      <cdr:x>0.33037</cdr:x>
      <cdr:y>0.11618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52450" y="228600"/>
          <a:ext cx="2638425" cy="3048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YEAR ON YEAR GROWTH RATE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0.0643</cdr:x>
      <cdr:y>0.03346</cdr:y>
    </cdr:from>
    <cdr:to>
      <cdr:x>0.33013</cdr:x>
      <cdr:y>0.09294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38175" y="171450"/>
          <a:ext cx="2638425" cy="3048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QUARTER ON QUARTER GROWTH RATE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0.06369</cdr:x>
      <cdr:y>0.06367</cdr:y>
    </cdr:from>
    <cdr:to>
      <cdr:x>0.327</cdr:x>
      <cdr:y>0.1236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38175" y="323850"/>
          <a:ext cx="2638425" cy="3048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YEAR </a:t>
          </a:r>
          <a:r>
            <a:rPr lang="en-ZA" sz="1100" b="1" u="sng" baseline="0">
              <a:solidFill>
                <a:sysClr val="windowText" lastClr="000000">
                  <a:lumMod val="95000"/>
                  <a:lumOff val="5000"/>
                </a:sysClr>
              </a:solidFill>
            </a:rPr>
            <a:t> ON YEA</a:t>
          </a:r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R GROWTH RATE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0.06999</cdr:x>
      <cdr:y>0.03766</cdr:y>
    </cdr:from>
    <cdr:to>
      <cdr:x>0.42312</cdr:x>
      <cdr:y>0.10669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28650" y="171450"/>
          <a:ext cx="31718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ZA" sz="1100"/>
            <a:t>	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0.00247</cdr:x>
      <cdr:y>0.00536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0.05786</cdr:x>
      <cdr:y>0.03138</cdr:y>
    </cdr:from>
    <cdr:to>
      <cdr:x>0.32369</cdr:x>
      <cdr:y>0.09833</cdr:y>
    </cdr:to>
    <cdr:sp macro="" textlink="">
      <cdr:nvSpPr>
        <cdr:cNvPr id="4" name="TextBox 4"/>
        <cdr:cNvSpPr txBox="1"/>
      </cdr:nvSpPr>
      <cdr:spPr>
        <a:xfrm xmlns:a="http://schemas.openxmlformats.org/drawingml/2006/main">
          <a:off x="571500" y="142875"/>
          <a:ext cx="2625716" cy="304802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QUARTER ON QUARTER GROWTH RATE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0.07097</cdr:x>
      <cdr:y>0.0431</cdr:y>
    </cdr:from>
    <cdr:to>
      <cdr:x>0.36441</cdr:x>
      <cdr:y>0.11207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38175" y="190500"/>
          <a:ext cx="2638425" cy="3048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YEAR </a:t>
          </a:r>
          <a:r>
            <a:rPr lang="en-ZA" sz="1100" b="1" u="sng" baseline="0">
              <a:solidFill>
                <a:sysClr val="windowText" lastClr="000000">
                  <a:lumMod val="95000"/>
                  <a:lumOff val="5000"/>
                </a:sysClr>
              </a:solidFill>
            </a:rPr>
            <a:t> ON YEA</a:t>
          </a:r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R GROWTH RATE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466724</xdr:colOff>
      <xdr:row>0</xdr:row>
      <xdr:rowOff>38101</xdr:rowOff>
    </xdr:from>
    <xdr:to>
      <xdr:col>7</xdr:col>
      <xdr:colOff>419099</xdr:colOff>
      <xdr:row>0</xdr:row>
      <xdr:rowOff>514351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7343774" y="38101"/>
          <a:ext cx="638175" cy="47625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190500</xdr:colOff>
      <xdr:row>6</xdr:row>
      <xdr:rowOff>47625</xdr:rowOff>
    </xdr:from>
    <xdr:to>
      <xdr:col>10</xdr:col>
      <xdr:colOff>638175</xdr:colOff>
      <xdr:row>31</xdr:row>
      <xdr:rowOff>104775</xdr:rowOff>
    </xdr:to>
    <xdr:graphicFrame macro="">
      <xdr:nvGraphicFramePr>
        <xdr:cNvPr id="1376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32</xdr:row>
      <xdr:rowOff>152400</xdr:rowOff>
    </xdr:from>
    <xdr:to>
      <xdr:col>10</xdr:col>
      <xdr:colOff>638175</xdr:colOff>
      <xdr:row>58</xdr:row>
      <xdr:rowOff>47625</xdr:rowOff>
    </xdr:to>
    <xdr:graphicFrame macro="">
      <xdr:nvGraphicFramePr>
        <xdr:cNvPr id="1376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59</xdr:row>
      <xdr:rowOff>76200</xdr:rowOff>
    </xdr:from>
    <xdr:to>
      <xdr:col>10</xdr:col>
      <xdr:colOff>628650</xdr:colOff>
      <xdr:row>84</xdr:row>
      <xdr:rowOff>133350</xdr:rowOff>
    </xdr:to>
    <xdr:graphicFrame macro="">
      <xdr:nvGraphicFramePr>
        <xdr:cNvPr id="1376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180975</xdr:colOff>
      <xdr:row>85</xdr:row>
      <xdr:rowOff>142875</xdr:rowOff>
    </xdr:from>
    <xdr:to>
      <xdr:col>10</xdr:col>
      <xdr:colOff>628650</xdr:colOff>
      <xdr:row>111</xdr:row>
      <xdr:rowOff>38100</xdr:rowOff>
    </xdr:to>
    <xdr:graphicFrame macro="">
      <xdr:nvGraphicFramePr>
        <xdr:cNvPr id="1376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161925</xdr:colOff>
      <xdr:row>112</xdr:row>
      <xdr:rowOff>104775</xdr:rowOff>
    </xdr:from>
    <xdr:to>
      <xdr:col>10</xdr:col>
      <xdr:colOff>609600</xdr:colOff>
      <xdr:row>138</xdr:row>
      <xdr:rowOff>0</xdr:rowOff>
    </xdr:to>
    <xdr:graphicFrame macro="">
      <xdr:nvGraphicFramePr>
        <xdr:cNvPr id="1376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139</xdr:row>
      <xdr:rowOff>76200</xdr:rowOff>
    </xdr:from>
    <xdr:to>
      <xdr:col>10</xdr:col>
      <xdr:colOff>600075</xdr:colOff>
      <xdr:row>164</xdr:row>
      <xdr:rowOff>133350</xdr:rowOff>
    </xdr:to>
    <xdr:graphicFrame macro="">
      <xdr:nvGraphicFramePr>
        <xdr:cNvPr id="1377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166</xdr:row>
      <xdr:rowOff>0</xdr:rowOff>
    </xdr:from>
    <xdr:to>
      <xdr:col>10</xdr:col>
      <xdr:colOff>600075</xdr:colOff>
      <xdr:row>191</xdr:row>
      <xdr:rowOff>57150</xdr:rowOff>
    </xdr:to>
    <xdr:graphicFrame macro="">
      <xdr:nvGraphicFramePr>
        <xdr:cNvPr id="1377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161925</xdr:colOff>
      <xdr:row>192</xdr:row>
      <xdr:rowOff>85725</xdr:rowOff>
    </xdr:from>
    <xdr:to>
      <xdr:col>10</xdr:col>
      <xdr:colOff>609600</xdr:colOff>
      <xdr:row>217</xdr:row>
      <xdr:rowOff>142875</xdr:rowOff>
    </xdr:to>
    <xdr:graphicFrame macro="">
      <xdr:nvGraphicFramePr>
        <xdr:cNvPr id="1377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219</xdr:row>
      <xdr:rowOff>0</xdr:rowOff>
    </xdr:from>
    <xdr:to>
      <xdr:col>10</xdr:col>
      <xdr:colOff>571500</xdr:colOff>
      <xdr:row>244</xdr:row>
      <xdr:rowOff>57150</xdr:rowOff>
    </xdr:to>
    <xdr:graphicFrame macro="">
      <xdr:nvGraphicFramePr>
        <xdr:cNvPr id="1377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123825</xdr:colOff>
      <xdr:row>245</xdr:row>
      <xdr:rowOff>95250</xdr:rowOff>
    </xdr:from>
    <xdr:to>
      <xdr:col>10</xdr:col>
      <xdr:colOff>571500</xdr:colOff>
      <xdr:row>270</xdr:row>
      <xdr:rowOff>152400</xdr:rowOff>
    </xdr:to>
    <xdr:graphicFrame macro="">
      <xdr:nvGraphicFramePr>
        <xdr:cNvPr id="13774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103</xdr:row>
      <xdr:rowOff>123825</xdr:rowOff>
    </xdr:from>
    <xdr:to>
      <xdr:col>9</xdr:col>
      <xdr:colOff>676275</xdr:colOff>
      <xdr:row>162</xdr:row>
      <xdr:rowOff>180975</xdr:rowOff>
    </xdr:to>
    <xdr:graphicFrame macro="">
      <xdr:nvGraphicFramePr>
        <xdr:cNvPr id="246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485775</xdr:colOff>
      <xdr:row>0</xdr:row>
      <xdr:rowOff>114300</xdr:rowOff>
    </xdr:from>
    <xdr:to>
      <xdr:col>3</xdr:col>
      <xdr:colOff>361949</xdr:colOff>
      <xdr:row>1</xdr:row>
      <xdr:rowOff>0</xdr:rowOff>
    </xdr:to>
    <xdr:sp macro="" textlink="">
      <xdr:nvSpPr>
        <xdr:cNvPr id="3" name="Left Arrow 2">
          <a:hlinkClick xmlns:r="http://schemas.openxmlformats.org/officeDocument/2006/relationships" r:id="rId2"/>
        </xdr:cNvPr>
        <xdr:cNvSpPr/>
      </xdr:nvSpPr>
      <xdr:spPr>
        <a:xfrm>
          <a:off x="3971925" y="114300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0.0572</cdr:x>
      <cdr:y>0.04979</cdr:y>
    </cdr:from>
    <cdr:to>
      <cdr:x>0.33037</cdr:x>
      <cdr:y>0.11618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52450" y="228600"/>
          <a:ext cx="2638425" cy="3048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YEAR ON YEAR GROWTH RATE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122</xdr:row>
      <xdr:rowOff>28575</xdr:rowOff>
    </xdr:from>
    <xdr:to>
      <xdr:col>10</xdr:col>
      <xdr:colOff>561975</xdr:colOff>
      <xdr:row>153</xdr:row>
      <xdr:rowOff>133350</xdr:rowOff>
    </xdr:to>
    <xdr:graphicFrame macro="">
      <xdr:nvGraphicFramePr>
        <xdr:cNvPr id="2678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155</xdr:row>
      <xdr:rowOff>28575</xdr:rowOff>
    </xdr:from>
    <xdr:to>
      <xdr:col>10</xdr:col>
      <xdr:colOff>571500</xdr:colOff>
      <xdr:row>186</xdr:row>
      <xdr:rowOff>95250</xdr:rowOff>
    </xdr:to>
    <xdr:graphicFrame macro="">
      <xdr:nvGraphicFramePr>
        <xdr:cNvPr id="2678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561975</xdr:colOff>
      <xdr:row>0</xdr:row>
      <xdr:rowOff>66675</xdr:rowOff>
    </xdr:from>
    <xdr:to>
      <xdr:col>2</xdr:col>
      <xdr:colOff>561974</xdr:colOff>
      <xdr:row>0</xdr:row>
      <xdr:rowOff>523875</xdr:rowOff>
    </xdr:to>
    <xdr:sp macro="" textlink="">
      <xdr:nvSpPr>
        <xdr:cNvPr id="4" name="Left Arrow 3">
          <a:hlinkClick xmlns:r="http://schemas.openxmlformats.org/officeDocument/2006/relationships" r:id="rId3"/>
        </xdr:cNvPr>
        <xdr:cNvSpPr/>
      </xdr:nvSpPr>
      <xdr:spPr>
        <a:xfrm>
          <a:off x="3848100" y="6667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0.0643</cdr:x>
      <cdr:y>0.03346</cdr:y>
    </cdr:from>
    <cdr:to>
      <cdr:x>0.33013</cdr:x>
      <cdr:y>0.09294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38175" y="171450"/>
          <a:ext cx="2638425" cy="3048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QUARTER ON QUARTER GROWTH RATE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0.06369</cdr:x>
      <cdr:y>0.06367</cdr:y>
    </cdr:from>
    <cdr:to>
      <cdr:x>0.327</cdr:x>
      <cdr:y>0.1236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38175" y="323850"/>
          <a:ext cx="2638425" cy="3048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YEAR </a:t>
          </a:r>
          <a:r>
            <a:rPr lang="en-ZA" sz="1100" b="1" u="sng" baseline="0">
              <a:solidFill>
                <a:sysClr val="windowText" lastClr="000000">
                  <a:lumMod val="95000"/>
                  <a:lumOff val="5000"/>
                </a:sysClr>
              </a:solidFill>
            </a:rPr>
            <a:t> ON YEA</a:t>
          </a:r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R GROWTH RATE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122</xdr:row>
      <xdr:rowOff>19050</xdr:rowOff>
    </xdr:from>
    <xdr:to>
      <xdr:col>9</xdr:col>
      <xdr:colOff>0</xdr:colOff>
      <xdr:row>150</xdr:row>
      <xdr:rowOff>38100</xdr:rowOff>
    </xdr:to>
    <xdr:graphicFrame macro="">
      <xdr:nvGraphicFramePr>
        <xdr:cNvPr id="319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150</xdr:row>
      <xdr:rowOff>152400</xdr:rowOff>
    </xdr:from>
    <xdr:to>
      <xdr:col>8</xdr:col>
      <xdr:colOff>809625</xdr:colOff>
      <xdr:row>178</xdr:row>
      <xdr:rowOff>38100</xdr:rowOff>
    </xdr:to>
    <xdr:graphicFrame macro="">
      <xdr:nvGraphicFramePr>
        <xdr:cNvPr id="3191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400050</xdr:colOff>
      <xdr:row>0</xdr:row>
      <xdr:rowOff>123825</xdr:rowOff>
    </xdr:from>
    <xdr:to>
      <xdr:col>9</xdr:col>
      <xdr:colOff>276224</xdr:colOff>
      <xdr:row>0</xdr:row>
      <xdr:rowOff>581025</xdr:rowOff>
    </xdr:to>
    <xdr:sp macro="" textlink="">
      <xdr:nvSpPr>
        <xdr:cNvPr id="4" name="Left Arrow 3">
          <a:hlinkClick xmlns:r="http://schemas.openxmlformats.org/officeDocument/2006/relationships" r:id="rId3"/>
        </xdr:cNvPr>
        <xdr:cNvSpPr/>
      </xdr:nvSpPr>
      <xdr:spPr>
        <a:xfrm>
          <a:off x="8610600" y="12382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857250</xdr:colOff>
      <xdr:row>123</xdr:row>
      <xdr:rowOff>28575</xdr:rowOff>
    </xdr:from>
    <xdr:to>
      <xdr:col>2</xdr:col>
      <xdr:colOff>200025</xdr:colOff>
      <xdr:row>125</xdr:row>
      <xdr:rowOff>9525</xdr:rowOff>
    </xdr:to>
    <xdr:sp macro="" textlink="">
      <xdr:nvSpPr>
        <xdr:cNvPr id="5" name="TextBox 4"/>
        <xdr:cNvSpPr txBox="1"/>
      </xdr:nvSpPr>
      <xdr:spPr>
        <a:xfrm>
          <a:off x="857250" y="21097875"/>
          <a:ext cx="2638425" cy="3048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ZA" sz="1100" b="1" u="sng">
              <a:solidFill>
                <a:schemeClr val="tx1">
                  <a:lumMod val="95000"/>
                  <a:lumOff val="5000"/>
                </a:schemeClr>
              </a:solidFill>
            </a:rPr>
            <a:t>QUARTER ON QUARTER GROWTH RATE</a:t>
          </a:r>
        </a:p>
      </xdr:txBody>
    </xdr:sp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0.06999</cdr:x>
      <cdr:y>0.03766</cdr:y>
    </cdr:from>
    <cdr:to>
      <cdr:x>0.42312</cdr:x>
      <cdr:y>0.10669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28650" y="171450"/>
          <a:ext cx="31718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ZA" sz="1100"/>
            <a:t>	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0.07097</cdr:x>
      <cdr:y>0.0431</cdr:y>
    </cdr:from>
    <cdr:to>
      <cdr:x>0.36441</cdr:x>
      <cdr:y>0.11207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38175" y="190500"/>
          <a:ext cx="2638425" cy="3048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YEAR </a:t>
          </a:r>
          <a:r>
            <a:rPr lang="en-ZA" sz="1100" b="1" u="sng" baseline="0">
              <a:solidFill>
                <a:sysClr val="windowText" lastClr="000000">
                  <a:lumMod val="95000"/>
                  <a:lumOff val="5000"/>
                </a:sysClr>
              </a:solidFill>
            </a:rPr>
            <a:t> ON YEA</a:t>
          </a:r>
          <a:r>
            <a:rPr lang="en-ZA" sz="1100" b="1" u="sng">
              <a:solidFill>
                <a:sysClr val="windowText" lastClr="000000">
                  <a:lumMod val="95000"/>
                  <a:lumOff val="5000"/>
                </a:sysClr>
              </a:solidFill>
            </a:rPr>
            <a:t>R GROWTH RATE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22</xdr:row>
      <xdr:rowOff>19050</xdr:rowOff>
    </xdr:from>
    <xdr:to>
      <xdr:col>7</xdr:col>
      <xdr:colOff>85725</xdr:colOff>
      <xdr:row>41</xdr:row>
      <xdr:rowOff>38100</xdr:rowOff>
    </xdr:to>
    <xdr:graphicFrame macro="">
      <xdr:nvGraphicFramePr>
        <xdr:cNvPr id="35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22</xdr:row>
      <xdr:rowOff>28575</xdr:rowOff>
    </xdr:from>
    <xdr:to>
      <xdr:col>13</xdr:col>
      <xdr:colOff>628650</xdr:colOff>
      <xdr:row>41</xdr:row>
      <xdr:rowOff>28575</xdr:rowOff>
    </xdr:to>
    <xdr:graphicFrame macro="">
      <xdr:nvGraphicFramePr>
        <xdr:cNvPr id="3518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41</xdr:row>
      <xdr:rowOff>123825</xdr:rowOff>
    </xdr:from>
    <xdr:to>
      <xdr:col>7</xdr:col>
      <xdr:colOff>76200</xdr:colOff>
      <xdr:row>61</xdr:row>
      <xdr:rowOff>76200</xdr:rowOff>
    </xdr:to>
    <xdr:graphicFrame macro="">
      <xdr:nvGraphicFramePr>
        <xdr:cNvPr id="3519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62</xdr:row>
      <xdr:rowOff>0</xdr:rowOff>
    </xdr:from>
    <xdr:to>
      <xdr:col>7</xdr:col>
      <xdr:colOff>57150</xdr:colOff>
      <xdr:row>81</xdr:row>
      <xdr:rowOff>47625</xdr:rowOff>
    </xdr:to>
    <xdr:graphicFrame macro="">
      <xdr:nvGraphicFramePr>
        <xdr:cNvPr id="35191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81</xdr:row>
      <xdr:rowOff>123825</xdr:rowOff>
    </xdr:from>
    <xdr:to>
      <xdr:col>7</xdr:col>
      <xdr:colOff>85725</xdr:colOff>
      <xdr:row>102</xdr:row>
      <xdr:rowOff>19050</xdr:rowOff>
    </xdr:to>
    <xdr:graphicFrame macro="">
      <xdr:nvGraphicFramePr>
        <xdr:cNvPr id="3519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123825</xdr:colOff>
      <xdr:row>41</xdr:row>
      <xdr:rowOff>152400</xdr:rowOff>
    </xdr:from>
    <xdr:to>
      <xdr:col>13</xdr:col>
      <xdr:colOff>714375</xdr:colOff>
      <xdr:row>61</xdr:row>
      <xdr:rowOff>95250</xdr:rowOff>
    </xdr:to>
    <xdr:graphicFrame macro="">
      <xdr:nvGraphicFramePr>
        <xdr:cNvPr id="35193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152400</xdr:colOff>
      <xdr:row>62</xdr:row>
      <xdr:rowOff>0</xdr:rowOff>
    </xdr:from>
    <xdr:to>
      <xdr:col>13</xdr:col>
      <xdr:colOff>695325</xdr:colOff>
      <xdr:row>81</xdr:row>
      <xdr:rowOff>47625</xdr:rowOff>
    </xdr:to>
    <xdr:graphicFrame macro="">
      <xdr:nvGraphicFramePr>
        <xdr:cNvPr id="35194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161925</xdr:colOff>
      <xdr:row>81</xdr:row>
      <xdr:rowOff>133350</xdr:rowOff>
    </xdr:from>
    <xdr:to>
      <xdr:col>13</xdr:col>
      <xdr:colOff>676275</xdr:colOff>
      <xdr:row>102</xdr:row>
      <xdr:rowOff>28575</xdr:rowOff>
    </xdr:to>
    <xdr:graphicFrame macro="">
      <xdr:nvGraphicFramePr>
        <xdr:cNvPr id="35195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581025</xdr:colOff>
      <xdr:row>0</xdr:row>
      <xdr:rowOff>142875</xdr:rowOff>
    </xdr:from>
    <xdr:to>
      <xdr:col>1</xdr:col>
      <xdr:colOff>285749</xdr:colOff>
      <xdr:row>0</xdr:row>
      <xdr:rowOff>600075</xdr:rowOff>
    </xdr:to>
    <xdr:sp macro="" textlink="">
      <xdr:nvSpPr>
        <xdr:cNvPr id="10" name="Left Arrow 9">
          <a:hlinkClick xmlns:r="http://schemas.openxmlformats.org/officeDocument/2006/relationships" r:id="rId9"/>
        </xdr:cNvPr>
        <xdr:cNvSpPr/>
      </xdr:nvSpPr>
      <xdr:spPr>
        <a:xfrm>
          <a:off x="581025" y="14287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76</xdr:row>
      <xdr:rowOff>38100</xdr:rowOff>
    </xdr:from>
    <xdr:to>
      <xdr:col>10</xdr:col>
      <xdr:colOff>0</xdr:colOff>
      <xdr:row>103</xdr:row>
      <xdr:rowOff>142875</xdr:rowOff>
    </xdr:to>
    <xdr:graphicFrame macro="">
      <xdr:nvGraphicFramePr>
        <xdr:cNvPr id="4440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104775</xdr:colOff>
      <xdr:row>76</xdr:row>
      <xdr:rowOff>28575</xdr:rowOff>
    </xdr:from>
    <xdr:to>
      <xdr:col>16</xdr:col>
      <xdr:colOff>790575</xdr:colOff>
      <xdr:row>104</xdr:row>
      <xdr:rowOff>0</xdr:rowOff>
    </xdr:to>
    <xdr:graphicFrame macro="">
      <xdr:nvGraphicFramePr>
        <xdr:cNvPr id="4440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104</xdr:row>
      <xdr:rowOff>133350</xdr:rowOff>
    </xdr:from>
    <xdr:to>
      <xdr:col>10</xdr:col>
      <xdr:colOff>0</xdr:colOff>
      <xdr:row>132</xdr:row>
      <xdr:rowOff>38100</xdr:rowOff>
    </xdr:to>
    <xdr:graphicFrame macro="">
      <xdr:nvGraphicFramePr>
        <xdr:cNvPr id="4440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133350</xdr:colOff>
      <xdr:row>133</xdr:row>
      <xdr:rowOff>161925</xdr:rowOff>
    </xdr:from>
    <xdr:to>
      <xdr:col>10</xdr:col>
      <xdr:colOff>0</xdr:colOff>
      <xdr:row>161</xdr:row>
      <xdr:rowOff>95250</xdr:rowOff>
    </xdr:to>
    <xdr:graphicFrame macro="">
      <xdr:nvGraphicFramePr>
        <xdr:cNvPr id="4440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142875</xdr:colOff>
      <xdr:row>162</xdr:row>
      <xdr:rowOff>133350</xdr:rowOff>
    </xdr:from>
    <xdr:to>
      <xdr:col>9</xdr:col>
      <xdr:colOff>742950</xdr:colOff>
      <xdr:row>194</xdr:row>
      <xdr:rowOff>133350</xdr:rowOff>
    </xdr:to>
    <xdr:graphicFrame macro="">
      <xdr:nvGraphicFramePr>
        <xdr:cNvPr id="4440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104775</xdr:colOff>
      <xdr:row>104</xdr:row>
      <xdr:rowOff>152400</xdr:rowOff>
    </xdr:from>
    <xdr:to>
      <xdr:col>17</xdr:col>
      <xdr:colOff>0</xdr:colOff>
      <xdr:row>132</xdr:row>
      <xdr:rowOff>47625</xdr:rowOff>
    </xdr:to>
    <xdr:graphicFrame macro="">
      <xdr:nvGraphicFramePr>
        <xdr:cNvPr id="4440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95250</xdr:colOff>
      <xdr:row>134</xdr:row>
      <xdr:rowOff>0</xdr:rowOff>
    </xdr:from>
    <xdr:to>
      <xdr:col>16</xdr:col>
      <xdr:colOff>771525</xdr:colOff>
      <xdr:row>161</xdr:row>
      <xdr:rowOff>85725</xdr:rowOff>
    </xdr:to>
    <xdr:graphicFrame macro="">
      <xdr:nvGraphicFramePr>
        <xdr:cNvPr id="4440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66675</xdr:colOff>
      <xdr:row>162</xdr:row>
      <xdr:rowOff>161925</xdr:rowOff>
    </xdr:from>
    <xdr:to>
      <xdr:col>16</xdr:col>
      <xdr:colOff>790575</xdr:colOff>
      <xdr:row>194</xdr:row>
      <xdr:rowOff>95250</xdr:rowOff>
    </xdr:to>
    <xdr:graphicFrame macro="">
      <xdr:nvGraphicFramePr>
        <xdr:cNvPr id="4440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381000</xdr:colOff>
      <xdr:row>0</xdr:row>
      <xdr:rowOff>104775</xdr:rowOff>
    </xdr:from>
    <xdr:to>
      <xdr:col>1</xdr:col>
      <xdr:colOff>85724</xdr:colOff>
      <xdr:row>0</xdr:row>
      <xdr:rowOff>561975</xdr:rowOff>
    </xdr:to>
    <xdr:sp macro="" textlink="">
      <xdr:nvSpPr>
        <xdr:cNvPr id="10" name="Left Arrow 9">
          <a:hlinkClick xmlns:r="http://schemas.openxmlformats.org/officeDocument/2006/relationships" r:id="rId9"/>
        </xdr:cNvPr>
        <xdr:cNvSpPr/>
      </xdr:nvSpPr>
      <xdr:spPr>
        <a:xfrm>
          <a:off x="381000" y="10477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22</xdr:row>
      <xdr:rowOff>47625</xdr:rowOff>
    </xdr:from>
    <xdr:to>
      <xdr:col>7</xdr:col>
      <xdr:colOff>304800</xdr:colOff>
      <xdr:row>40</xdr:row>
      <xdr:rowOff>133350</xdr:rowOff>
    </xdr:to>
    <xdr:graphicFrame macro="">
      <xdr:nvGraphicFramePr>
        <xdr:cNvPr id="5364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22</xdr:row>
      <xdr:rowOff>57150</xdr:rowOff>
    </xdr:from>
    <xdr:to>
      <xdr:col>14</xdr:col>
      <xdr:colOff>457200</xdr:colOff>
      <xdr:row>40</xdr:row>
      <xdr:rowOff>142875</xdr:rowOff>
    </xdr:to>
    <xdr:graphicFrame macro="">
      <xdr:nvGraphicFramePr>
        <xdr:cNvPr id="5364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41</xdr:row>
      <xdr:rowOff>85725</xdr:rowOff>
    </xdr:from>
    <xdr:to>
      <xdr:col>7</xdr:col>
      <xdr:colOff>285750</xdr:colOff>
      <xdr:row>60</xdr:row>
      <xdr:rowOff>76200</xdr:rowOff>
    </xdr:to>
    <xdr:graphicFrame macro="">
      <xdr:nvGraphicFramePr>
        <xdr:cNvPr id="5364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61</xdr:row>
      <xdr:rowOff>38100</xdr:rowOff>
    </xdr:from>
    <xdr:to>
      <xdr:col>7</xdr:col>
      <xdr:colOff>304800</xdr:colOff>
      <xdr:row>79</xdr:row>
      <xdr:rowOff>114300</xdr:rowOff>
    </xdr:to>
    <xdr:graphicFrame macro="">
      <xdr:nvGraphicFramePr>
        <xdr:cNvPr id="5364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180975</xdr:colOff>
      <xdr:row>80</xdr:row>
      <xdr:rowOff>161925</xdr:rowOff>
    </xdr:from>
    <xdr:to>
      <xdr:col>7</xdr:col>
      <xdr:colOff>276225</xdr:colOff>
      <xdr:row>99</xdr:row>
      <xdr:rowOff>161925</xdr:rowOff>
    </xdr:to>
    <xdr:graphicFrame macro="">
      <xdr:nvGraphicFramePr>
        <xdr:cNvPr id="53649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400050</xdr:colOff>
      <xdr:row>41</xdr:row>
      <xdr:rowOff>95250</xdr:rowOff>
    </xdr:from>
    <xdr:to>
      <xdr:col>14</xdr:col>
      <xdr:colOff>447675</xdr:colOff>
      <xdr:row>60</xdr:row>
      <xdr:rowOff>57150</xdr:rowOff>
    </xdr:to>
    <xdr:graphicFrame macro="">
      <xdr:nvGraphicFramePr>
        <xdr:cNvPr id="53650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419100</xdr:colOff>
      <xdr:row>61</xdr:row>
      <xdr:rowOff>57150</xdr:rowOff>
    </xdr:from>
    <xdr:to>
      <xdr:col>14</xdr:col>
      <xdr:colOff>457200</xdr:colOff>
      <xdr:row>79</xdr:row>
      <xdr:rowOff>123825</xdr:rowOff>
    </xdr:to>
    <xdr:graphicFrame macro="">
      <xdr:nvGraphicFramePr>
        <xdr:cNvPr id="53651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438150</xdr:colOff>
      <xdr:row>81</xdr:row>
      <xdr:rowOff>0</xdr:rowOff>
    </xdr:from>
    <xdr:to>
      <xdr:col>14</xdr:col>
      <xdr:colOff>533400</xdr:colOff>
      <xdr:row>99</xdr:row>
      <xdr:rowOff>142875</xdr:rowOff>
    </xdr:to>
    <xdr:graphicFrame macro="">
      <xdr:nvGraphicFramePr>
        <xdr:cNvPr id="5365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628650</xdr:colOff>
      <xdr:row>0</xdr:row>
      <xdr:rowOff>85725</xdr:rowOff>
    </xdr:from>
    <xdr:to>
      <xdr:col>1</xdr:col>
      <xdr:colOff>638174</xdr:colOff>
      <xdr:row>0</xdr:row>
      <xdr:rowOff>542925</xdr:rowOff>
    </xdr:to>
    <xdr:sp macro="" textlink="">
      <xdr:nvSpPr>
        <xdr:cNvPr id="10" name="Left Arrow 9">
          <a:hlinkClick xmlns:r="http://schemas.openxmlformats.org/officeDocument/2006/relationships" r:id="rId9"/>
        </xdr:cNvPr>
        <xdr:cNvSpPr/>
      </xdr:nvSpPr>
      <xdr:spPr>
        <a:xfrm>
          <a:off x="628650" y="8572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23</xdr:row>
      <xdr:rowOff>123825</xdr:rowOff>
    </xdr:from>
    <xdr:to>
      <xdr:col>7</xdr:col>
      <xdr:colOff>723900</xdr:colOff>
      <xdr:row>41</xdr:row>
      <xdr:rowOff>104775</xdr:rowOff>
    </xdr:to>
    <xdr:graphicFrame macro="">
      <xdr:nvGraphicFramePr>
        <xdr:cNvPr id="6287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15</xdr:col>
      <xdr:colOff>180975</xdr:colOff>
      <xdr:row>41</xdr:row>
      <xdr:rowOff>104775</xdr:rowOff>
    </xdr:to>
    <xdr:graphicFrame macro="">
      <xdr:nvGraphicFramePr>
        <xdr:cNvPr id="6287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43</xdr:row>
      <xdr:rowOff>0</xdr:rowOff>
    </xdr:from>
    <xdr:to>
      <xdr:col>7</xdr:col>
      <xdr:colOff>733425</xdr:colOff>
      <xdr:row>60</xdr:row>
      <xdr:rowOff>114300</xdr:rowOff>
    </xdr:to>
    <xdr:graphicFrame macro="">
      <xdr:nvGraphicFramePr>
        <xdr:cNvPr id="6287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257175</xdr:colOff>
      <xdr:row>62</xdr:row>
      <xdr:rowOff>0</xdr:rowOff>
    </xdr:from>
    <xdr:to>
      <xdr:col>7</xdr:col>
      <xdr:colOff>742950</xdr:colOff>
      <xdr:row>79</xdr:row>
      <xdr:rowOff>123825</xdr:rowOff>
    </xdr:to>
    <xdr:graphicFrame macro="">
      <xdr:nvGraphicFramePr>
        <xdr:cNvPr id="6287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285751</xdr:colOff>
      <xdr:row>82</xdr:row>
      <xdr:rowOff>0</xdr:rowOff>
    </xdr:from>
    <xdr:to>
      <xdr:col>7</xdr:col>
      <xdr:colOff>742951</xdr:colOff>
      <xdr:row>99</xdr:row>
      <xdr:rowOff>123825</xdr:rowOff>
    </xdr:to>
    <xdr:graphicFrame macro="">
      <xdr:nvGraphicFramePr>
        <xdr:cNvPr id="62874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43</xdr:row>
      <xdr:rowOff>0</xdr:rowOff>
    </xdr:from>
    <xdr:to>
      <xdr:col>15</xdr:col>
      <xdr:colOff>190500</xdr:colOff>
      <xdr:row>60</xdr:row>
      <xdr:rowOff>114300</xdr:rowOff>
    </xdr:to>
    <xdr:graphicFrame macro="">
      <xdr:nvGraphicFramePr>
        <xdr:cNvPr id="62875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62</xdr:row>
      <xdr:rowOff>0</xdr:rowOff>
    </xdr:from>
    <xdr:to>
      <xdr:col>15</xdr:col>
      <xdr:colOff>200025</xdr:colOff>
      <xdr:row>79</xdr:row>
      <xdr:rowOff>123825</xdr:rowOff>
    </xdr:to>
    <xdr:graphicFrame macro="">
      <xdr:nvGraphicFramePr>
        <xdr:cNvPr id="62876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82</xdr:row>
      <xdr:rowOff>0</xdr:rowOff>
    </xdr:from>
    <xdr:to>
      <xdr:col>15</xdr:col>
      <xdr:colOff>209550</xdr:colOff>
      <xdr:row>99</xdr:row>
      <xdr:rowOff>133350</xdr:rowOff>
    </xdr:to>
    <xdr:graphicFrame macro="">
      <xdr:nvGraphicFramePr>
        <xdr:cNvPr id="62877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523875</xdr:colOff>
      <xdr:row>0</xdr:row>
      <xdr:rowOff>104775</xdr:rowOff>
    </xdr:from>
    <xdr:to>
      <xdr:col>1</xdr:col>
      <xdr:colOff>485774</xdr:colOff>
      <xdr:row>0</xdr:row>
      <xdr:rowOff>561975</xdr:rowOff>
    </xdr:to>
    <xdr:sp macro="" textlink="">
      <xdr:nvSpPr>
        <xdr:cNvPr id="10" name="Left Arrow 9">
          <a:hlinkClick xmlns:r="http://schemas.openxmlformats.org/officeDocument/2006/relationships" r:id="rId9"/>
        </xdr:cNvPr>
        <xdr:cNvSpPr/>
      </xdr:nvSpPr>
      <xdr:spPr>
        <a:xfrm>
          <a:off x="523875" y="10477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54</xdr:row>
      <xdr:rowOff>133350</xdr:rowOff>
    </xdr:from>
    <xdr:to>
      <xdr:col>17</xdr:col>
      <xdr:colOff>666750</xdr:colOff>
      <xdr:row>82</xdr:row>
      <xdr:rowOff>0</xdr:rowOff>
    </xdr:to>
    <xdr:graphicFrame macro="">
      <xdr:nvGraphicFramePr>
        <xdr:cNvPr id="7177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428625</xdr:colOff>
      <xdr:row>0</xdr:row>
      <xdr:rowOff>276225</xdr:rowOff>
    </xdr:from>
    <xdr:to>
      <xdr:col>17</xdr:col>
      <xdr:colOff>438149</xdr:colOff>
      <xdr:row>1</xdr:row>
      <xdr:rowOff>371475</xdr:rowOff>
    </xdr:to>
    <xdr:sp macro="" textlink="">
      <xdr:nvSpPr>
        <xdr:cNvPr id="5" name="Left Arrow 4">
          <a:hlinkClick xmlns:r="http://schemas.openxmlformats.org/officeDocument/2006/relationships" r:id="rId2"/>
        </xdr:cNvPr>
        <xdr:cNvSpPr/>
      </xdr:nvSpPr>
      <xdr:spPr>
        <a:xfrm>
          <a:off x="7620000" y="27622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123825</xdr:colOff>
      <xdr:row>82</xdr:row>
      <xdr:rowOff>95250</xdr:rowOff>
    </xdr:from>
    <xdr:to>
      <xdr:col>17</xdr:col>
      <xdr:colOff>600075</xdr:colOff>
      <xdr:row>109</xdr:row>
      <xdr:rowOff>104775</xdr:rowOff>
    </xdr:to>
    <xdr:graphicFrame macro="">
      <xdr:nvGraphicFramePr>
        <xdr:cNvPr id="7177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533400</xdr:colOff>
      <xdr:row>25</xdr:row>
      <xdr:rowOff>85724</xdr:rowOff>
    </xdr:from>
    <xdr:to>
      <xdr:col>23</xdr:col>
      <xdr:colOff>523875</xdr:colOff>
      <xdr:row>50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54</xdr:row>
      <xdr:rowOff>142875</xdr:rowOff>
    </xdr:from>
    <xdr:to>
      <xdr:col>17</xdr:col>
      <xdr:colOff>657225</xdr:colOff>
      <xdr:row>80</xdr:row>
      <xdr:rowOff>104775</xdr:rowOff>
    </xdr:to>
    <xdr:graphicFrame macro="">
      <xdr:nvGraphicFramePr>
        <xdr:cNvPr id="7381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295275</xdr:colOff>
      <xdr:row>0</xdr:row>
      <xdr:rowOff>200025</xdr:rowOff>
    </xdr:from>
    <xdr:to>
      <xdr:col>17</xdr:col>
      <xdr:colOff>304799</xdr:colOff>
      <xdr:row>1</xdr:row>
      <xdr:rowOff>295275</xdr:rowOff>
    </xdr:to>
    <xdr:sp macro="" textlink="">
      <xdr:nvSpPr>
        <xdr:cNvPr id="3" name="Left Arrow 2">
          <a:hlinkClick xmlns:r="http://schemas.openxmlformats.org/officeDocument/2006/relationships" r:id="rId2"/>
        </xdr:cNvPr>
        <xdr:cNvSpPr/>
      </xdr:nvSpPr>
      <xdr:spPr>
        <a:xfrm>
          <a:off x="7486650" y="20002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85725</xdr:colOff>
      <xdr:row>81</xdr:row>
      <xdr:rowOff>47625</xdr:rowOff>
    </xdr:from>
    <xdr:to>
      <xdr:col>17</xdr:col>
      <xdr:colOff>657225</xdr:colOff>
      <xdr:row>107</xdr:row>
      <xdr:rowOff>9525</xdr:rowOff>
    </xdr:to>
    <xdr:graphicFrame macro="">
      <xdr:nvGraphicFramePr>
        <xdr:cNvPr id="738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152400</xdr:colOff>
      <xdr:row>25</xdr:row>
      <xdr:rowOff>66676</xdr:rowOff>
    </xdr:from>
    <xdr:to>
      <xdr:col>24</xdr:col>
      <xdr:colOff>552450</xdr:colOff>
      <xdr:row>50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54</xdr:row>
      <xdr:rowOff>123825</xdr:rowOff>
    </xdr:from>
    <xdr:to>
      <xdr:col>17</xdr:col>
      <xdr:colOff>609600</xdr:colOff>
      <xdr:row>80</xdr:row>
      <xdr:rowOff>85725</xdr:rowOff>
    </xdr:to>
    <xdr:graphicFrame macro="">
      <xdr:nvGraphicFramePr>
        <xdr:cNvPr id="758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314325</xdr:colOff>
      <xdr:row>0</xdr:row>
      <xdr:rowOff>180975</xdr:rowOff>
    </xdr:from>
    <xdr:to>
      <xdr:col>17</xdr:col>
      <xdr:colOff>323849</xdr:colOff>
      <xdr:row>1</xdr:row>
      <xdr:rowOff>276225</xdr:rowOff>
    </xdr:to>
    <xdr:sp macro="" textlink="">
      <xdr:nvSpPr>
        <xdr:cNvPr id="3" name="Left Arrow 2">
          <a:hlinkClick xmlns:r="http://schemas.openxmlformats.org/officeDocument/2006/relationships" r:id="rId2"/>
        </xdr:cNvPr>
        <xdr:cNvSpPr/>
      </xdr:nvSpPr>
      <xdr:spPr>
        <a:xfrm>
          <a:off x="7505700" y="18097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66675</xdr:colOff>
      <xdr:row>81</xdr:row>
      <xdr:rowOff>9525</xdr:rowOff>
    </xdr:from>
    <xdr:to>
      <xdr:col>17</xdr:col>
      <xdr:colOff>638175</xdr:colOff>
      <xdr:row>106</xdr:row>
      <xdr:rowOff>133350</xdr:rowOff>
    </xdr:to>
    <xdr:graphicFrame macro="">
      <xdr:nvGraphicFramePr>
        <xdr:cNvPr id="7586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161925</xdr:colOff>
      <xdr:row>25</xdr:row>
      <xdr:rowOff>66676</xdr:rowOff>
    </xdr:from>
    <xdr:to>
      <xdr:col>23</xdr:col>
      <xdr:colOff>314325</xdr:colOff>
      <xdr:row>49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54</xdr:row>
      <xdr:rowOff>104775</xdr:rowOff>
    </xdr:from>
    <xdr:to>
      <xdr:col>17</xdr:col>
      <xdr:colOff>657225</xdr:colOff>
      <xdr:row>80</xdr:row>
      <xdr:rowOff>66675</xdr:rowOff>
    </xdr:to>
    <xdr:graphicFrame macro="">
      <xdr:nvGraphicFramePr>
        <xdr:cNvPr id="779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409575</xdr:colOff>
      <xdr:row>0</xdr:row>
      <xdr:rowOff>219075</xdr:rowOff>
    </xdr:from>
    <xdr:to>
      <xdr:col>17</xdr:col>
      <xdr:colOff>419099</xdr:colOff>
      <xdr:row>1</xdr:row>
      <xdr:rowOff>314325</xdr:rowOff>
    </xdr:to>
    <xdr:sp macro="" textlink="">
      <xdr:nvSpPr>
        <xdr:cNvPr id="3" name="Left Arrow 2">
          <a:hlinkClick xmlns:r="http://schemas.openxmlformats.org/officeDocument/2006/relationships" r:id="rId2"/>
        </xdr:cNvPr>
        <xdr:cNvSpPr/>
      </xdr:nvSpPr>
      <xdr:spPr>
        <a:xfrm>
          <a:off x="8001000" y="21907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76200</xdr:colOff>
      <xdr:row>81</xdr:row>
      <xdr:rowOff>28575</xdr:rowOff>
    </xdr:from>
    <xdr:to>
      <xdr:col>17</xdr:col>
      <xdr:colOff>666750</xdr:colOff>
      <xdr:row>106</xdr:row>
      <xdr:rowOff>152400</xdr:rowOff>
    </xdr:to>
    <xdr:graphicFrame macro="">
      <xdr:nvGraphicFramePr>
        <xdr:cNvPr id="7791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180974</xdr:colOff>
      <xdr:row>25</xdr:row>
      <xdr:rowOff>66675</xdr:rowOff>
    </xdr:from>
    <xdr:to>
      <xdr:col>24</xdr:col>
      <xdr:colOff>133350</xdr:colOff>
      <xdr:row>49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54</xdr:row>
      <xdr:rowOff>114300</xdr:rowOff>
    </xdr:from>
    <xdr:to>
      <xdr:col>18</xdr:col>
      <xdr:colOff>9525</xdr:colOff>
      <xdr:row>80</xdr:row>
      <xdr:rowOff>76200</xdr:rowOff>
    </xdr:to>
    <xdr:graphicFrame macro="">
      <xdr:nvGraphicFramePr>
        <xdr:cNvPr id="7996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352425</xdr:colOff>
      <xdr:row>0</xdr:row>
      <xdr:rowOff>180975</xdr:rowOff>
    </xdr:from>
    <xdr:to>
      <xdr:col>17</xdr:col>
      <xdr:colOff>361949</xdr:colOff>
      <xdr:row>1</xdr:row>
      <xdr:rowOff>276225</xdr:rowOff>
    </xdr:to>
    <xdr:sp macro="" textlink="">
      <xdr:nvSpPr>
        <xdr:cNvPr id="3" name="Left Arrow 2">
          <a:hlinkClick xmlns:r="http://schemas.openxmlformats.org/officeDocument/2006/relationships" r:id="rId2"/>
        </xdr:cNvPr>
        <xdr:cNvSpPr/>
      </xdr:nvSpPr>
      <xdr:spPr>
        <a:xfrm>
          <a:off x="7943850" y="18097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28575</xdr:colOff>
      <xdr:row>81</xdr:row>
      <xdr:rowOff>47625</xdr:rowOff>
    </xdr:from>
    <xdr:to>
      <xdr:col>18</xdr:col>
      <xdr:colOff>9525</xdr:colOff>
      <xdr:row>107</xdr:row>
      <xdr:rowOff>9525</xdr:rowOff>
    </xdr:to>
    <xdr:graphicFrame macro="">
      <xdr:nvGraphicFramePr>
        <xdr:cNvPr id="799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904875</xdr:colOff>
      <xdr:row>24</xdr:row>
      <xdr:rowOff>133349</xdr:rowOff>
    </xdr:from>
    <xdr:to>
      <xdr:col>23</xdr:col>
      <xdr:colOff>466725</xdr:colOff>
      <xdr:row>49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180975</xdr:rowOff>
    </xdr:from>
    <xdr:to>
      <xdr:col>10</xdr:col>
      <xdr:colOff>28574</xdr:colOff>
      <xdr:row>1</xdr:row>
      <xdr:rowOff>228600</xdr:rowOff>
    </xdr:to>
    <xdr:sp macro="" textlink="">
      <xdr:nvSpPr>
        <xdr:cNvPr id="4" name="Left Arrow 3">
          <a:hlinkClick xmlns:r="http://schemas.openxmlformats.org/officeDocument/2006/relationships" r:id="rId1"/>
        </xdr:cNvPr>
        <xdr:cNvSpPr/>
      </xdr:nvSpPr>
      <xdr:spPr>
        <a:xfrm>
          <a:off x="8067675" y="180975"/>
          <a:ext cx="695324" cy="561975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47625</xdr:colOff>
      <xdr:row>52</xdr:row>
      <xdr:rowOff>9525</xdr:rowOff>
    </xdr:from>
    <xdr:to>
      <xdr:col>8</xdr:col>
      <xdr:colOff>571500</xdr:colOff>
      <xdr:row>81</xdr:row>
      <xdr:rowOff>85725</xdr:rowOff>
    </xdr:to>
    <xdr:graphicFrame macro="">
      <xdr:nvGraphicFramePr>
        <xdr:cNvPr id="82004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666750</xdr:colOff>
      <xdr:row>22</xdr:row>
      <xdr:rowOff>104774</xdr:rowOff>
    </xdr:from>
    <xdr:to>
      <xdr:col>20</xdr:col>
      <xdr:colOff>47625</xdr:colOff>
      <xdr:row>53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104</xdr:row>
      <xdr:rowOff>152400</xdr:rowOff>
    </xdr:from>
    <xdr:to>
      <xdr:col>6</xdr:col>
      <xdr:colOff>1171575</xdr:colOff>
      <xdr:row>129</xdr:row>
      <xdr:rowOff>95250</xdr:rowOff>
    </xdr:to>
    <xdr:graphicFrame macro="">
      <xdr:nvGraphicFramePr>
        <xdr:cNvPr id="8405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561974</xdr:colOff>
      <xdr:row>0</xdr:row>
      <xdr:rowOff>57150</xdr:rowOff>
    </xdr:from>
    <xdr:to>
      <xdr:col>6</xdr:col>
      <xdr:colOff>1190623</xdr:colOff>
      <xdr:row>0</xdr:row>
      <xdr:rowOff>438150</xdr:rowOff>
    </xdr:to>
    <xdr:sp macro="" textlink="">
      <xdr:nvSpPr>
        <xdr:cNvPr id="5" name="Left Arrow 4">
          <a:hlinkClick xmlns:r="http://schemas.openxmlformats.org/officeDocument/2006/relationships" r:id="rId2"/>
        </xdr:cNvPr>
        <xdr:cNvSpPr/>
      </xdr:nvSpPr>
      <xdr:spPr>
        <a:xfrm>
          <a:off x="7134224" y="57150"/>
          <a:ext cx="628649" cy="3810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57149</xdr:colOff>
      <xdr:row>1</xdr:row>
      <xdr:rowOff>57150</xdr:rowOff>
    </xdr:from>
    <xdr:to>
      <xdr:col>18</xdr:col>
      <xdr:colOff>161924</xdr:colOff>
      <xdr:row>104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54</xdr:row>
      <xdr:rowOff>19050</xdr:rowOff>
    </xdr:from>
    <xdr:to>
      <xdr:col>8</xdr:col>
      <xdr:colOff>1038224</xdr:colOff>
      <xdr:row>74</xdr:row>
      <xdr:rowOff>161925</xdr:rowOff>
    </xdr:to>
    <xdr:graphicFrame macro="">
      <xdr:nvGraphicFramePr>
        <xdr:cNvPr id="8642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19049</xdr:colOff>
      <xdr:row>90</xdr:row>
      <xdr:rowOff>76200</xdr:rowOff>
    </xdr:from>
    <xdr:to>
      <xdr:col>7</xdr:col>
      <xdr:colOff>1152524</xdr:colOff>
      <xdr:row>109</xdr:row>
      <xdr:rowOff>142875</xdr:rowOff>
    </xdr:to>
    <xdr:graphicFrame macro="">
      <xdr:nvGraphicFramePr>
        <xdr:cNvPr id="8642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628650</xdr:colOff>
      <xdr:row>110</xdr:row>
      <xdr:rowOff>104775</xdr:rowOff>
    </xdr:from>
    <xdr:to>
      <xdr:col>7</xdr:col>
      <xdr:colOff>1162050</xdr:colOff>
      <xdr:row>128</xdr:row>
      <xdr:rowOff>104775</xdr:rowOff>
    </xdr:to>
    <xdr:graphicFrame macro="">
      <xdr:nvGraphicFramePr>
        <xdr:cNvPr id="8643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</xdr:colOff>
      <xdr:row>129</xdr:row>
      <xdr:rowOff>66675</xdr:rowOff>
    </xdr:from>
    <xdr:to>
      <xdr:col>7</xdr:col>
      <xdr:colOff>361950</xdr:colOff>
      <xdr:row>148</xdr:row>
      <xdr:rowOff>123825</xdr:rowOff>
    </xdr:to>
    <xdr:graphicFrame macro="">
      <xdr:nvGraphicFramePr>
        <xdr:cNvPr id="8643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133350</xdr:colOff>
      <xdr:row>0</xdr:row>
      <xdr:rowOff>57150</xdr:rowOff>
    </xdr:from>
    <xdr:to>
      <xdr:col>2</xdr:col>
      <xdr:colOff>190499</xdr:colOff>
      <xdr:row>0</xdr:row>
      <xdr:rowOff>514350</xdr:rowOff>
    </xdr:to>
    <xdr:sp macro="" textlink="">
      <xdr:nvSpPr>
        <xdr:cNvPr id="9" name="Left Arrow 8">
          <a:hlinkClick xmlns:r="http://schemas.openxmlformats.org/officeDocument/2006/relationships" r:id="rId5"/>
        </xdr:cNvPr>
        <xdr:cNvSpPr/>
      </xdr:nvSpPr>
      <xdr:spPr>
        <a:xfrm>
          <a:off x="133350" y="57150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0.83066</cdr:x>
      <cdr:y>0.02632</cdr:y>
    </cdr:from>
    <cdr:to>
      <cdr:x>0.99124</cdr:x>
      <cdr:y>0.43275</cdr:y>
    </cdr:to>
    <cdr:sp macro="" textlink="">
      <cdr:nvSpPr>
        <cdr:cNvPr id="2" name="Oval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19725" y="85725"/>
          <a:ext cx="1047750" cy="132397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prstDash val="sysDot"/>
          <a:round/>
          <a:headEnd/>
          <a:tailEnd/>
        </a:ln>
      </cdr:spPr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145</xdr:row>
      <xdr:rowOff>104775</xdr:rowOff>
    </xdr:from>
    <xdr:to>
      <xdr:col>3</xdr:col>
      <xdr:colOff>885825</xdr:colOff>
      <xdr:row>163</xdr:row>
      <xdr:rowOff>76200</xdr:rowOff>
    </xdr:to>
    <xdr:graphicFrame macro="">
      <xdr:nvGraphicFramePr>
        <xdr:cNvPr id="9150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0</xdr:row>
      <xdr:rowOff>38100</xdr:rowOff>
    </xdr:from>
    <xdr:to>
      <xdr:col>23</xdr:col>
      <xdr:colOff>171450</xdr:colOff>
      <xdr:row>13</xdr:row>
      <xdr:rowOff>323850</xdr:rowOff>
    </xdr:to>
    <xdr:graphicFrame macro="">
      <xdr:nvGraphicFramePr>
        <xdr:cNvPr id="9150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923925</xdr:colOff>
      <xdr:row>145</xdr:row>
      <xdr:rowOff>123825</xdr:rowOff>
    </xdr:from>
    <xdr:to>
      <xdr:col>10</xdr:col>
      <xdr:colOff>904875</xdr:colOff>
      <xdr:row>163</xdr:row>
      <xdr:rowOff>104775</xdr:rowOff>
    </xdr:to>
    <xdr:graphicFrame macro="">
      <xdr:nvGraphicFramePr>
        <xdr:cNvPr id="9150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145</xdr:row>
      <xdr:rowOff>114300</xdr:rowOff>
    </xdr:from>
    <xdr:to>
      <xdr:col>16</xdr:col>
      <xdr:colOff>361950</xdr:colOff>
      <xdr:row>163</xdr:row>
      <xdr:rowOff>104775</xdr:rowOff>
    </xdr:to>
    <xdr:graphicFrame macro="">
      <xdr:nvGraphicFramePr>
        <xdr:cNvPr id="91509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14</xdr:row>
      <xdr:rowOff>76200</xdr:rowOff>
    </xdr:from>
    <xdr:to>
      <xdr:col>23</xdr:col>
      <xdr:colOff>190500</xdr:colOff>
      <xdr:row>33</xdr:row>
      <xdr:rowOff>28575</xdr:rowOff>
    </xdr:to>
    <xdr:graphicFrame macro="">
      <xdr:nvGraphicFramePr>
        <xdr:cNvPr id="91510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23</xdr:col>
      <xdr:colOff>200025</xdr:colOff>
      <xdr:row>50</xdr:row>
      <xdr:rowOff>542925</xdr:rowOff>
    </xdr:to>
    <xdr:graphicFrame macro="">
      <xdr:nvGraphicFramePr>
        <xdr:cNvPr id="91511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895350</xdr:colOff>
      <xdr:row>50</xdr:row>
      <xdr:rowOff>723900</xdr:rowOff>
    </xdr:from>
    <xdr:to>
      <xdr:col>23</xdr:col>
      <xdr:colOff>257175</xdr:colOff>
      <xdr:row>66</xdr:row>
      <xdr:rowOff>314325</xdr:rowOff>
    </xdr:to>
    <xdr:graphicFrame macro="">
      <xdr:nvGraphicFramePr>
        <xdr:cNvPr id="9151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90</xdr:row>
      <xdr:rowOff>0</xdr:rowOff>
    </xdr:from>
    <xdr:to>
      <xdr:col>16</xdr:col>
      <xdr:colOff>200025</xdr:colOff>
      <xdr:row>112</xdr:row>
      <xdr:rowOff>28575</xdr:rowOff>
    </xdr:to>
    <xdr:graphicFrame macro="">
      <xdr:nvGraphicFramePr>
        <xdr:cNvPr id="91513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542925</xdr:colOff>
      <xdr:row>0</xdr:row>
      <xdr:rowOff>123825</xdr:rowOff>
    </xdr:from>
    <xdr:to>
      <xdr:col>0</xdr:col>
      <xdr:colOff>1238249</xdr:colOff>
      <xdr:row>0</xdr:row>
      <xdr:rowOff>581025</xdr:rowOff>
    </xdr:to>
    <xdr:sp macro="" textlink="">
      <xdr:nvSpPr>
        <xdr:cNvPr id="10" name="Left Arrow 9">
          <a:hlinkClick xmlns:r="http://schemas.openxmlformats.org/officeDocument/2006/relationships" r:id="rId9"/>
        </xdr:cNvPr>
        <xdr:cNvSpPr/>
      </xdr:nvSpPr>
      <xdr:spPr>
        <a:xfrm>
          <a:off x="542925" y="123825"/>
          <a:ext cx="695324" cy="4572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904874</xdr:colOff>
      <xdr:row>0</xdr:row>
      <xdr:rowOff>514350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0" y="0"/>
          <a:ext cx="904874" cy="51435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771524</xdr:colOff>
      <xdr:row>352</xdr:row>
      <xdr:rowOff>10583</xdr:rowOff>
    </xdr:from>
    <xdr:to>
      <xdr:col>13</xdr:col>
      <xdr:colOff>772583</xdr:colOff>
      <xdr:row>371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772583</xdr:colOff>
      <xdr:row>372</xdr:row>
      <xdr:rowOff>113241</xdr:rowOff>
    </xdr:from>
    <xdr:to>
      <xdr:col>13</xdr:col>
      <xdr:colOff>783166</xdr:colOff>
      <xdr:row>392</xdr:row>
      <xdr:rowOff>63500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0</xdr:row>
      <xdr:rowOff>28575</xdr:rowOff>
    </xdr:from>
    <xdr:to>
      <xdr:col>0</xdr:col>
      <xdr:colOff>1038224</xdr:colOff>
      <xdr:row>0</xdr:row>
      <xdr:rowOff>523875</xdr:rowOff>
    </xdr:to>
    <xdr:sp macro="" textlink="">
      <xdr:nvSpPr>
        <xdr:cNvPr id="5" name="Left Arrow 4">
          <a:hlinkClick xmlns:r="http://schemas.openxmlformats.org/officeDocument/2006/relationships" r:id="rId3"/>
        </xdr:cNvPr>
        <xdr:cNvSpPr/>
      </xdr:nvSpPr>
      <xdr:spPr>
        <a:xfrm>
          <a:off x="114300" y="28575"/>
          <a:ext cx="923924" cy="49530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ZA" sz="1200" b="1" cap="none" spc="0">
            <a:ln w="18000">
              <a:noFill/>
              <a:prstDash val="solid"/>
              <a:miter lim="800000"/>
            </a:ln>
            <a:solidFill>
              <a:schemeClr val="bg1">
                <a:lumMod val="95000"/>
              </a:schemeClr>
            </a:solidFill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zoomScale="110" zoomScaleNormal="110" workbookViewId="0">
      <selection sqref="A1:A34"/>
    </sheetView>
  </sheetViews>
  <sheetFormatPr defaultRowHeight="12.75"/>
  <cols>
    <col min="2" max="2" width="76.375" customWidth="1"/>
    <col min="3" max="3" width="5.25" customWidth="1"/>
  </cols>
  <sheetData>
    <row r="1" spans="1:10" ht="15">
      <c r="A1" s="387"/>
      <c r="B1" s="365" t="s">
        <v>206</v>
      </c>
      <c r="C1" s="366"/>
      <c r="D1" s="367"/>
      <c r="E1" s="367"/>
      <c r="F1" s="367"/>
      <c r="G1" s="367"/>
      <c r="H1" s="367"/>
      <c r="I1" s="367"/>
      <c r="J1" s="368"/>
    </row>
    <row r="2" spans="1:10" ht="9" customHeight="1" thickBot="1">
      <c r="A2" s="388"/>
      <c r="B2" s="243"/>
      <c r="C2" s="369"/>
      <c r="D2" s="370"/>
      <c r="E2" s="370"/>
      <c r="F2" s="370"/>
      <c r="G2" s="370"/>
      <c r="H2" s="370"/>
      <c r="I2" s="370"/>
      <c r="J2" s="371"/>
    </row>
    <row r="3" spans="1:10" ht="15.75" thickBot="1">
      <c r="A3" s="388"/>
      <c r="B3" s="244" t="s">
        <v>205</v>
      </c>
      <c r="C3" s="369"/>
      <c r="D3" s="370"/>
      <c r="E3" s="370"/>
      <c r="F3" s="390" t="s">
        <v>336</v>
      </c>
      <c r="G3" s="391"/>
      <c r="H3" s="370"/>
      <c r="I3" s="370"/>
      <c r="J3" s="371"/>
    </row>
    <row r="4" spans="1:10" ht="6" customHeight="1" thickBot="1">
      <c r="A4" s="388"/>
      <c r="B4" s="243"/>
      <c r="C4" s="369"/>
      <c r="D4" s="370"/>
      <c r="E4" s="370"/>
      <c r="F4" s="370"/>
      <c r="G4" s="370"/>
      <c r="H4" s="370"/>
      <c r="I4" s="370"/>
      <c r="J4" s="371"/>
    </row>
    <row r="5" spans="1:10" ht="15.75" thickBot="1">
      <c r="A5" s="388"/>
      <c r="B5" s="244" t="s">
        <v>204</v>
      </c>
      <c r="C5" s="369"/>
      <c r="D5" s="370"/>
      <c r="E5" s="370"/>
      <c r="F5" s="390" t="s">
        <v>336</v>
      </c>
      <c r="G5" s="391"/>
      <c r="H5" s="370"/>
      <c r="I5" s="370"/>
      <c r="J5" s="371"/>
    </row>
    <row r="6" spans="1:10" ht="8.25" customHeight="1" thickBot="1">
      <c r="A6" s="388"/>
      <c r="B6" s="243"/>
      <c r="C6" s="369"/>
      <c r="D6" s="370"/>
      <c r="E6" s="370"/>
      <c r="F6" s="370"/>
      <c r="G6" s="370"/>
      <c r="H6" s="370"/>
      <c r="I6" s="370"/>
      <c r="J6" s="371"/>
    </row>
    <row r="7" spans="1:10" ht="15.75" thickBot="1">
      <c r="A7" s="388"/>
      <c r="B7" s="244" t="s">
        <v>21</v>
      </c>
      <c r="C7" s="369"/>
      <c r="D7" s="370"/>
      <c r="E7" s="370"/>
      <c r="F7" s="390" t="s">
        <v>344</v>
      </c>
      <c r="G7" s="391"/>
      <c r="H7" s="370"/>
      <c r="I7" s="370"/>
      <c r="J7" s="371"/>
    </row>
    <row r="8" spans="1:10" ht="5.25" customHeight="1">
      <c r="A8" s="388"/>
      <c r="B8" s="243"/>
      <c r="C8" s="369"/>
      <c r="D8" s="370"/>
      <c r="E8" s="370"/>
      <c r="F8" s="370"/>
      <c r="G8" s="370"/>
      <c r="H8" s="370"/>
      <c r="I8" s="370"/>
      <c r="J8" s="371"/>
    </row>
    <row r="9" spans="1:10" ht="15">
      <c r="A9" s="388"/>
      <c r="B9" s="244" t="s">
        <v>202</v>
      </c>
      <c r="C9" s="369"/>
      <c r="D9" s="370"/>
      <c r="E9" s="370"/>
      <c r="F9" s="370"/>
      <c r="G9" s="370"/>
      <c r="H9" s="370"/>
      <c r="I9" s="370"/>
      <c r="J9" s="371"/>
    </row>
    <row r="10" spans="1:10" ht="9" customHeight="1">
      <c r="A10" s="388"/>
      <c r="B10" s="243"/>
      <c r="C10" s="369"/>
      <c r="D10" s="370"/>
      <c r="E10" s="370"/>
      <c r="F10" s="370"/>
      <c r="G10" s="370"/>
      <c r="H10" s="370"/>
      <c r="I10" s="370"/>
      <c r="J10" s="371"/>
    </row>
    <row r="11" spans="1:10" ht="15">
      <c r="A11" s="388"/>
      <c r="B11" s="244" t="s">
        <v>267</v>
      </c>
      <c r="C11" s="369"/>
      <c r="D11" s="370"/>
      <c r="E11" s="370"/>
      <c r="F11" s="370"/>
      <c r="G11" s="370"/>
      <c r="H11" s="370"/>
      <c r="I11" s="370"/>
      <c r="J11" s="371"/>
    </row>
    <row r="12" spans="1:10" ht="9" customHeight="1">
      <c r="A12" s="388"/>
      <c r="B12" s="243"/>
      <c r="C12" s="369"/>
      <c r="D12" s="370"/>
      <c r="E12" s="370"/>
      <c r="F12" s="370"/>
      <c r="G12" s="370"/>
      <c r="H12" s="370"/>
      <c r="I12" s="370"/>
      <c r="J12" s="371"/>
    </row>
    <row r="13" spans="1:10" ht="15">
      <c r="A13" s="388"/>
      <c r="B13" s="244" t="s">
        <v>163</v>
      </c>
      <c r="C13" s="369"/>
      <c r="D13" s="370"/>
      <c r="E13" s="370"/>
      <c r="F13" s="370"/>
      <c r="G13" s="370"/>
      <c r="H13" s="370"/>
      <c r="I13" s="370"/>
      <c r="J13" s="371"/>
    </row>
    <row r="14" spans="1:10" ht="9.75" customHeight="1">
      <c r="A14" s="388"/>
      <c r="B14" s="243"/>
      <c r="C14" s="369"/>
      <c r="D14" s="370"/>
      <c r="E14" s="370"/>
      <c r="F14" s="370"/>
      <c r="G14" s="370"/>
      <c r="H14" s="370"/>
      <c r="I14" s="370"/>
      <c r="J14" s="371"/>
    </row>
    <row r="15" spans="1:10" ht="15">
      <c r="A15" s="388"/>
      <c r="B15" s="244" t="s">
        <v>259</v>
      </c>
      <c r="C15" s="369"/>
      <c r="D15" s="370"/>
      <c r="E15" s="370"/>
      <c r="F15" s="370"/>
      <c r="G15" s="370"/>
      <c r="H15" s="370"/>
      <c r="I15" s="370"/>
      <c r="J15" s="371"/>
    </row>
    <row r="16" spans="1:10" ht="9.75" customHeight="1">
      <c r="A16" s="388"/>
      <c r="B16" s="243"/>
      <c r="C16" s="369"/>
      <c r="D16" s="370"/>
      <c r="E16" s="370"/>
      <c r="F16" s="370"/>
      <c r="G16" s="370"/>
      <c r="H16" s="370"/>
      <c r="I16" s="370"/>
      <c r="J16" s="371"/>
    </row>
    <row r="17" spans="1:10" ht="15">
      <c r="A17" s="388"/>
      <c r="B17" s="244" t="s">
        <v>260</v>
      </c>
      <c r="C17" s="369"/>
      <c r="D17" s="370"/>
      <c r="E17" s="370"/>
      <c r="F17" s="370"/>
      <c r="G17" s="370"/>
      <c r="H17" s="370"/>
      <c r="I17" s="370"/>
      <c r="J17" s="371"/>
    </row>
    <row r="18" spans="1:10" ht="8.25" customHeight="1">
      <c r="A18" s="388"/>
      <c r="B18" s="243"/>
      <c r="C18" s="369"/>
      <c r="D18" s="370"/>
      <c r="E18" s="370"/>
      <c r="F18" s="370"/>
      <c r="G18" s="370"/>
      <c r="H18" s="370"/>
      <c r="I18" s="370"/>
      <c r="J18" s="371"/>
    </row>
    <row r="19" spans="1:10" ht="15">
      <c r="A19" s="388"/>
      <c r="B19" s="244" t="s">
        <v>261</v>
      </c>
      <c r="C19" s="369"/>
      <c r="D19" s="370"/>
      <c r="E19" s="370"/>
      <c r="F19" s="370"/>
      <c r="G19" s="370"/>
      <c r="H19" s="370"/>
      <c r="I19" s="370"/>
      <c r="J19" s="371"/>
    </row>
    <row r="20" spans="1:10" ht="9.75" customHeight="1">
      <c r="A20" s="388"/>
      <c r="B20" s="243"/>
      <c r="C20" s="369"/>
      <c r="D20" s="370"/>
      <c r="E20" s="370"/>
      <c r="F20" s="370"/>
      <c r="G20" s="370"/>
      <c r="H20" s="370"/>
      <c r="I20" s="370"/>
      <c r="J20" s="371"/>
    </row>
    <row r="21" spans="1:10" ht="15">
      <c r="A21" s="388"/>
      <c r="B21" s="244" t="s">
        <v>262</v>
      </c>
      <c r="C21" s="369"/>
      <c r="D21" s="370"/>
      <c r="E21" s="370"/>
      <c r="F21" s="370"/>
      <c r="G21" s="370"/>
      <c r="H21" s="370"/>
      <c r="I21" s="370"/>
      <c r="J21" s="371"/>
    </row>
    <row r="22" spans="1:10" ht="8.25" customHeight="1">
      <c r="A22" s="388"/>
      <c r="B22" s="243"/>
      <c r="C22" s="369"/>
      <c r="D22" s="370"/>
      <c r="E22" s="370"/>
      <c r="F22" s="370"/>
      <c r="G22" s="370"/>
      <c r="H22" s="370"/>
      <c r="I22" s="370"/>
      <c r="J22" s="371"/>
    </row>
    <row r="23" spans="1:10" ht="15">
      <c r="A23" s="388"/>
      <c r="B23" s="244" t="s">
        <v>263</v>
      </c>
      <c r="C23" s="369"/>
      <c r="D23" s="372" t="s">
        <v>268</v>
      </c>
      <c r="E23" s="372"/>
      <c r="F23" s="370"/>
      <c r="G23" s="370"/>
      <c r="H23" s="370"/>
      <c r="I23" s="370"/>
      <c r="J23" s="371"/>
    </row>
    <row r="24" spans="1:10" ht="8.25" customHeight="1">
      <c r="A24" s="388"/>
      <c r="B24" s="243"/>
      <c r="C24" s="369"/>
      <c r="D24" s="370"/>
      <c r="E24" s="370"/>
      <c r="F24" s="370"/>
      <c r="G24" s="370"/>
      <c r="H24" s="370"/>
      <c r="I24" s="370"/>
      <c r="J24" s="371"/>
    </row>
    <row r="25" spans="1:10" ht="15">
      <c r="A25" s="388"/>
      <c r="B25" s="244" t="s">
        <v>264</v>
      </c>
      <c r="C25" s="369"/>
      <c r="D25" s="370" t="s">
        <v>270</v>
      </c>
      <c r="E25" s="370"/>
      <c r="F25" s="370"/>
      <c r="G25" s="370"/>
      <c r="H25" s="370"/>
      <c r="I25" s="370"/>
      <c r="J25" s="371"/>
    </row>
    <row r="26" spans="1:10" ht="9.75" customHeight="1">
      <c r="A26" s="388"/>
      <c r="B26" s="244"/>
      <c r="C26" s="369"/>
      <c r="D26" s="370"/>
      <c r="E26" s="370"/>
      <c r="F26" s="370"/>
      <c r="G26" s="370"/>
      <c r="H26" s="370"/>
      <c r="I26" s="370"/>
      <c r="J26" s="371"/>
    </row>
    <row r="27" spans="1:10" ht="15">
      <c r="A27" s="388"/>
      <c r="B27" s="244" t="s">
        <v>274</v>
      </c>
      <c r="C27" s="369"/>
      <c r="D27" s="370" t="s">
        <v>269</v>
      </c>
      <c r="E27" s="370"/>
      <c r="F27" s="370"/>
      <c r="G27" s="370"/>
      <c r="H27" s="370"/>
      <c r="I27" s="370"/>
      <c r="J27" s="371"/>
    </row>
    <row r="28" spans="1:10" ht="9.75" customHeight="1">
      <c r="A28" s="388"/>
      <c r="B28" s="328"/>
      <c r="C28" s="364"/>
      <c r="D28" s="370"/>
      <c r="E28" s="370"/>
      <c r="F28" s="370"/>
      <c r="G28" s="370"/>
      <c r="H28" s="370"/>
      <c r="I28" s="370"/>
      <c r="J28" s="371"/>
    </row>
    <row r="29" spans="1:10" ht="15">
      <c r="A29" s="388"/>
      <c r="B29" s="329" t="s">
        <v>266</v>
      </c>
      <c r="C29" s="364"/>
      <c r="D29" s="370" t="s">
        <v>271</v>
      </c>
      <c r="E29" s="370"/>
      <c r="F29" s="370"/>
      <c r="G29" s="370"/>
      <c r="H29" s="370"/>
      <c r="I29" s="370"/>
      <c r="J29" s="371"/>
    </row>
    <row r="30" spans="1:10" ht="7.5" customHeight="1">
      <c r="A30" s="388"/>
      <c r="B30" s="328"/>
      <c r="C30" s="364"/>
      <c r="D30" s="370"/>
      <c r="E30" s="370"/>
      <c r="F30" s="370"/>
      <c r="G30" s="370"/>
      <c r="H30" s="370"/>
      <c r="I30" s="370"/>
      <c r="J30" s="371"/>
    </row>
    <row r="31" spans="1:10" ht="15">
      <c r="A31" s="388"/>
      <c r="B31" s="327" t="s">
        <v>265</v>
      </c>
      <c r="C31" s="364"/>
      <c r="D31" s="370"/>
      <c r="E31" s="370"/>
      <c r="F31" s="370"/>
      <c r="G31" s="370"/>
      <c r="H31" s="370"/>
      <c r="I31" s="370"/>
      <c r="J31" s="371"/>
    </row>
    <row r="32" spans="1:10" ht="20.25" customHeight="1" thickBot="1">
      <c r="A32" s="388"/>
      <c r="B32" s="330" t="s">
        <v>404</v>
      </c>
      <c r="C32" s="364"/>
      <c r="D32" s="370"/>
      <c r="E32" s="370"/>
      <c r="F32" s="370"/>
      <c r="G32" s="370"/>
      <c r="H32" s="370"/>
      <c r="I32" s="370"/>
      <c r="J32" s="371"/>
    </row>
    <row r="33" spans="1:10" ht="13.5" thickTop="1">
      <c r="A33" s="388"/>
      <c r="B33" s="214"/>
      <c r="C33" s="214"/>
      <c r="D33" s="370"/>
      <c r="E33" s="370"/>
      <c r="F33" s="370"/>
      <c r="G33" s="370"/>
      <c r="H33" s="370"/>
      <c r="I33" s="370"/>
      <c r="J33" s="371"/>
    </row>
    <row r="34" spans="1:10" ht="13.5" thickBot="1">
      <c r="A34" s="389"/>
      <c r="B34" s="373"/>
      <c r="C34" s="373"/>
      <c r="D34" s="374"/>
      <c r="E34" s="374"/>
      <c r="F34" s="374"/>
      <c r="G34" s="374"/>
      <c r="H34" s="374"/>
      <c r="I34" s="374"/>
      <c r="J34" s="375"/>
    </row>
  </sheetData>
  <mergeCells count="4">
    <mergeCell ref="A1:A34"/>
    <mergeCell ref="F3:G3"/>
    <mergeCell ref="F5:G5"/>
    <mergeCell ref="F7:G7"/>
  </mergeCells>
  <hyperlinks>
    <hyperlink ref="B1" location="Annual!A1" display="Annual GDP and GDPR"/>
    <hyperlink ref="B3" location="Quarterly!A1" display="Quarterly GDP and GDPR"/>
    <hyperlink ref="B5" location="Seasonal!A1" display="Seasonally adjusted and annualised quarterly GDP and GDPR"/>
    <hyperlink ref="B7" location="'Growth Rates Annualised'!A1" display="Year-on-Year Growth Rates per Sector"/>
    <hyperlink ref="B9" location="'Growth Rates SeaAdj'!A1" display="Seasonally adjusted and annualised quarterly Rates per Sector"/>
    <hyperlink ref="B11" location="'Prov Contributions'!A1" display="Yearly Provincial Contribution Rates per Sector"/>
    <hyperlink ref="B13" location="'National Contributions'!A1" display="Yearly Provincial Sector as a % of National Sector GDP "/>
    <hyperlink ref="B15" location="'GDP Durban'!A1" display="Ethekwini Municipal Area GDP"/>
    <hyperlink ref="B17" location="'GDP PMB'!A1" display="Msunduzi Municipal Area GDP"/>
    <hyperlink ref="B19" location="'GDP RBay'!A1" display="Mthlatuze Municipal Area GDP"/>
    <hyperlink ref="B21" location="'GDP Port Shepstone'!A1" display="Hibiscus Coast Municipal GDP"/>
    <hyperlink ref="B23" location="'GDP Newcastle'!A1" display="Newcastle Municipal GDP"/>
    <hyperlink ref="B25" location="'Growth Rates'!A1" display="Comparitive Growth Rates"/>
    <hyperlink ref="B29" location="Budget!A1" display="KZN GDP and Provincial Government Budget"/>
    <hyperlink ref="B31" location="SocioEcon!A1" display="KZN Socio Economic Analysis"/>
    <hyperlink ref="B27" location="'Contr Rates'!A1" display="Comparitive Contribution Rates"/>
    <hyperlink ref="F3:G3" location="Summary!A1" display="SUMMARY PAGE"/>
    <hyperlink ref="F5:G5" location="'Sector Summary'!A1" display="SUMMARY PAGE"/>
    <hyperlink ref="F7:G7" location="'Sector Ratings'!A1" display="Sector Ratings"/>
    <hyperlink ref="B32" location="Economics!A1" display="KZN Economic Analysis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02"/>
  <sheetViews>
    <sheetView workbookViewId="0">
      <selection sqref="A1:L1"/>
    </sheetView>
  </sheetViews>
  <sheetFormatPr defaultRowHeight="12.75"/>
  <cols>
    <col min="1" max="1" width="38.875" customWidth="1"/>
  </cols>
  <sheetData>
    <row r="1" spans="1:12" ht="39" customHeight="1" thickBot="1">
      <c r="A1" s="395" t="s">
        <v>336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7"/>
    </row>
    <row r="2" spans="1:12" ht="13.5" thickBot="1"/>
    <row r="3" spans="1:12" ht="23.25" thickBot="1">
      <c r="A3" s="262" t="s">
        <v>206</v>
      </c>
    </row>
    <row r="34" spans="1:1" ht="13.5" thickBot="1"/>
    <row r="35" spans="1:1" ht="23.25" thickBot="1">
      <c r="A35" s="262" t="s">
        <v>205</v>
      </c>
    </row>
    <row r="102" spans="1:8" ht="13.5" thickBot="1"/>
    <row r="103" spans="1:8" ht="23.25" thickBot="1">
      <c r="A103" s="392" t="s">
        <v>204</v>
      </c>
      <c r="B103" s="393"/>
      <c r="C103" s="393"/>
      <c r="D103" s="393"/>
      <c r="E103" s="393"/>
      <c r="F103" s="393"/>
      <c r="G103" s="393"/>
      <c r="H103" s="394"/>
    </row>
    <row r="162" spans="1:1" ht="13.5" thickBot="1"/>
    <row r="163" spans="1:1" ht="23.25" thickBot="1">
      <c r="A163" s="262" t="s">
        <v>232</v>
      </c>
    </row>
    <row r="195" spans="1:1" ht="13.5" thickBot="1"/>
    <row r="196" spans="1:1" ht="23.25" thickBot="1">
      <c r="A196" s="262" t="s">
        <v>233</v>
      </c>
    </row>
    <row r="229" spans="1:1" ht="13.5" thickBot="1"/>
    <row r="230" spans="1:1" ht="23.25" thickBot="1">
      <c r="A230" s="262" t="s">
        <v>238</v>
      </c>
    </row>
    <row r="265" spans="1:2" ht="13.5" thickBot="1"/>
    <row r="266" spans="1:2" ht="23.25" thickBot="1">
      <c r="A266" s="392" t="s">
        <v>243</v>
      </c>
      <c r="B266" s="394"/>
    </row>
    <row r="301" spans="1:2" ht="13.5" thickBot="1"/>
    <row r="302" spans="1:2" ht="23.25" thickBot="1">
      <c r="A302" s="263" t="s">
        <v>251</v>
      </c>
      <c r="B302" s="264"/>
    </row>
  </sheetData>
  <mergeCells count="3">
    <mergeCell ref="A103:H103"/>
    <mergeCell ref="A1:L1"/>
    <mergeCell ref="A266:B26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sqref="A1:L1"/>
    </sheetView>
  </sheetViews>
  <sheetFormatPr defaultRowHeight="12.75"/>
  <cols>
    <col min="1" max="1" width="45.25" customWidth="1"/>
    <col min="9" max="9" width="9.5" customWidth="1"/>
    <col min="10" max="10" width="11" customWidth="1"/>
  </cols>
  <sheetData>
    <row r="1" spans="1:12" ht="48" customHeight="1" thickBot="1">
      <c r="A1" s="395" t="s">
        <v>336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7"/>
    </row>
    <row r="2" spans="1:12" ht="13.5" thickBot="1"/>
    <row r="3" spans="1:12" ht="15">
      <c r="A3" s="269" t="s">
        <v>337</v>
      </c>
    </row>
    <row r="4" spans="1:12" ht="15">
      <c r="A4" s="270" t="s">
        <v>338</v>
      </c>
    </row>
    <row r="5" spans="1:12" ht="15.75" thickBot="1">
      <c r="A5" s="271" t="s">
        <v>339</v>
      </c>
    </row>
  </sheetData>
  <mergeCells count="1">
    <mergeCell ref="A1:L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181"/>
  <sheetViews>
    <sheetView topLeftCell="C1" zoomScale="80" zoomScaleNormal="80" workbookViewId="0">
      <selection activeCell="M7" sqref="M7"/>
    </sheetView>
  </sheetViews>
  <sheetFormatPr defaultRowHeight="12.75"/>
  <cols>
    <col min="1" max="1" width="35" customWidth="1"/>
    <col min="2" max="2" width="10.75" bestFit="1" customWidth="1"/>
    <col min="3" max="3" width="11.5" customWidth="1"/>
    <col min="4" max="14" width="10.75" bestFit="1" customWidth="1"/>
    <col min="15" max="15" width="11.25" customWidth="1"/>
    <col min="16" max="16" width="10.75" bestFit="1" customWidth="1"/>
    <col min="17" max="19" width="11" customWidth="1"/>
    <col min="20" max="20" width="10.25" style="266" customWidth="1"/>
    <col min="21" max="27" width="9" style="266"/>
  </cols>
  <sheetData>
    <row r="1" spans="1:43" s="349" customFormat="1" ht="45" customHeight="1" thickBot="1">
      <c r="A1" s="398" t="s">
        <v>206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400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</row>
    <row r="3" spans="1:43" ht="18">
      <c r="A3" s="401" t="s">
        <v>211</v>
      </c>
      <c r="B3" s="401"/>
      <c r="C3" s="401"/>
      <c r="D3" s="401"/>
      <c r="E3" s="401"/>
      <c r="F3" s="401"/>
      <c r="G3" s="402"/>
      <c r="H3" s="402"/>
      <c r="I3" s="402"/>
      <c r="J3" s="402"/>
      <c r="K3" s="402"/>
      <c r="L3" s="402"/>
      <c r="M3" s="402"/>
      <c r="N3" s="402"/>
      <c r="O3" s="403"/>
      <c r="P3" s="403"/>
    </row>
    <row r="4" spans="1:43">
      <c r="A4" s="1" t="s">
        <v>281</v>
      </c>
      <c r="B4" s="1"/>
      <c r="C4" s="1"/>
      <c r="D4" s="1"/>
      <c r="E4" s="1"/>
      <c r="F4" s="1"/>
      <c r="O4" s="7"/>
    </row>
    <row r="5" spans="1:43" ht="13.5" thickBot="1">
      <c r="A5" s="108" t="s">
        <v>166</v>
      </c>
      <c r="B5" s="101" t="s">
        <v>276</v>
      </c>
      <c r="C5" s="102" t="s">
        <v>277</v>
      </c>
      <c r="D5" s="102" t="s">
        <v>278</v>
      </c>
      <c r="E5" s="102" t="s">
        <v>279</v>
      </c>
      <c r="F5" s="102" t="s">
        <v>280</v>
      </c>
      <c r="G5" s="102" t="s">
        <v>16</v>
      </c>
      <c r="H5" s="102" t="s">
        <v>17</v>
      </c>
      <c r="I5" s="102" t="s">
        <v>18</v>
      </c>
      <c r="J5" s="103">
        <v>2003</v>
      </c>
      <c r="K5" s="103">
        <v>2004</v>
      </c>
      <c r="L5" s="103">
        <v>2005</v>
      </c>
      <c r="M5" s="103">
        <v>2006</v>
      </c>
      <c r="N5" s="103">
        <v>2007</v>
      </c>
      <c r="O5" s="103">
        <v>2008</v>
      </c>
      <c r="P5" s="103">
        <v>2009</v>
      </c>
      <c r="Q5" s="103">
        <v>2010</v>
      </c>
      <c r="R5" s="103">
        <v>2011</v>
      </c>
      <c r="S5" s="103">
        <v>2012</v>
      </c>
      <c r="T5" s="103">
        <v>2013</v>
      </c>
    </row>
    <row r="6" spans="1:43" ht="13.5" thickTop="1">
      <c r="A6" s="2" t="s">
        <v>0</v>
      </c>
      <c r="B6" s="104">
        <f t="shared" ref="B6:G6" si="0">SUM(B7:B8)</f>
        <v>127206.67651450721</v>
      </c>
      <c r="C6" s="98">
        <f t="shared" si="0"/>
        <v>132737.49384805028</v>
      </c>
      <c r="D6" s="98">
        <f t="shared" si="0"/>
        <v>134732.09241364076</v>
      </c>
      <c r="E6" s="98">
        <f t="shared" si="0"/>
        <v>132879.4345058109</v>
      </c>
      <c r="F6" s="98">
        <f t="shared" si="0"/>
        <v>133396.86389940526</v>
      </c>
      <c r="G6" s="98">
        <f t="shared" si="0"/>
        <v>133856.59529121331</v>
      </c>
      <c r="H6" s="98">
        <f t="shared" ref="H6:O6" si="1">SUM(H7:H8)</f>
        <v>132609.54120695521</v>
      </c>
      <c r="I6" s="98">
        <f t="shared" si="1"/>
        <v>135785.80563310927</v>
      </c>
      <c r="J6" s="98">
        <f t="shared" si="1"/>
        <v>139424.82024878415</v>
      </c>
      <c r="K6" s="98">
        <f t="shared" si="1"/>
        <v>141295.25672401552</v>
      </c>
      <c r="L6" s="98">
        <f t="shared" si="1"/>
        <v>143394.09999999998</v>
      </c>
      <c r="M6" s="98">
        <f t="shared" si="1"/>
        <v>140723.25534732643</v>
      </c>
      <c r="N6" s="98">
        <f t="shared" si="1"/>
        <v>141636.68150754264</v>
      </c>
      <c r="O6" s="98">
        <f t="shared" si="1"/>
        <v>141538.98481846321</v>
      </c>
      <c r="P6" s="98">
        <f>SUM(P7:P8)</f>
        <v>135511.49985243069</v>
      </c>
      <c r="Q6" s="98">
        <f>SUM(Q7:Q8)</f>
        <v>140997.07230529841</v>
      </c>
      <c r="R6" s="98">
        <f>SUM(R7:R8)</f>
        <v>141274.07420371156</v>
      </c>
      <c r="S6" s="98">
        <f>SUM(S7:S8)</f>
        <v>138515.76629472798</v>
      </c>
      <c r="T6" s="98">
        <f>SUM(T7:T8)</f>
        <v>142490.08173673946</v>
      </c>
    </row>
    <row r="7" spans="1:43">
      <c r="A7" s="3" t="s">
        <v>1</v>
      </c>
      <c r="B7" s="94">
        <v>26405.123974431965</v>
      </c>
      <c r="C7" s="95">
        <v>32742.353728295635</v>
      </c>
      <c r="D7" s="95">
        <v>33037.034911850293</v>
      </c>
      <c r="E7" s="95">
        <v>31286.072061522224</v>
      </c>
      <c r="F7" s="95">
        <v>33225.808529336602</v>
      </c>
      <c r="G7" s="95">
        <v>34787.421530215419</v>
      </c>
      <c r="H7" s="95">
        <v>33639.436619718312</v>
      </c>
      <c r="I7" s="95">
        <v>35826</v>
      </c>
      <c r="J7" s="95">
        <v>36070</v>
      </c>
      <c r="K7" s="95">
        <v>36380</v>
      </c>
      <c r="L7" s="95">
        <v>37402.199999999997</v>
      </c>
      <c r="M7" s="95">
        <v>35359</v>
      </c>
      <c r="N7" s="95">
        <v>36301</v>
      </c>
      <c r="O7" s="95">
        <v>42143.137674057776</v>
      </c>
      <c r="P7" s="95">
        <v>41454.14046899027</v>
      </c>
      <c r="Q7" s="95">
        <v>41613.902705606117</v>
      </c>
      <c r="R7" s="95">
        <v>41586.852671687717</v>
      </c>
      <c r="S7" s="95">
        <v>42433.445143794837</v>
      </c>
      <c r="T7" s="95">
        <v>43414.14</v>
      </c>
    </row>
    <row r="8" spans="1:43">
      <c r="A8" s="4" t="s">
        <v>2</v>
      </c>
      <c r="B8" s="96">
        <v>100801.55254007525</v>
      </c>
      <c r="C8" s="97">
        <v>99995.140119754651</v>
      </c>
      <c r="D8" s="97">
        <v>101695.05750179048</v>
      </c>
      <c r="E8" s="97">
        <v>101593.36244428869</v>
      </c>
      <c r="F8" s="97">
        <v>100171.05537006866</v>
      </c>
      <c r="G8" s="97">
        <v>99069.173760997903</v>
      </c>
      <c r="H8" s="97">
        <v>98970.1045872369</v>
      </c>
      <c r="I8" s="97">
        <v>99959.805633109267</v>
      </c>
      <c r="J8" s="97">
        <v>103354.82024878413</v>
      </c>
      <c r="K8" s="97">
        <v>104915.25672401552</v>
      </c>
      <c r="L8" s="97">
        <v>105991.9</v>
      </c>
      <c r="M8" s="97">
        <v>105364.25534732643</v>
      </c>
      <c r="N8" s="97">
        <v>105335.68150754264</v>
      </c>
      <c r="O8" s="97">
        <v>99395.847144405445</v>
      </c>
      <c r="P8" s="345">
        <v>94057.359383440416</v>
      </c>
      <c r="Q8" s="345">
        <v>99383.169599692294</v>
      </c>
      <c r="R8" s="95">
        <v>99687.221532023847</v>
      </c>
      <c r="S8" s="95">
        <v>96082.321150933145</v>
      </c>
      <c r="T8" s="95">
        <v>99075.941736739464</v>
      </c>
    </row>
    <row r="9" spans="1:43">
      <c r="A9" s="2" t="s">
        <v>3</v>
      </c>
      <c r="B9" s="99">
        <f t="shared" ref="B9:G9" si="2">SUM(B10:B12)</f>
        <v>248296.20182774015</v>
      </c>
      <c r="C9" s="100">
        <f t="shared" si="2"/>
        <v>254358.80340053869</v>
      </c>
      <c r="D9" s="100">
        <f t="shared" si="2"/>
        <v>261763.45735457528</v>
      </c>
      <c r="E9" s="100">
        <f t="shared" si="2"/>
        <v>257891.65472525253</v>
      </c>
      <c r="F9" s="100">
        <f t="shared" si="2"/>
        <v>258636.32625062697</v>
      </c>
      <c r="G9" s="100">
        <f t="shared" si="2"/>
        <v>277586.35629235965</v>
      </c>
      <c r="H9" s="100">
        <f t="shared" ref="H9:O9" si="3">SUM(H10:H12)</f>
        <v>284951.65795241651</v>
      </c>
      <c r="I9" s="100">
        <f t="shared" si="3"/>
        <v>293957</v>
      </c>
      <c r="J9" s="100">
        <f t="shared" si="3"/>
        <v>293500</v>
      </c>
      <c r="K9" s="100">
        <f t="shared" si="3"/>
        <v>309751</v>
      </c>
      <c r="L9" s="100">
        <f t="shared" si="3"/>
        <v>330669.2</v>
      </c>
      <c r="M9" s="100">
        <f t="shared" si="3"/>
        <v>352503.4</v>
      </c>
      <c r="N9" s="100">
        <f t="shared" si="3"/>
        <v>374511</v>
      </c>
      <c r="O9" s="100">
        <f t="shared" si="3"/>
        <v>385229.58993275557</v>
      </c>
      <c r="P9" s="100">
        <f>SUM(P10:P12)</f>
        <v>358713.00075578969</v>
      </c>
      <c r="Q9" s="100">
        <f>SUM(Q10:Q12)</f>
        <v>374753.7642762874</v>
      </c>
      <c r="R9" s="100">
        <f>SUM(R10:R12)</f>
        <v>384703.65124569368</v>
      </c>
      <c r="S9" s="100">
        <f>SUM(S10:S12)</f>
        <v>391490.9872686023</v>
      </c>
      <c r="T9" s="100">
        <f>SUM(T10:T12)</f>
        <v>395262.28217455134</v>
      </c>
    </row>
    <row r="10" spans="1:43">
      <c r="A10" s="3" t="s">
        <v>4</v>
      </c>
      <c r="B10" s="94">
        <v>196934.25217656806</v>
      </c>
      <c r="C10" s="95">
        <v>199691.33170704002</v>
      </c>
      <c r="D10" s="95">
        <v>205082.99766313008</v>
      </c>
      <c r="E10" s="95">
        <v>204672.83166780381</v>
      </c>
      <c r="F10" s="95">
        <v>205900.86865781064</v>
      </c>
      <c r="G10" s="95">
        <v>222578.83901909328</v>
      </c>
      <c r="H10" s="95">
        <v>229701.36186770428</v>
      </c>
      <c r="I10" s="95">
        <v>236133</v>
      </c>
      <c r="J10" s="95">
        <v>232581</v>
      </c>
      <c r="K10" s="95">
        <v>243965</v>
      </c>
      <c r="L10" s="95">
        <v>259101</v>
      </c>
      <c r="M10" s="95">
        <v>275782.40000000002</v>
      </c>
      <c r="N10" s="95">
        <v>290246</v>
      </c>
      <c r="O10" s="95">
        <v>297888.56982105202</v>
      </c>
      <c r="P10" s="95">
        <v>267722.5710311993</v>
      </c>
      <c r="Q10" s="95">
        <v>282508.70706190192</v>
      </c>
      <c r="R10" s="95">
        <v>291785.13856017054</v>
      </c>
      <c r="S10" s="95">
        <v>297808.30661209219</v>
      </c>
      <c r="T10" s="95">
        <v>300050.42680802627</v>
      </c>
    </row>
    <row r="11" spans="1:43">
      <c r="A11" s="3" t="s">
        <v>5</v>
      </c>
      <c r="B11" s="94">
        <v>25843.259651172088</v>
      </c>
      <c r="C11" s="95">
        <v>28634.331693498676</v>
      </c>
      <c r="D11" s="95">
        <v>29751.070629545124</v>
      </c>
      <c r="E11" s="95">
        <v>27876.753179883781</v>
      </c>
      <c r="F11" s="95">
        <v>27737.369413984361</v>
      </c>
      <c r="G11" s="95">
        <v>28597.227865817873</v>
      </c>
      <c r="H11" s="95">
        <v>27539.130434782612</v>
      </c>
      <c r="I11" s="95">
        <v>28503</v>
      </c>
      <c r="J11" s="95">
        <v>29344</v>
      </c>
      <c r="K11" s="95">
        <v>31335</v>
      </c>
      <c r="L11" s="95">
        <v>33010.199999999997</v>
      </c>
      <c r="M11" s="95">
        <v>34139</v>
      </c>
      <c r="N11" s="95">
        <v>35294</v>
      </c>
      <c r="O11" s="95">
        <v>34195.63617690275</v>
      </c>
      <c r="P11" s="95">
        <v>33711.906071162302</v>
      </c>
      <c r="Q11" s="95">
        <v>34538.154066801246</v>
      </c>
      <c r="R11" s="95">
        <v>35049.055161601253</v>
      </c>
      <c r="S11" s="95">
        <v>34476.318764102121</v>
      </c>
      <c r="T11" s="95">
        <v>34332.855366525044</v>
      </c>
    </row>
    <row r="12" spans="1:43">
      <c r="A12" s="4" t="s">
        <v>6</v>
      </c>
      <c r="B12" s="96">
        <v>25518.69</v>
      </c>
      <c r="C12" s="97">
        <v>26033.14</v>
      </c>
      <c r="D12" s="97">
        <v>26929.389061900089</v>
      </c>
      <c r="E12" s="97">
        <v>25342.069877564951</v>
      </c>
      <c r="F12" s="97">
        <v>24998.08817883196</v>
      </c>
      <c r="G12" s="97">
        <v>26410.289407448487</v>
      </c>
      <c r="H12" s="97">
        <v>27711.165649929611</v>
      </c>
      <c r="I12" s="97">
        <v>29321</v>
      </c>
      <c r="J12" s="97">
        <v>31575</v>
      </c>
      <c r="K12" s="97">
        <v>34451</v>
      </c>
      <c r="L12" s="97">
        <v>38558</v>
      </c>
      <c r="M12" s="97">
        <v>42582</v>
      </c>
      <c r="N12" s="97">
        <v>48971</v>
      </c>
      <c r="O12" s="95">
        <v>53145.383934800833</v>
      </c>
      <c r="P12" s="95">
        <v>57278.523653428099</v>
      </c>
      <c r="Q12" s="95">
        <v>57706.903147584264</v>
      </c>
      <c r="R12" s="95">
        <v>57869.457523921883</v>
      </c>
      <c r="S12" s="95">
        <v>59206.361892407993</v>
      </c>
      <c r="T12" s="95">
        <v>60879</v>
      </c>
    </row>
    <row r="13" spans="1:43">
      <c r="A13" s="2" t="s">
        <v>7</v>
      </c>
      <c r="B13" s="99">
        <f t="shared" ref="B13:G13" si="4">SUM(B14:B18)</f>
        <v>636192.81696967315</v>
      </c>
      <c r="C13" s="100">
        <f t="shared" si="4"/>
        <v>662878.91217439901</v>
      </c>
      <c r="D13" s="100">
        <f t="shared" si="4"/>
        <v>679765.26874417928</v>
      </c>
      <c r="E13" s="100">
        <f t="shared" si="4"/>
        <v>693351.13252868131</v>
      </c>
      <c r="F13" s="100">
        <f t="shared" si="4"/>
        <v>719841.55890706903</v>
      </c>
      <c r="G13" s="100">
        <f t="shared" si="4"/>
        <v>748200.14841731801</v>
      </c>
      <c r="H13" s="100">
        <f t="shared" ref="H13:O13" si="5">SUM(H14:H18)</f>
        <v>774956.39073737175</v>
      </c>
      <c r="I13" s="100">
        <f t="shared" si="5"/>
        <v>806527.2</v>
      </c>
      <c r="J13" s="100">
        <f t="shared" si="5"/>
        <v>840204.2</v>
      </c>
      <c r="K13" s="100">
        <f t="shared" si="5"/>
        <v>879344</v>
      </c>
      <c r="L13" s="100">
        <f t="shared" si="5"/>
        <v>927003</v>
      </c>
      <c r="M13" s="100">
        <f t="shared" si="5"/>
        <v>985265</v>
      </c>
      <c r="N13" s="100">
        <f t="shared" si="5"/>
        <v>1044927.9179674764</v>
      </c>
      <c r="O13" s="100">
        <f t="shared" si="5"/>
        <v>1093033.2040142666</v>
      </c>
      <c r="P13" s="100">
        <f>SUM(P14:P18)</f>
        <v>1103835.287160483</v>
      </c>
      <c r="Q13" s="100">
        <f>SUM(Q14:Q18)</f>
        <v>1131524.4869198115</v>
      </c>
      <c r="R13" s="100">
        <f>SUM(R14:R18)</f>
        <v>1177823.6207592702</v>
      </c>
      <c r="S13" s="100">
        <f>SUM(S14:S18)</f>
        <v>1215345.8336859138</v>
      </c>
      <c r="T13" s="100">
        <f>SUM(T14:T18)</f>
        <v>1240201.3001942839</v>
      </c>
    </row>
    <row r="14" spans="1:43">
      <c r="A14" s="3" t="s">
        <v>8</v>
      </c>
      <c r="B14" s="94">
        <v>131650.34352832573</v>
      </c>
      <c r="C14" s="95">
        <v>136521.40623887378</v>
      </c>
      <c r="D14" s="95">
        <v>137067.49186382929</v>
      </c>
      <c r="E14" s="95">
        <v>138849.36925805904</v>
      </c>
      <c r="F14" s="95">
        <v>149401.92132167154</v>
      </c>
      <c r="G14" s="95">
        <v>161503.47694872692</v>
      </c>
      <c r="H14" s="95">
        <v>164572.04301075271</v>
      </c>
      <c r="I14" s="95">
        <v>168357.2</v>
      </c>
      <c r="J14" s="95">
        <v>172845.2</v>
      </c>
      <c r="K14" s="95">
        <v>182175</v>
      </c>
      <c r="L14" s="95">
        <v>195012.2</v>
      </c>
      <c r="M14" s="95">
        <v>206636</v>
      </c>
      <c r="N14" s="95">
        <v>217607</v>
      </c>
      <c r="O14" s="95">
        <v>219749.13680559825</v>
      </c>
      <c r="P14" s="95">
        <v>217073.9231972642</v>
      </c>
      <c r="Q14" s="95">
        <v>225337.5631872002</v>
      </c>
      <c r="R14" s="95">
        <v>235294.54737295557</v>
      </c>
      <c r="S14" s="95">
        <v>244278.13938066497</v>
      </c>
      <c r="T14" s="95">
        <v>249606.79426400631</v>
      </c>
    </row>
    <row r="15" spans="1:43">
      <c r="A15" s="3" t="s">
        <v>9</v>
      </c>
      <c r="B15" s="94">
        <v>74969.254413377654</v>
      </c>
      <c r="C15" s="95">
        <v>79542.378932593681</v>
      </c>
      <c r="D15" s="95">
        <v>85587.599731470807</v>
      </c>
      <c r="E15" s="95">
        <v>90294.91771670169</v>
      </c>
      <c r="F15" s="95">
        <v>94990.253437970183</v>
      </c>
      <c r="G15" s="95">
        <v>102874.44447332171</v>
      </c>
      <c r="H15" s="95">
        <v>108944.03669724769</v>
      </c>
      <c r="I15" s="95">
        <v>118749</v>
      </c>
      <c r="J15" s="95">
        <v>126287</v>
      </c>
      <c r="K15" s="95">
        <v>132459</v>
      </c>
      <c r="L15" s="95">
        <v>139471.79999999999</v>
      </c>
      <c r="M15" s="95">
        <v>146607</v>
      </c>
      <c r="N15" s="95">
        <v>156289</v>
      </c>
      <c r="O15" s="95">
        <v>162522.04220979134</v>
      </c>
      <c r="P15" s="95">
        <v>163999.44443334406</v>
      </c>
      <c r="Q15" s="95">
        <v>167313.41596567509</v>
      </c>
      <c r="R15" s="95">
        <v>172530.12296247183</v>
      </c>
      <c r="S15" s="95">
        <v>176699.46205854678</v>
      </c>
      <c r="T15" s="95">
        <v>180108.45915209872</v>
      </c>
    </row>
    <row r="16" spans="1:43">
      <c r="A16" s="3" t="s">
        <v>10</v>
      </c>
      <c r="B16" s="94">
        <v>174720</v>
      </c>
      <c r="C16" s="95">
        <v>186575.4</v>
      </c>
      <c r="D16" s="95">
        <v>195355.8</v>
      </c>
      <c r="E16" s="95">
        <v>199853</v>
      </c>
      <c r="F16" s="95">
        <v>210066.6</v>
      </c>
      <c r="G16" s="95">
        <v>216747.2</v>
      </c>
      <c r="H16" s="95">
        <v>234450.1</v>
      </c>
      <c r="I16" s="95">
        <v>249165</v>
      </c>
      <c r="J16" s="95">
        <v>261123</v>
      </c>
      <c r="K16" s="95">
        <v>279544</v>
      </c>
      <c r="L16" s="95">
        <v>295503.5</v>
      </c>
      <c r="M16" s="95">
        <v>324002</v>
      </c>
      <c r="N16" s="95">
        <v>349500.91796747642</v>
      </c>
      <c r="O16" s="95">
        <v>375240.46941947838</v>
      </c>
      <c r="P16" s="95">
        <v>378986.81201969169</v>
      </c>
      <c r="Q16" s="95">
        <v>387188.66019595665</v>
      </c>
      <c r="R16" s="95">
        <v>405479.22061742016</v>
      </c>
      <c r="S16" s="95">
        <v>420473.36632606044</v>
      </c>
      <c r="T16" s="95">
        <v>430597</v>
      </c>
    </row>
    <row r="17" spans="1:25">
      <c r="A17" s="3" t="s">
        <v>11</v>
      </c>
      <c r="B17" s="94">
        <v>63819.642454308931</v>
      </c>
      <c r="C17" s="95">
        <v>65516.096462283123</v>
      </c>
      <c r="D17" s="95">
        <v>65494.661058889127</v>
      </c>
      <c r="E17" s="95">
        <v>69562.67897882963</v>
      </c>
      <c r="F17" s="95">
        <v>72254.153569144997</v>
      </c>
      <c r="G17" s="95">
        <v>75735.382861262638</v>
      </c>
      <c r="H17" s="95">
        <v>77438.116402737054</v>
      </c>
      <c r="I17" s="95">
        <v>79346</v>
      </c>
      <c r="J17" s="95">
        <v>83756</v>
      </c>
      <c r="K17" s="95">
        <v>85219</v>
      </c>
      <c r="L17" s="95">
        <v>88454.7</v>
      </c>
      <c r="M17" s="95">
        <v>93073</v>
      </c>
      <c r="N17" s="95">
        <v>98247</v>
      </c>
      <c r="O17" s="95">
        <v>102105.5555793987</v>
      </c>
      <c r="P17" s="95">
        <v>101233.10751018295</v>
      </c>
      <c r="Q17" s="95">
        <v>101670.84757097937</v>
      </c>
      <c r="R17" s="95">
        <v>104025.72980642274</v>
      </c>
      <c r="S17" s="95">
        <v>106180.86592064169</v>
      </c>
      <c r="T17" s="95">
        <v>108045.0467781789</v>
      </c>
    </row>
    <row r="18" spans="1:25">
      <c r="A18" s="4" t="s">
        <v>12</v>
      </c>
      <c r="B18" s="96">
        <v>191033.5765736608</v>
      </c>
      <c r="C18" s="97">
        <v>194723.63054064836</v>
      </c>
      <c r="D18" s="97">
        <v>196259.71608999014</v>
      </c>
      <c r="E18" s="97">
        <v>194791.1665750909</v>
      </c>
      <c r="F18" s="97">
        <v>193128.63057828223</v>
      </c>
      <c r="G18" s="97">
        <v>191339.64413400672</v>
      </c>
      <c r="H18" s="97">
        <v>189552.09462663427</v>
      </c>
      <c r="I18" s="97">
        <v>190910</v>
      </c>
      <c r="J18" s="97">
        <v>196193</v>
      </c>
      <c r="K18" s="97">
        <v>199947</v>
      </c>
      <c r="L18" s="97">
        <v>208560.8</v>
      </c>
      <c r="M18" s="97">
        <v>214947</v>
      </c>
      <c r="N18" s="97">
        <v>223284</v>
      </c>
      <c r="O18" s="97">
        <v>233416</v>
      </c>
      <c r="P18" s="345">
        <v>242542</v>
      </c>
      <c r="Q18" s="345">
        <v>250014</v>
      </c>
      <c r="R18" s="95">
        <v>260494</v>
      </c>
      <c r="S18" s="95">
        <v>267714</v>
      </c>
      <c r="T18" s="95">
        <v>271844</v>
      </c>
    </row>
    <row r="19" spans="1:25">
      <c r="A19" s="2" t="s">
        <v>13</v>
      </c>
      <c r="B19" s="99">
        <f t="shared" ref="B19:G19" si="6">B13+B9+B6</f>
        <v>1011695.6953119205</v>
      </c>
      <c r="C19" s="100">
        <f t="shared" si="6"/>
        <v>1049975.2094229879</v>
      </c>
      <c r="D19" s="100">
        <f t="shared" si="6"/>
        <v>1076260.8185123953</v>
      </c>
      <c r="E19" s="100">
        <f t="shared" si="6"/>
        <v>1084122.2217597447</v>
      </c>
      <c r="F19" s="100">
        <f t="shared" si="6"/>
        <v>1111874.7490571013</v>
      </c>
      <c r="G19" s="100">
        <f t="shared" si="6"/>
        <v>1159643.1000008909</v>
      </c>
      <c r="H19" s="100">
        <f t="shared" ref="H19:O19" si="7">H13+H9+H6</f>
        <v>1192517.5898967434</v>
      </c>
      <c r="I19" s="100">
        <f t="shared" si="7"/>
        <v>1236270.0056331092</v>
      </c>
      <c r="J19" s="100">
        <f t="shared" si="7"/>
        <v>1273129.0202487842</v>
      </c>
      <c r="K19" s="100">
        <f t="shared" si="7"/>
        <v>1330390.2567240156</v>
      </c>
      <c r="L19" s="100">
        <f t="shared" si="7"/>
        <v>1401066.2999999998</v>
      </c>
      <c r="M19" s="100">
        <f t="shared" si="7"/>
        <v>1478491.6553473263</v>
      </c>
      <c r="N19" s="100">
        <f t="shared" si="7"/>
        <v>1561075.5994750191</v>
      </c>
      <c r="O19" s="100">
        <f t="shared" si="7"/>
        <v>1619801.7787654854</v>
      </c>
      <c r="P19" s="100">
        <f>P13+P9+P6</f>
        <v>1598059.7877687034</v>
      </c>
      <c r="Q19" s="100">
        <f>Q13+Q9+Q6</f>
        <v>1647275.3235013974</v>
      </c>
      <c r="R19" s="100">
        <f>R13+R9+R6</f>
        <v>1703801.3462086753</v>
      </c>
      <c r="S19" s="100">
        <f>S13+S9+S6</f>
        <v>1745352.5872492441</v>
      </c>
      <c r="T19" s="100">
        <f>T13+T9+T6</f>
        <v>1777953.6641055748</v>
      </c>
    </row>
    <row r="20" spans="1:25">
      <c r="A20" s="3" t="s">
        <v>14</v>
      </c>
      <c r="B20" s="94">
        <v>133676.764</v>
      </c>
      <c r="C20" s="95">
        <v>140208.86499999999</v>
      </c>
      <c r="D20" s="95">
        <v>144304.777</v>
      </c>
      <c r="E20" s="95">
        <v>142661.11599999998</v>
      </c>
      <c r="F20" s="95">
        <v>141889.976</v>
      </c>
      <c r="G20" s="95">
        <v>144129.15700000001</v>
      </c>
      <c r="H20" s="95">
        <v>146201.174</v>
      </c>
      <c r="I20" s="95">
        <v>150165</v>
      </c>
      <c r="J20" s="95">
        <v>154193</v>
      </c>
      <c r="K20" s="95">
        <v>161940</v>
      </c>
      <c r="L20" s="95">
        <v>170015</v>
      </c>
      <c r="M20" s="95">
        <v>180630</v>
      </c>
      <c r="N20" s="95">
        <v>190089</v>
      </c>
      <c r="O20" s="95">
        <v>194792</v>
      </c>
      <c r="P20" s="95">
        <v>188839</v>
      </c>
      <c r="Q20" s="95">
        <v>195733</v>
      </c>
      <c r="R20" s="95">
        <v>205542</v>
      </c>
      <c r="S20" s="95">
        <v>211091</v>
      </c>
      <c r="T20" s="95">
        <v>215479</v>
      </c>
    </row>
    <row r="21" spans="1:25" ht="13.5" thickBot="1">
      <c r="A21" s="105" t="s">
        <v>283</v>
      </c>
      <c r="B21" s="106">
        <f t="shared" ref="B21:H21" si="8">B19+B20</f>
        <v>1145372.4593119205</v>
      </c>
      <c r="C21" s="107">
        <f t="shared" si="8"/>
        <v>1190184.0744229879</v>
      </c>
      <c r="D21" s="107">
        <f t="shared" si="8"/>
        <v>1220565.5955123953</v>
      </c>
      <c r="E21" s="107">
        <f t="shared" si="8"/>
        <v>1226783.3377597446</v>
      </c>
      <c r="F21" s="107">
        <f t="shared" si="8"/>
        <v>1253764.7250571013</v>
      </c>
      <c r="G21" s="107">
        <f t="shared" si="8"/>
        <v>1303772.257000891</v>
      </c>
      <c r="H21" s="107">
        <f t="shared" si="8"/>
        <v>1338718.7638967433</v>
      </c>
      <c r="I21" s="107">
        <f t="shared" ref="I21:O21" si="9">I19+I20</f>
        <v>1386435.0056331092</v>
      </c>
      <c r="J21" s="107">
        <f t="shared" si="9"/>
        <v>1427322.0202487842</v>
      </c>
      <c r="K21" s="107">
        <f t="shared" si="9"/>
        <v>1492330.2567240156</v>
      </c>
      <c r="L21" s="107">
        <f t="shared" si="9"/>
        <v>1571081.2999999998</v>
      </c>
      <c r="M21" s="107">
        <f t="shared" si="9"/>
        <v>1659121.6553473263</v>
      </c>
      <c r="N21" s="107">
        <f t="shared" si="9"/>
        <v>1751164.5994750191</v>
      </c>
      <c r="O21" s="107">
        <f t="shared" si="9"/>
        <v>1814593.7787654854</v>
      </c>
      <c r="P21" s="107">
        <f>P19+P20</f>
        <v>1786898.7877687034</v>
      </c>
      <c r="Q21" s="107">
        <f>Q19+Q20</f>
        <v>1843008.3235013974</v>
      </c>
      <c r="R21" s="107">
        <f>R19+R20</f>
        <v>1909343.3462086753</v>
      </c>
      <c r="S21" s="107">
        <f>S19+S20</f>
        <v>1956443.5872492441</v>
      </c>
      <c r="T21" s="107">
        <f>T19+T20</f>
        <v>1993432.6641055748</v>
      </c>
    </row>
    <row r="22" spans="1:25">
      <c r="T22"/>
    </row>
    <row r="23" spans="1:25" ht="18">
      <c r="A23" s="401" t="s">
        <v>168</v>
      </c>
      <c r="B23" s="401"/>
      <c r="C23" s="401"/>
      <c r="D23" s="401"/>
      <c r="E23" s="401"/>
      <c r="F23" s="401"/>
      <c r="G23" s="402"/>
      <c r="H23" s="402"/>
      <c r="I23" s="402"/>
      <c r="J23" s="402"/>
      <c r="K23" s="402"/>
      <c r="L23" s="402"/>
      <c r="M23" s="402"/>
      <c r="N23" s="402"/>
      <c r="O23" s="403"/>
      <c r="P23" s="403"/>
      <c r="T23"/>
      <c r="U23" s="380"/>
      <c r="V23" s="380"/>
      <c r="W23" s="380"/>
      <c r="X23" s="380"/>
      <c r="Y23" s="380"/>
    </row>
    <row r="24" spans="1:25">
      <c r="A24" s="1" t="s">
        <v>281</v>
      </c>
      <c r="B24" s="1"/>
      <c r="C24" s="1"/>
      <c r="D24" s="1"/>
      <c r="E24" s="1"/>
      <c r="F24" s="1"/>
      <c r="T24"/>
      <c r="U24" s="380"/>
      <c r="V24" s="380"/>
      <c r="W24" s="380"/>
      <c r="X24" s="380"/>
      <c r="Y24" s="380"/>
    </row>
    <row r="25" spans="1:25" ht="13.5" thickBot="1">
      <c r="A25" s="108" t="s">
        <v>167</v>
      </c>
      <c r="B25" s="101" t="s">
        <v>276</v>
      </c>
      <c r="C25" s="102" t="s">
        <v>277</v>
      </c>
      <c r="D25" s="102" t="s">
        <v>278</v>
      </c>
      <c r="E25" s="102" t="s">
        <v>279</v>
      </c>
      <c r="F25" s="102" t="s">
        <v>280</v>
      </c>
      <c r="G25" s="102" t="s">
        <v>16</v>
      </c>
      <c r="H25" s="102" t="s">
        <v>17</v>
      </c>
      <c r="I25" s="102" t="s">
        <v>18</v>
      </c>
      <c r="J25" s="109">
        <v>2003</v>
      </c>
      <c r="K25" s="109">
        <v>2004</v>
      </c>
      <c r="L25" s="109">
        <v>2005</v>
      </c>
      <c r="M25" s="109">
        <v>2006</v>
      </c>
      <c r="N25" s="109">
        <v>2007</v>
      </c>
      <c r="O25" s="109">
        <v>2008</v>
      </c>
      <c r="P25" s="109">
        <v>2009</v>
      </c>
      <c r="Q25" s="109">
        <v>2010</v>
      </c>
      <c r="R25" s="109">
        <v>2011</v>
      </c>
      <c r="S25" s="109">
        <v>2012</v>
      </c>
      <c r="T25" s="109">
        <v>2013</v>
      </c>
      <c r="U25" s="380"/>
      <c r="V25" s="380"/>
      <c r="W25" s="380"/>
      <c r="X25" s="380"/>
      <c r="Y25" s="380"/>
    </row>
    <row r="26" spans="1:25" ht="13.5" thickTop="1">
      <c r="A26" s="5" t="s">
        <v>0</v>
      </c>
      <c r="B26" s="104">
        <f>B27+B28</f>
        <v>12647.432690789738</v>
      </c>
      <c r="C26" s="98">
        <f>C27+C28</f>
        <v>15724.196257901493</v>
      </c>
      <c r="D26" s="98">
        <f>D27+D28</f>
        <v>15757.65005584895</v>
      </c>
      <c r="E26" s="98">
        <f>E27+E28</f>
        <v>15760.50050537431</v>
      </c>
      <c r="F26" s="98">
        <f>F27+F28</f>
        <v>13821.738229656938</v>
      </c>
      <c r="G26" s="98">
        <v>14059.846235795376</v>
      </c>
      <c r="H26" s="98">
        <v>13804.539301174533</v>
      </c>
      <c r="I26" s="98">
        <v>13819.257526171819</v>
      </c>
      <c r="J26" s="98">
        <v>14560.827192104181</v>
      </c>
      <c r="K26" s="98">
        <v>14670.860143079954</v>
      </c>
      <c r="L26" s="98">
        <v>13796.857237685834</v>
      </c>
      <c r="M26" s="98">
        <v>13726.996007786871</v>
      </c>
      <c r="N26" s="98">
        <v>14230.049620227461</v>
      </c>
      <c r="O26" s="98">
        <v>15530.125430216969</v>
      </c>
      <c r="P26" s="98">
        <v>15243.987533773859</v>
      </c>
      <c r="Q26" s="98">
        <f>SUM(Q27:Q28)</f>
        <v>15537.976359763383</v>
      </c>
      <c r="R26" s="98">
        <f>SUM(R27:R28)</f>
        <v>15614.796680461162</v>
      </c>
      <c r="S26" s="98">
        <f>SUM(S27:S28)</f>
        <v>15988.264109349408</v>
      </c>
      <c r="T26" s="98">
        <f>SUM(T27:T28)</f>
        <v>16466.298525406601</v>
      </c>
      <c r="U26" s="380"/>
      <c r="V26" s="380"/>
      <c r="W26" s="380"/>
      <c r="X26" s="380"/>
      <c r="Y26" s="380"/>
    </row>
    <row r="27" spans="1:25">
      <c r="A27" s="6" t="s">
        <v>1</v>
      </c>
      <c r="B27" s="112">
        <v>8243.6494022344596</v>
      </c>
      <c r="C27" s="110">
        <v>9590.116781404111</v>
      </c>
      <c r="D27" s="110">
        <v>9555.8073432946512</v>
      </c>
      <c r="E27" s="110">
        <v>9642.4591071061095</v>
      </c>
      <c r="F27" s="110">
        <v>9388.8799999999992</v>
      </c>
      <c r="G27" s="110">
        <v>9741.35</v>
      </c>
      <c r="H27" s="110">
        <v>9706.76</v>
      </c>
      <c r="I27" s="110">
        <v>10158.473736890026</v>
      </c>
      <c r="J27" s="110">
        <v>10684.788381805694</v>
      </c>
      <c r="K27" s="110">
        <v>10716.999574866601</v>
      </c>
      <c r="L27" s="110">
        <v>10091.48945524149</v>
      </c>
      <c r="M27" s="110">
        <v>10144.925046156583</v>
      </c>
      <c r="N27" s="110">
        <v>10559.454136367942</v>
      </c>
      <c r="O27" s="110">
        <v>12095.033267933493</v>
      </c>
      <c r="P27" s="110">
        <v>11746.696897441292</v>
      </c>
      <c r="Q27" s="110">
        <v>12023.46323183735</v>
      </c>
      <c r="R27" s="110">
        <v>12148.829778804851</v>
      </c>
      <c r="S27" s="110">
        <v>12455.255471938175</v>
      </c>
      <c r="T27" s="110">
        <f>SUM(Quarterly!BV27:BY27)</f>
        <v>12882.147414606003</v>
      </c>
      <c r="U27" s="384"/>
      <c r="V27" s="384"/>
      <c r="W27" s="380"/>
      <c r="X27" s="380"/>
      <c r="Y27" s="380"/>
    </row>
    <row r="28" spans="1:25">
      <c r="A28" s="111" t="s">
        <v>2</v>
      </c>
      <c r="B28" s="113">
        <v>4403.7832885552771</v>
      </c>
      <c r="C28" s="114">
        <v>6134.0794764973816</v>
      </c>
      <c r="D28" s="114">
        <v>6201.8427125542985</v>
      </c>
      <c r="E28" s="114">
        <v>6118.0413982682003</v>
      </c>
      <c r="F28" s="114">
        <v>4432.8582296569384</v>
      </c>
      <c r="G28" s="114">
        <v>4318.4962357953755</v>
      </c>
      <c r="H28" s="114">
        <v>4097.7793011745334</v>
      </c>
      <c r="I28" s="114">
        <v>3660.7832119669929</v>
      </c>
      <c r="J28" s="114">
        <v>3875.742132622956</v>
      </c>
      <c r="K28" s="114">
        <v>3953.371872900068</v>
      </c>
      <c r="L28" s="114">
        <v>3705.990304641693</v>
      </c>
      <c r="M28" s="114">
        <v>3582.128291849308</v>
      </c>
      <c r="N28" s="114">
        <v>3671.4069861728367</v>
      </c>
      <c r="O28" s="114">
        <v>3431.4323161375542</v>
      </c>
      <c r="P28" s="346">
        <v>3211.9769235802351</v>
      </c>
      <c r="Q28" s="110">
        <v>3514.5131279260327</v>
      </c>
      <c r="R28" s="110">
        <v>3465.9669016563112</v>
      </c>
      <c r="S28" s="110">
        <v>3533.0086374112325</v>
      </c>
      <c r="T28" s="110">
        <f>SUM(Quarterly!BV28:BY28)</f>
        <v>3584.1511108005975</v>
      </c>
      <c r="U28" s="380"/>
      <c r="V28" s="384"/>
      <c r="W28" s="380"/>
      <c r="X28" s="380"/>
      <c r="Y28" s="380"/>
    </row>
    <row r="29" spans="1:25">
      <c r="A29" s="5" t="s">
        <v>3</v>
      </c>
      <c r="B29" s="247">
        <f>B30+B31+B32</f>
        <v>50300.616086239454</v>
      </c>
      <c r="C29" s="117">
        <f>C30+C31+C32</f>
        <v>51439.132565043583</v>
      </c>
      <c r="D29" s="117">
        <f>D30+D31+D32</f>
        <v>52980.980261700817</v>
      </c>
      <c r="E29" s="117">
        <f>E30+E31+E32</f>
        <v>51933.881267091529</v>
      </c>
      <c r="F29" s="117">
        <f>F30+F31+F32</f>
        <v>52382.089665949636</v>
      </c>
      <c r="G29" s="117">
        <v>56563.711184110529</v>
      </c>
      <c r="H29" s="117">
        <v>59380.106830284436</v>
      </c>
      <c r="I29" s="117">
        <v>59989.936812670661</v>
      </c>
      <c r="J29" s="117">
        <v>59093.765425111211</v>
      </c>
      <c r="K29" s="117">
        <v>62217.716335435005</v>
      </c>
      <c r="L29" s="117">
        <v>66446.721657225964</v>
      </c>
      <c r="M29" s="117">
        <v>70391.387770993606</v>
      </c>
      <c r="N29" s="117">
        <v>74568.824311902485</v>
      </c>
      <c r="O29" s="117">
        <v>76572.69196653871</v>
      </c>
      <c r="P29" s="117">
        <v>70148.665108742221</v>
      </c>
      <c r="Q29" s="347">
        <f>SUM(Q30:Q32)</f>
        <v>74297.620481075763</v>
      </c>
      <c r="R29" s="347">
        <f>SUM(R30:R32)</f>
        <v>76373.064825714755</v>
      </c>
      <c r="S29" s="347">
        <f>SUM(S30:S32)</f>
        <v>77717.658399247099</v>
      </c>
      <c r="T29" s="347">
        <f>SUM(T30:T32)</f>
        <v>78410.04226368152</v>
      </c>
      <c r="U29" s="380"/>
      <c r="V29" s="384"/>
      <c r="W29" s="380"/>
      <c r="X29" s="380"/>
      <c r="Y29" s="380"/>
    </row>
    <row r="30" spans="1:25">
      <c r="A30" s="6" t="s">
        <v>4</v>
      </c>
      <c r="B30" s="112">
        <v>41206.6</v>
      </c>
      <c r="C30" s="110">
        <v>41926.885809246654</v>
      </c>
      <c r="D30" s="110">
        <v>43038.359635066925</v>
      </c>
      <c r="E30" s="110">
        <v>42844.617012718329</v>
      </c>
      <c r="F30" s="110">
        <v>43531.508854747852</v>
      </c>
      <c r="G30" s="110">
        <v>47270.843381678307</v>
      </c>
      <c r="H30" s="110">
        <v>48677.683093709318</v>
      </c>
      <c r="I30" s="110">
        <v>49960.634454919782</v>
      </c>
      <c r="J30" s="110">
        <v>49502.96770549292</v>
      </c>
      <c r="K30" s="110">
        <v>51829.694324455864</v>
      </c>
      <c r="L30" s="110">
        <v>55026.960073910188</v>
      </c>
      <c r="M30" s="110">
        <v>58348.480146620888</v>
      </c>
      <c r="N30" s="110">
        <v>61440.730572122004</v>
      </c>
      <c r="O30" s="110">
        <v>63013.371764523647</v>
      </c>
      <c r="P30" s="110">
        <v>56740.802519379853</v>
      </c>
      <c r="Q30" s="110">
        <v>60192.77643733265</v>
      </c>
      <c r="R30" s="110">
        <v>62165.175831741479</v>
      </c>
      <c r="S30" s="110">
        <v>63485.735613441182</v>
      </c>
      <c r="T30" s="110">
        <f>SUM(Quarterly!BV30:BY30)</f>
        <v>63959.501834630988</v>
      </c>
      <c r="U30" s="380"/>
      <c r="V30" s="384"/>
      <c r="W30" s="380"/>
      <c r="X30" s="380"/>
      <c r="Y30" s="380"/>
    </row>
    <row r="31" spans="1:25">
      <c r="A31" s="6" t="s">
        <v>5</v>
      </c>
      <c r="B31" s="112">
        <v>4495.2862612351291</v>
      </c>
      <c r="C31" s="110">
        <v>4993.0969422070693</v>
      </c>
      <c r="D31" s="110">
        <v>5165.0171139168951</v>
      </c>
      <c r="E31" s="110">
        <v>4849.3540512063009</v>
      </c>
      <c r="F31" s="110">
        <v>4852.2024739817434</v>
      </c>
      <c r="G31" s="110">
        <v>5136.9116075708807</v>
      </c>
      <c r="H31" s="110">
        <v>5128.9256876195859</v>
      </c>
      <c r="I31" s="110">
        <v>5626.6255612253481</v>
      </c>
      <c r="J31" s="110">
        <v>4979.0050962239948</v>
      </c>
      <c r="K31" s="110">
        <v>5343.3901338104824</v>
      </c>
      <c r="L31" s="110">
        <v>5691.2969405050317</v>
      </c>
      <c r="M31" s="110">
        <v>5879.2136289669015</v>
      </c>
      <c r="N31" s="110">
        <v>6075.1904474382081</v>
      </c>
      <c r="O31" s="110">
        <v>5830.7275122695737</v>
      </c>
      <c r="P31" s="110">
        <v>5602.3111202241871</v>
      </c>
      <c r="Q31" s="110">
        <v>5669.0460799582979</v>
      </c>
      <c r="R31" s="110">
        <v>5736.8006724590723</v>
      </c>
      <c r="S31" s="110">
        <v>5547.3042862954298</v>
      </c>
      <c r="T31" s="110">
        <f>SUM(Quarterly!BV31:BY31)</f>
        <v>5508.4458049370123</v>
      </c>
      <c r="U31" s="380"/>
      <c r="V31" s="384"/>
      <c r="W31" s="380"/>
      <c r="X31" s="380"/>
      <c r="Y31" s="380"/>
    </row>
    <row r="32" spans="1:25">
      <c r="A32" s="111" t="s">
        <v>6</v>
      </c>
      <c r="B32" s="113">
        <v>4598.7298250043259</v>
      </c>
      <c r="C32" s="114">
        <v>4519.1498135898564</v>
      </c>
      <c r="D32" s="114">
        <v>4777.603512716998</v>
      </c>
      <c r="E32" s="114">
        <v>4239.9102031668936</v>
      </c>
      <c r="F32" s="114">
        <v>3998.3783372200451</v>
      </c>
      <c r="G32" s="114">
        <v>4155.9561948613427</v>
      </c>
      <c r="H32" s="114">
        <v>5573.4980489555273</v>
      </c>
      <c r="I32" s="114">
        <v>4402.6767965255349</v>
      </c>
      <c r="J32" s="114">
        <v>4611.7926233942999</v>
      </c>
      <c r="K32" s="114">
        <v>5044.6318771686238</v>
      </c>
      <c r="L32" s="114">
        <v>5728.5483866684935</v>
      </c>
      <c r="M32" s="114">
        <v>6163.7935260781633</v>
      </c>
      <c r="N32" s="114">
        <v>7052.9032923422856</v>
      </c>
      <c r="O32" s="114">
        <v>7656.3255332709705</v>
      </c>
      <c r="P32" s="346">
        <v>8298.929192057094</v>
      </c>
      <c r="Q32" s="110">
        <v>8435.7979637848148</v>
      </c>
      <c r="R32" s="110">
        <v>8471.0883215142094</v>
      </c>
      <c r="S32" s="110">
        <v>8684.6184995104886</v>
      </c>
      <c r="T32" s="110">
        <f>SUM(Quarterly!BV32:BY32)</f>
        <v>8942.0946241135225</v>
      </c>
      <c r="U32" s="380"/>
      <c r="V32" s="384"/>
      <c r="W32" s="380"/>
      <c r="X32" s="380"/>
      <c r="Y32" s="380"/>
    </row>
    <row r="33" spans="1:27">
      <c r="A33" s="5" t="s">
        <v>7</v>
      </c>
      <c r="B33" s="247">
        <f>SUM(B34:B38)</f>
        <v>99772.901372234744</v>
      </c>
      <c r="C33" s="117">
        <f>SUM(C34:C38)</f>
        <v>103962.56048740083</v>
      </c>
      <c r="D33" s="117">
        <f>SUM(D34:D38)</f>
        <v>105537.09421478373</v>
      </c>
      <c r="E33" s="117">
        <f>SUM(E34:E38)</f>
        <v>108436.23165115892</v>
      </c>
      <c r="F33" s="117">
        <f>SUM(F34:F38)</f>
        <v>111911.6665602357</v>
      </c>
      <c r="G33" s="117">
        <v>116046.82338651724</v>
      </c>
      <c r="H33" s="117">
        <v>121244.05160104498</v>
      </c>
      <c r="I33" s="118">
        <v>126098.79705380846</v>
      </c>
      <c r="J33" s="118">
        <v>132006.65852690375</v>
      </c>
      <c r="K33" s="118">
        <v>137951.46677061383</v>
      </c>
      <c r="L33" s="118">
        <v>147296.36408168479</v>
      </c>
      <c r="M33" s="118">
        <v>155772.09178486199</v>
      </c>
      <c r="N33" s="118">
        <v>165536.18357767316</v>
      </c>
      <c r="O33" s="117">
        <v>172740.71039873056</v>
      </c>
      <c r="P33" s="117">
        <v>174996.2869805145</v>
      </c>
      <c r="Q33" s="347">
        <f>SUM(Q34:Q38)</f>
        <v>180722.53439948786</v>
      </c>
      <c r="R33" s="347">
        <f>SUM(R34:R38)</f>
        <v>188235.78220559342</v>
      </c>
      <c r="S33" s="347">
        <f>SUM(S34:S38)</f>
        <v>193978.65229787369</v>
      </c>
      <c r="T33" s="347">
        <f>SUM(T34:T38)</f>
        <v>198221.68199711363</v>
      </c>
      <c r="U33" s="380"/>
      <c r="V33" s="384"/>
      <c r="W33" s="380"/>
      <c r="X33" s="380"/>
      <c r="Y33" s="380"/>
    </row>
    <row r="34" spans="1:27">
      <c r="A34" s="3" t="s">
        <v>8</v>
      </c>
      <c r="B34" s="112">
        <v>21355.842597507559</v>
      </c>
      <c r="C34" s="110">
        <v>21835.712761237923</v>
      </c>
      <c r="D34" s="110">
        <v>21956.732131901921</v>
      </c>
      <c r="E34" s="110">
        <v>22150.1581602318</v>
      </c>
      <c r="F34" s="110">
        <v>23734.656015632896</v>
      </c>
      <c r="G34" s="110">
        <v>25691.398746944666</v>
      </c>
      <c r="H34" s="110">
        <v>27698.396799897833</v>
      </c>
      <c r="I34" s="110">
        <v>28376.888074031573</v>
      </c>
      <c r="J34" s="110">
        <v>29361.145596340946</v>
      </c>
      <c r="K34" s="110">
        <v>30957.430329602554</v>
      </c>
      <c r="L34" s="110">
        <v>32959.681254221134</v>
      </c>
      <c r="M34" s="110">
        <v>35070.016314586202</v>
      </c>
      <c r="N34" s="110">
        <v>37031.186475408431</v>
      </c>
      <c r="O34" s="110">
        <v>37423.088263700993</v>
      </c>
      <c r="P34" s="110">
        <v>37446.863639161369</v>
      </c>
      <c r="Q34" s="110">
        <v>39008.245290928266</v>
      </c>
      <c r="R34" s="110">
        <v>40992.22869172741</v>
      </c>
      <c r="S34" s="110">
        <v>42524.565796662617</v>
      </c>
      <c r="T34" s="110">
        <f>SUM(Quarterly!BV34:BY34)</f>
        <v>43728.353859961615</v>
      </c>
      <c r="U34" s="380"/>
      <c r="V34" s="384"/>
      <c r="W34" s="380"/>
      <c r="X34" s="380"/>
      <c r="Y34" s="380"/>
    </row>
    <row r="35" spans="1:27">
      <c r="A35" s="3" t="s">
        <v>9</v>
      </c>
      <c r="B35" s="112">
        <v>17467.023398795438</v>
      </c>
      <c r="C35" s="110">
        <v>18247.309660732062</v>
      </c>
      <c r="D35" s="110">
        <v>19261.83887115393</v>
      </c>
      <c r="E35" s="110">
        <v>20134.139598731479</v>
      </c>
      <c r="F35" s="110">
        <v>20849.208160491682</v>
      </c>
      <c r="G35" s="110">
        <v>22194.910225900938</v>
      </c>
      <c r="H35" s="110">
        <v>23152.353905818603</v>
      </c>
      <c r="I35" s="110">
        <v>25318.289439162167</v>
      </c>
      <c r="J35" s="110">
        <v>27088.302520381265</v>
      </c>
      <c r="K35" s="110">
        <v>28301.561783112622</v>
      </c>
      <c r="L35" s="110">
        <v>29975.763066911662</v>
      </c>
      <c r="M35" s="110">
        <v>31534.570320364182</v>
      </c>
      <c r="N35" s="110">
        <v>33783.704106976635</v>
      </c>
      <c r="O35" s="110">
        <v>35198.833482038564</v>
      </c>
      <c r="P35" s="110">
        <v>35759.306417040476</v>
      </c>
      <c r="Q35" s="110">
        <v>36715.878891975372</v>
      </c>
      <c r="R35" s="110">
        <v>37781.343017456398</v>
      </c>
      <c r="S35" s="110">
        <v>38749.746431957879</v>
      </c>
      <c r="T35" s="110">
        <f>SUM(Quarterly!BV35:BY35)</f>
        <v>39414.537772472562</v>
      </c>
      <c r="U35" s="380"/>
      <c r="V35" s="384"/>
      <c r="W35" s="380"/>
      <c r="X35" s="380"/>
      <c r="Y35" s="380"/>
    </row>
    <row r="36" spans="1:27">
      <c r="A36" s="3" t="s">
        <v>10</v>
      </c>
      <c r="B36" s="112">
        <v>24397.324212408777</v>
      </c>
      <c r="C36" s="110">
        <v>26067.428839233598</v>
      </c>
      <c r="D36" s="110">
        <v>27172.627623570668</v>
      </c>
      <c r="E36" s="110">
        <v>27832.072652639665</v>
      </c>
      <c r="F36" s="110">
        <v>29524.633719010606</v>
      </c>
      <c r="G36" s="110">
        <v>29876.959663353409</v>
      </c>
      <c r="H36" s="110">
        <v>31579.968582335245</v>
      </c>
      <c r="I36" s="110">
        <v>33176.27380430809</v>
      </c>
      <c r="J36" s="110">
        <v>35030.69232816506</v>
      </c>
      <c r="K36" s="110">
        <v>37561.686885942479</v>
      </c>
      <c r="L36" s="110">
        <v>41534.132334018468</v>
      </c>
      <c r="M36" s="110">
        <v>44730.090496530305</v>
      </c>
      <c r="N36" s="110">
        <v>48201.168621161181</v>
      </c>
      <c r="O36" s="110">
        <v>51760.698989208075</v>
      </c>
      <c r="P36" s="110">
        <v>52599.709019041358</v>
      </c>
      <c r="Q36" s="110">
        <v>53885.893391286525</v>
      </c>
      <c r="R36" s="110">
        <v>56479.573422559624</v>
      </c>
      <c r="S36" s="110">
        <v>58367.887210296612</v>
      </c>
      <c r="T36" s="110">
        <f>SUM(Quarterly!BV36:BY36)</f>
        <v>59824.321396945263</v>
      </c>
      <c r="U36" s="380"/>
      <c r="V36" s="384"/>
      <c r="W36" s="380"/>
      <c r="X36" s="380"/>
      <c r="Y36" s="380"/>
    </row>
    <row r="37" spans="1:27">
      <c r="A37" s="3" t="s">
        <v>11</v>
      </c>
      <c r="B37" s="112">
        <v>10462.035474204658</v>
      </c>
      <c r="C37" s="110">
        <v>10733.983078561589</v>
      </c>
      <c r="D37" s="110">
        <v>10723.030582270234</v>
      </c>
      <c r="E37" s="110">
        <v>11390.05305633134</v>
      </c>
      <c r="F37" s="110">
        <v>11811.006273416384</v>
      </c>
      <c r="G37" s="110">
        <v>12366.987663347045</v>
      </c>
      <c r="H37" s="110">
        <v>12655.307841244508</v>
      </c>
      <c r="I37" s="110">
        <v>12960.485434821978</v>
      </c>
      <c r="J37" s="110">
        <v>13682.568170264032</v>
      </c>
      <c r="K37" s="110">
        <v>13924.515020255227</v>
      </c>
      <c r="L37" s="110">
        <v>14394.744132766913</v>
      </c>
      <c r="M37" s="110">
        <v>15158.467251235801</v>
      </c>
      <c r="N37" s="110">
        <v>15993.347528718681</v>
      </c>
      <c r="O37" s="110">
        <v>16596.257881568319</v>
      </c>
      <c r="P37" s="110">
        <v>16592.493396535447</v>
      </c>
      <c r="Q37" s="110">
        <v>16703.006235239285</v>
      </c>
      <c r="R37" s="110">
        <v>17129.719924783265</v>
      </c>
      <c r="S37" s="110">
        <v>17516.426802312944</v>
      </c>
      <c r="T37" s="110">
        <f>SUM(Quarterly!BV37:BY37)</f>
        <v>17865.33766349106</v>
      </c>
      <c r="U37" s="380"/>
      <c r="V37" s="384"/>
      <c r="W37" s="380"/>
      <c r="X37" s="380"/>
      <c r="Y37" s="380"/>
    </row>
    <row r="38" spans="1:27">
      <c r="A38" s="111" t="s">
        <v>12</v>
      </c>
      <c r="B38" s="113">
        <v>26090.675689318326</v>
      </c>
      <c r="C38" s="114">
        <v>27078.126147635652</v>
      </c>
      <c r="D38" s="114">
        <v>26422.865005886979</v>
      </c>
      <c r="E38" s="114">
        <v>26929.808183224632</v>
      </c>
      <c r="F38" s="114">
        <v>25992.16239168412</v>
      </c>
      <c r="G38" s="114">
        <v>25916.567086971183</v>
      </c>
      <c r="H38" s="114">
        <v>26158.024471748799</v>
      </c>
      <c r="I38" s="114">
        <v>26266.860896024351</v>
      </c>
      <c r="J38" s="114">
        <v>26844.073878840729</v>
      </c>
      <c r="K38" s="114">
        <v>27206.323437130406</v>
      </c>
      <c r="L38" s="114">
        <v>28431.676761648989</v>
      </c>
      <c r="M38" s="114">
        <v>29278.956173279425</v>
      </c>
      <c r="N38" s="114">
        <v>30470.366597730073</v>
      </c>
      <c r="O38" s="114">
        <v>31970.943502904876</v>
      </c>
      <c r="P38" s="346">
        <v>33217.018832085785</v>
      </c>
      <c r="Q38" s="110">
        <v>34409.510590058431</v>
      </c>
      <c r="R38" s="110">
        <v>35852.917149066714</v>
      </c>
      <c r="S38" s="110">
        <v>36820.026056643648</v>
      </c>
      <c r="T38" s="110">
        <f>SUM(Quarterly!BV38:BY38)</f>
        <v>37389.13130424315</v>
      </c>
      <c r="U38" s="380"/>
      <c r="V38" s="384"/>
      <c r="W38" s="380"/>
      <c r="X38" s="380"/>
      <c r="Y38" s="380"/>
    </row>
    <row r="39" spans="1:27">
      <c r="A39" s="5" t="s">
        <v>13</v>
      </c>
      <c r="B39" s="247">
        <f>B33+B29+B26</f>
        <v>162720.95014926395</v>
      </c>
      <c r="C39" s="117">
        <f>C33+C29+C26</f>
        <v>171125.8893103459</v>
      </c>
      <c r="D39" s="117">
        <f>D33+D29+D26</f>
        <v>174275.72453233349</v>
      </c>
      <c r="E39" s="117">
        <f>E33+E29+E26</f>
        <v>176130.61342362475</v>
      </c>
      <c r="F39" s="117">
        <f>F33+F29+F26</f>
        <v>178115.49445584227</v>
      </c>
      <c r="G39" s="117">
        <v>186451.1743074629</v>
      </c>
      <c r="H39" s="117">
        <v>194342.90951371897</v>
      </c>
      <c r="I39" s="117">
        <v>199907.99139265093</v>
      </c>
      <c r="J39" s="117">
        <v>205661.25114411913</v>
      </c>
      <c r="K39" s="117">
        <v>214840.04324912879</v>
      </c>
      <c r="L39" s="119">
        <v>227539.94297659659</v>
      </c>
      <c r="M39" s="119">
        <v>239890.47556364245</v>
      </c>
      <c r="N39" s="119">
        <v>254335.0575098031</v>
      </c>
      <c r="O39" s="117">
        <v>264843.52779548627</v>
      </c>
      <c r="P39" s="117">
        <v>260388.9396230306</v>
      </c>
      <c r="Q39" s="100">
        <f>Q26+Q29+Q33</f>
        <v>270558.13124032703</v>
      </c>
      <c r="R39" s="100">
        <f>R26+R29+R33</f>
        <v>280223.64371176937</v>
      </c>
      <c r="S39" s="100">
        <f>S26+S29+S33</f>
        <v>287684.57480647019</v>
      </c>
      <c r="T39" s="100">
        <f>T26+T29+T33</f>
        <v>293098.02278620173</v>
      </c>
      <c r="U39" s="380"/>
      <c r="V39" s="384"/>
      <c r="W39" s="380"/>
      <c r="X39" s="380"/>
      <c r="Y39" s="380"/>
    </row>
    <row r="40" spans="1:27">
      <c r="A40" s="6" t="s">
        <v>14</v>
      </c>
      <c r="B40" s="112">
        <v>21530.728190047059</v>
      </c>
      <c r="C40" s="110">
        <v>22661.717302380126</v>
      </c>
      <c r="D40" s="110">
        <v>23287.011875952408</v>
      </c>
      <c r="E40" s="110">
        <v>23156.564729097143</v>
      </c>
      <c r="F40" s="110">
        <v>22702.228021073031</v>
      </c>
      <c r="G40" s="110">
        <v>23280.71244482683</v>
      </c>
      <c r="H40" s="110">
        <v>24730.666105924225</v>
      </c>
      <c r="I40" s="110">
        <v>24615.021764412217</v>
      </c>
      <c r="J40" s="110">
        <v>25021.001253096507</v>
      </c>
      <c r="K40" s="110">
        <v>26215.374187743288</v>
      </c>
      <c r="L40" s="110">
        <v>27399.009026210406</v>
      </c>
      <c r="M40" s="110">
        <v>29154.713358999092</v>
      </c>
      <c r="N40" s="110">
        <v>30569.55299970811</v>
      </c>
      <c r="O40" s="110">
        <v>31373.998994944122</v>
      </c>
      <c r="P40" s="110">
        <v>30500.474801585788</v>
      </c>
      <c r="Q40" s="110">
        <v>32059.683321219647</v>
      </c>
      <c r="R40" s="110">
        <v>33164.225182276517</v>
      </c>
      <c r="S40" s="110">
        <v>34497.678859079686</v>
      </c>
      <c r="T40" s="110">
        <f>SUM(Quarterly!BV40:BY40)</f>
        <v>34688.413080457933</v>
      </c>
      <c r="U40" s="380"/>
      <c r="V40" s="384"/>
      <c r="W40" s="380"/>
      <c r="X40" s="380"/>
      <c r="Y40" s="380"/>
    </row>
    <row r="41" spans="1:27" ht="13.5" thickBot="1">
      <c r="A41" s="172" t="s">
        <v>282</v>
      </c>
      <c r="B41" s="246">
        <f>B40+B39</f>
        <v>184251.67833931101</v>
      </c>
      <c r="C41" s="129">
        <f>C40+C39</f>
        <v>193787.60661272603</v>
      </c>
      <c r="D41" s="129">
        <f>D40+D39</f>
        <v>197562.73640828591</v>
      </c>
      <c r="E41" s="129">
        <f>E40+E39</f>
        <v>199287.1781527219</v>
      </c>
      <c r="F41" s="129">
        <f>F40+F39</f>
        <v>200817.72247691531</v>
      </c>
      <c r="G41" s="129">
        <v>209731.88675228972</v>
      </c>
      <c r="H41" s="129">
        <v>219073.5756196432</v>
      </c>
      <c r="I41" s="129">
        <v>224523.01315706316</v>
      </c>
      <c r="J41" s="129">
        <v>230682.27212772041</v>
      </c>
      <c r="K41" s="129">
        <v>241055.46910139074</v>
      </c>
      <c r="L41" s="120">
        <v>254938.58120270999</v>
      </c>
      <c r="M41" s="120">
        <v>269045.16875613423</v>
      </c>
      <c r="N41" s="120">
        <v>284904.86611712148</v>
      </c>
      <c r="O41" s="129">
        <v>296224.50496137573</v>
      </c>
      <c r="P41" s="129">
        <v>290947.35027017794</v>
      </c>
      <c r="Q41" s="107">
        <f>Q39+Q40</f>
        <v>302617.81456154666</v>
      </c>
      <c r="R41" s="107">
        <f>R39+R40</f>
        <v>313387.86889404588</v>
      </c>
      <c r="S41" s="107">
        <f>S39+S40</f>
        <v>322182.25366554986</v>
      </c>
      <c r="T41" s="107">
        <f>T39+T40</f>
        <v>327786.43586665968</v>
      </c>
      <c r="U41" s="380"/>
      <c r="V41" s="384"/>
      <c r="W41" s="380"/>
      <c r="X41" s="380"/>
      <c r="Y41" s="380"/>
    </row>
    <row r="42" spans="1:27">
      <c r="T42"/>
      <c r="U42" s="380"/>
      <c r="V42" s="380"/>
      <c r="W42" s="380"/>
      <c r="X42" s="380"/>
      <c r="Y42" s="380"/>
    </row>
    <row r="43" spans="1:27" ht="18">
      <c r="A43" s="401" t="s">
        <v>169</v>
      </c>
      <c r="B43" s="401"/>
      <c r="C43" s="401"/>
      <c r="D43" s="401"/>
      <c r="E43" s="401"/>
      <c r="F43" s="401"/>
      <c r="G43" s="402"/>
      <c r="H43" s="402"/>
      <c r="I43" s="402"/>
      <c r="J43" s="402"/>
      <c r="K43" s="402"/>
      <c r="L43" s="402"/>
      <c r="M43" s="402"/>
      <c r="N43" s="402"/>
      <c r="O43" s="403"/>
      <c r="P43" s="403"/>
      <c r="T43"/>
      <c r="U43" s="380"/>
      <c r="V43" s="380"/>
      <c r="W43" s="380"/>
      <c r="X43" s="380"/>
      <c r="Y43" s="380"/>
      <c r="Z43" s="380"/>
    </row>
    <row r="44" spans="1:27" ht="13.5" thickBot="1">
      <c r="A44" s="130" t="s">
        <v>170</v>
      </c>
      <c r="B44" s="101" t="s">
        <v>276</v>
      </c>
      <c r="C44" s="102" t="s">
        <v>277</v>
      </c>
      <c r="D44" s="102" t="s">
        <v>278</v>
      </c>
      <c r="E44" s="102" t="s">
        <v>279</v>
      </c>
      <c r="F44" s="102" t="s">
        <v>280</v>
      </c>
      <c r="G44" s="102" t="s">
        <v>16</v>
      </c>
      <c r="H44" s="102" t="s">
        <v>17</v>
      </c>
      <c r="I44" s="102" t="s">
        <v>18</v>
      </c>
      <c r="J44" s="109">
        <v>2003</v>
      </c>
      <c r="K44" s="109">
        <v>2004</v>
      </c>
      <c r="L44" s="109">
        <v>2005</v>
      </c>
      <c r="M44" s="109">
        <v>2006</v>
      </c>
      <c r="N44" s="109">
        <v>2007</v>
      </c>
      <c r="O44" s="109">
        <v>2008</v>
      </c>
      <c r="P44" s="109">
        <v>2009</v>
      </c>
      <c r="Q44" s="109">
        <v>2010</v>
      </c>
      <c r="R44" s="109">
        <v>2011</v>
      </c>
      <c r="S44" s="109">
        <v>2012</v>
      </c>
      <c r="T44" s="109">
        <v>2013</v>
      </c>
      <c r="U44" s="289"/>
      <c r="V44" s="289"/>
      <c r="W44" s="289"/>
      <c r="X44" s="289"/>
      <c r="Y44" s="380"/>
      <c r="Z44" s="380"/>
      <c r="AA44" s="380"/>
    </row>
    <row r="45" spans="1:27" ht="13.5" thickTop="1">
      <c r="A45" s="131" t="s">
        <v>0</v>
      </c>
      <c r="B45" s="140">
        <f t="shared" ref="B45:F54" si="10">B26/B6*100</f>
        <v>9.9424283672306846</v>
      </c>
      <c r="C45" s="141">
        <f t="shared" si="10"/>
        <v>11.846084932040066</v>
      </c>
      <c r="D45" s="141">
        <f t="shared" si="10"/>
        <v>11.695543187640416</v>
      </c>
      <c r="E45" s="141">
        <f t="shared" si="10"/>
        <v>11.86075224054712</v>
      </c>
      <c r="F45" s="141">
        <f t="shared" si="10"/>
        <v>10.36136669605661</v>
      </c>
      <c r="G45" s="141">
        <f t="shared" ref="G45:O54" si="11">G26/G6*100</f>
        <v>10.503663420698331</v>
      </c>
      <c r="H45" s="141">
        <f t="shared" si="11"/>
        <v>10.409914079734786</v>
      </c>
      <c r="I45" s="141">
        <f t="shared" si="11"/>
        <v>10.177247512535439</v>
      </c>
      <c r="J45" s="141">
        <f t="shared" si="11"/>
        <v>10.443497195207005</v>
      </c>
      <c r="K45" s="141">
        <f t="shared" si="11"/>
        <v>10.383122889776661</v>
      </c>
      <c r="L45" s="141">
        <f t="shared" si="11"/>
        <v>9.6216352260559095</v>
      </c>
      <c r="M45" s="141">
        <f t="shared" si="11"/>
        <v>9.7546037958733649</v>
      </c>
      <c r="N45" s="141">
        <f t="shared" si="11"/>
        <v>10.046867427820711</v>
      </c>
      <c r="O45" s="141">
        <f t="shared" si="11"/>
        <v>10.972330662209981</v>
      </c>
      <c r="P45" s="141">
        <f t="shared" ref="P45:Q48" si="12">P26/P6*100</f>
        <v>11.24922058303115</v>
      </c>
      <c r="Q45" s="141">
        <f t="shared" si="12"/>
        <v>11.020070208351052</v>
      </c>
      <c r="R45" s="141">
        <f t="shared" ref="R45" si="13">R26/R6*100</f>
        <v>11.052839502558163</v>
      </c>
      <c r="S45" s="141">
        <f>R45+($R45-$Q45)</f>
        <v>11.085608796765273</v>
      </c>
      <c r="T45" s="141">
        <f>S45+($R45-$Q45)</f>
        <v>11.118378090972383</v>
      </c>
      <c r="U45" s="381">
        <f>T45</f>
        <v>11.118378090972383</v>
      </c>
      <c r="V45" s="381">
        <f t="shared" ref="V45:X45" si="14">U45</f>
        <v>11.118378090972383</v>
      </c>
      <c r="W45" s="381">
        <f t="shared" si="14"/>
        <v>11.118378090972383</v>
      </c>
      <c r="X45" s="381">
        <f t="shared" si="14"/>
        <v>11.118378090972383</v>
      </c>
      <c r="Y45" s="380"/>
      <c r="Z45" s="380"/>
      <c r="AA45" s="380"/>
    </row>
    <row r="46" spans="1:27">
      <c r="A46" s="132" t="s">
        <v>1</v>
      </c>
      <c r="B46" s="134">
        <f t="shared" si="10"/>
        <v>31.219885239761684</v>
      </c>
      <c r="C46" s="135">
        <f t="shared" si="10"/>
        <v>29.28963769979805</v>
      </c>
      <c r="D46" s="135">
        <f t="shared" si="10"/>
        <v>28.92453081455869</v>
      </c>
      <c r="E46" s="135">
        <f t="shared" si="10"/>
        <v>30.820293094463185</v>
      </c>
      <c r="F46" s="135">
        <f t="shared" si="10"/>
        <v>28.257792407700549</v>
      </c>
      <c r="G46" s="135">
        <f t="shared" si="11"/>
        <v>28.002506571344831</v>
      </c>
      <c r="H46" s="135">
        <f t="shared" si="11"/>
        <v>28.855298944900348</v>
      </c>
      <c r="I46" s="135">
        <f t="shared" si="11"/>
        <v>28.355031923435565</v>
      </c>
      <c r="J46" s="135">
        <f t="shared" si="11"/>
        <v>29.6223686770327</v>
      </c>
      <c r="K46" s="135">
        <f t="shared" si="11"/>
        <v>29.458492509253986</v>
      </c>
      <c r="L46" s="135">
        <f t="shared" si="11"/>
        <v>26.981005008372478</v>
      </c>
      <c r="M46" s="135">
        <f t="shared" si="11"/>
        <v>28.691210289195347</v>
      </c>
      <c r="N46" s="135">
        <f t="shared" si="11"/>
        <v>29.088603995393907</v>
      </c>
      <c r="O46" s="135">
        <f t="shared" si="11"/>
        <v>28.699887895102982</v>
      </c>
      <c r="P46" s="135">
        <f t="shared" si="12"/>
        <v>28.336607066375908</v>
      </c>
      <c r="Q46" s="135">
        <f t="shared" si="12"/>
        <v>28.892899848630588</v>
      </c>
      <c r="R46" s="135">
        <f>R27/R7*100</f>
        <v>29.213150306697194</v>
      </c>
      <c r="S46" s="135">
        <f>S27/S7*100</f>
        <v>29.352449299675925</v>
      </c>
      <c r="T46" s="135">
        <f>S46+($R46-$Q46)</f>
        <v>29.672699757742532</v>
      </c>
      <c r="U46" s="381">
        <f t="shared" ref="U46:U60" si="15">T46</f>
        <v>29.672699757742532</v>
      </c>
      <c r="V46" s="381">
        <f t="shared" ref="V46:X46" si="16">U46</f>
        <v>29.672699757742532</v>
      </c>
      <c r="W46" s="381">
        <f t="shared" si="16"/>
        <v>29.672699757742532</v>
      </c>
      <c r="X46" s="381">
        <f t="shared" si="16"/>
        <v>29.672699757742532</v>
      </c>
      <c r="Y46" s="380"/>
      <c r="Z46" s="380"/>
      <c r="AA46" s="380"/>
    </row>
    <row r="47" spans="1:27">
      <c r="A47" s="133" t="s">
        <v>2</v>
      </c>
      <c r="B47" s="136">
        <f t="shared" si="10"/>
        <v>4.368765339010511</v>
      </c>
      <c r="C47" s="137">
        <f t="shared" si="10"/>
        <v>6.1343775999025345</v>
      </c>
      <c r="D47" s="137">
        <f t="shared" si="10"/>
        <v>6.0984701370025842</v>
      </c>
      <c r="E47" s="137">
        <f t="shared" si="10"/>
        <v>6.0220877142669469</v>
      </c>
      <c r="F47" s="137">
        <f t="shared" si="10"/>
        <v>4.4252885359751204</v>
      </c>
      <c r="G47" s="137">
        <f t="shared" si="11"/>
        <v>4.3590716181944229</v>
      </c>
      <c r="H47" s="137">
        <f t="shared" si="11"/>
        <v>4.1404213103185707</v>
      </c>
      <c r="I47" s="137">
        <f t="shared" si="11"/>
        <v>3.6622552322715274</v>
      </c>
      <c r="J47" s="137">
        <f t="shared" si="11"/>
        <v>3.7499384385689067</v>
      </c>
      <c r="K47" s="137">
        <f t="shared" si="11"/>
        <v>3.7681572693470096</v>
      </c>
      <c r="L47" s="137">
        <f t="shared" si="11"/>
        <v>3.4964844527192112</v>
      </c>
      <c r="M47" s="137">
        <f t="shared" si="11"/>
        <v>3.3997566632450966</v>
      </c>
      <c r="N47" s="137">
        <f t="shared" si="11"/>
        <v>3.485435261469251</v>
      </c>
      <c r="O47" s="137">
        <f t="shared" si="11"/>
        <v>3.4522894212594823</v>
      </c>
      <c r="P47" s="137">
        <f t="shared" si="12"/>
        <v>3.4149129261497539</v>
      </c>
      <c r="Q47" s="135">
        <f t="shared" si="12"/>
        <v>3.53632626337258</v>
      </c>
      <c r="R47" s="135">
        <f t="shared" ref="R47:S47" si="17">R28/R8*100</f>
        <v>3.476841713903013</v>
      </c>
      <c r="S47" s="379">
        <f t="shared" si="17"/>
        <v>3.6770642039978654</v>
      </c>
      <c r="T47" s="379">
        <f>S47+($R47-$Q47)</f>
        <v>3.6175796545282983</v>
      </c>
      <c r="U47" s="381">
        <f t="shared" si="15"/>
        <v>3.6175796545282983</v>
      </c>
      <c r="V47" s="381">
        <f t="shared" ref="V47:X47" si="18">U47</f>
        <v>3.6175796545282983</v>
      </c>
      <c r="W47" s="381">
        <f t="shared" si="18"/>
        <v>3.6175796545282983</v>
      </c>
      <c r="X47" s="381">
        <f t="shared" si="18"/>
        <v>3.6175796545282983</v>
      </c>
      <c r="Y47" s="380"/>
      <c r="Z47" s="380"/>
      <c r="AA47" s="380"/>
    </row>
    <row r="48" spans="1:27">
      <c r="A48" s="131" t="s">
        <v>3</v>
      </c>
      <c r="B48" s="138">
        <f t="shared" si="10"/>
        <v>20.25831072564549</v>
      </c>
      <c r="C48" s="139">
        <f t="shared" si="10"/>
        <v>20.2230596611364</v>
      </c>
      <c r="D48" s="139">
        <f t="shared" si="10"/>
        <v>20.240021581749932</v>
      </c>
      <c r="E48" s="139">
        <f t="shared" si="10"/>
        <v>20.137868099074325</v>
      </c>
      <c r="F48" s="139">
        <f t="shared" si="10"/>
        <v>20.253183466265948</v>
      </c>
      <c r="G48" s="139">
        <f t="shared" si="11"/>
        <v>20.376978155416424</v>
      </c>
      <c r="H48" s="139">
        <f t="shared" si="11"/>
        <v>20.838659882512491</v>
      </c>
      <c r="I48" s="139">
        <f t="shared" si="11"/>
        <v>20.407725215820907</v>
      </c>
      <c r="J48" s="139">
        <f t="shared" si="11"/>
        <v>20.134161984705692</v>
      </c>
      <c r="K48" s="139">
        <f t="shared" si="11"/>
        <v>20.086364962642573</v>
      </c>
      <c r="L48" s="139">
        <f t="shared" si="11"/>
        <v>20.09462074400215</v>
      </c>
      <c r="M48" s="139">
        <f t="shared" si="11"/>
        <v>19.968995411389962</v>
      </c>
      <c r="N48" s="139">
        <f t="shared" si="11"/>
        <v>19.910983739303383</v>
      </c>
      <c r="O48" s="139">
        <f t="shared" si="11"/>
        <v>19.877157406289843</v>
      </c>
      <c r="P48" s="139">
        <f t="shared" si="12"/>
        <v>19.555651721834064</v>
      </c>
      <c r="Q48" s="139">
        <f t="shared" si="12"/>
        <v>19.825716927635664</v>
      </c>
      <c r="R48" s="139">
        <f t="shared" ref="R48" si="19">R29/R9*100</f>
        <v>19.852440853736155</v>
      </c>
      <c r="S48" s="250">
        <f>R48+($R48-$Q48)</f>
        <v>19.879164779836646</v>
      </c>
      <c r="T48" s="250">
        <f>S48+($R48-$Q48)</f>
        <v>19.905888705937137</v>
      </c>
      <c r="U48" s="381">
        <f t="shared" si="15"/>
        <v>19.905888705937137</v>
      </c>
      <c r="V48" s="381">
        <f t="shared" ref="V48:X48" si="20">U48</f>
        <v>19.905888705937137</v>
      </c>
      <c r="W48" s="381">
        <f t="shared" si="20"/>
        <v>19.905888705937137</v>
      </c>
      <c r="X48" s="381">
        <f t="shared" si="20"/>
        <v>19.905888705937137</v>
      </c>
      <c r="Y48" s="380"/>
      <c r="Z48" s="380"/>
      <c r="AA48" s="380"/>
    </row>
    <row r="49" spans="1:27">
      <c r="A49" s="132" t="s">
        <v>4</v>
      </c>
      <c r="B49" s="134">
        <f t="shared" si="10"/>
        <v>20.924039137211555</v>
      </c>
      <c r="C49" s="135">
        <f t="shared" si="10"/>
        <v>20.995846665370575</v>
      </c>
      <c r="D49" s="135">
        <f t="shared" si="10"/>
        <v>20.985825312423927</v>
      </c>
      <c r="E49" s="135">
        <f t="shared" si="10"/>
        <v>20.933221406863463</v>
      </c>
      <c r="F49" s="135">
        <f t="shared" si="10"/>
        <v>21.141974358104061</v>
      </c>
      <c r="G49" s="135">
        <f t="shared" si="11"/>
        <v>21.237797622631735</v>
      </c>
      <c r="H49" s="135">
        <f t="shared" si="11"/>
        <v>21.191725942724304</v>
      </c>
      <c r="I49" s="135">
        <f t="shared" si="11"/>
        <v>21.157836666166858</v>
      </c>
      <c r="J49" s="135">
        <f t="shared" si="11"/>
        <v>21.28418387808674</v>
      </c>
      <c r="K49" s="135">
        <f t="shared" si="11"/>
        <v>21.24472540096156</v>
      </c>
      <c r="L49" s="135">
        <f t="shared" si="11"/>
        <v>21.237648667473373</v>
      </c>
      <c r="M49" s="135">
        <f t="shared" si="11"/>
        <v>21.157434320181739</v>
      </c>
      <c r="N49" s="135">
        <f t="shared" si="11"/>
        <v>21.168502088615178</v>
      </c>
      <c r="O49" s="135">
        <f t="shared" ref="O49:Q52" si="21">O30/O10*100</f>
        <v>21.153336565540972</v>
      </c>
      <c r="P49" s="135">
        <f t="shared" si="21"/>
        <v>21.193880777712803</v>
      </c>
      <c r="Q49" s="135">
        <f>Q30/Q10*100</f>
        <v>21.306520801903464</v>
      </c>
      <c r="R49" s="135">
        <f>R30/R10*100</f>
        <v>21.305120657789111</v>
      </c>
      <c r="S49" s="135">
        <f>S30/S10*100</f>
        <v>21.317651054016441</v>
      </c>
      <c r="T49" s="135">
        <f>S49+($R49-$Q49)</f>
        <v>21.316250909902088</v>
      </c>
      <c r="U49" s="381">
        <f t="shared" si="15"/>
        <v>21.316250909902088</v>
      </c>
      <c r="V49" s="381">
        <f t="shared" ref="V49:X49" si="22">U49</f>
        <v>21.316250909902088</v>
      </c>
      <c r="W49" s="381">
        <f t="shared" si="22"/>
        <v>21.316250909902088</v>
      </c>
      <c r="X49" s="381">
        <f t="shared" si="22"/>
        <v>21.316250909902088</v>
      </c>
      <c r="Y49" s="380"/>
      <c r="Z49" s="380"/>
      <c r="AA49" s="380"/>
    </row>
    <row r="50" spans="1:27">
      <c r="A50" s="132" t="s">
        <v>5</v>
      </c>
      <c r="B50" s="134">
        <f t="shared" si="10"/>
        <v>17.394424395032733</v>
      </c>
      <c r="C50" s="135">
        <f t="shared" si="10"/>
        <v>17.437448848651616</v>
      </c>
      <c r="D50" s="135">
        <f t="shared" si="10"/>
        <v>17.360777291784693</v>
      </c>
      <c r="E50" s="135">
        <f t="shared" si="10"/>
        <v>17.395691743275385</v>
      </c>
      <c r="F50" s="135">
        <f t="shared" si="10"/>
        <v>17.493376540370143</v>
      </c>
      <c r="G50" s="135">
        <f t="shared" si="11"/>
        <v>17.96297050774983</v>
      </c>
      <c r="H50" s="135">
        <f t="shared" si="11"/>
        <v>18.624138114185424</v>
      </c>
      <c r="I50" s="135">
        <f t="shared" si="11"/>
        <v>19.740467884872988</v>
      </c>
      <c r="J50" s="135">
        <f t="shared" si="11"/>
        <v>16.967710933151565</v>
      </c>
      <c r="K50" s="135">
        <f t="shared" si="11"/>
        <v>17.052465721431251</v>
      </c>
      <c r="L50" s="135">
        <f t="shared" si="11"/>
        <v>17.241025320976643</v>
      </c>
      <c r="M50" s="135">
        <f t="shared" si="11"/>
        <v>17.221399657186506</v>
      </c>
      <c r="N50" s="135">
        <f t="shared" si="11"/>
        <v>17.213096978064851</v>
      </c>
      <c r="O50" s="135">
        <f t="shared" si="21"/>
        <v>17.051086524917196</v>
      </c>
      <c r="P50" s="135">
        <f t="shared" si="21"/>
        <v>16.618197465305862</v>
      </c>
      <c r="Q50" s="135">
        <f t="shared" si="21"/>
        <v>16.413865283574889</v>
      </c>
      <c r="R50" s="135">
        <f t="shared" ref="R50:S50" si="23">R31/R11*100</f>
        <v>16.367918182125912</v>
      </c>
      <c r="S50" s="135">
        <f t="shared" si="23"/>
        <v>16.090187366730888</v>
      </c>
      <c r="T50" s="135">
        <f t="shared" ref="T50:T51" si="24">S50+($R50-$Q50)</f>
        <v>16.04424026528191</v>
      </c>
      <c r="U50" s="381">
        <f t="shared" si="15"/>
        <v>16.04424026528191</v>
      </c>
      <c r="V50" s="381">
        <f t="shared" ref="V50:X50" si="25">U50</f>
        <v>16.04424026528191</v>
      </c>
      <c r="W50" s="381">
        <f t="shared" si="25"/>
        <v>16.04424026528191</v>
      </c>
      <c r="X50" s="381">
        <f t="shared" si="25"/>
        <v>16.04424026528191</v>
      </c>
      <c r="Y50" s="380"/>
      <c r="Z50" s="380"/>
      <c r="AA50" s="380"/>
    </row>
    <row r="51" spans="1:27">
      <c r="A51" s="133" t="s">
        <v>6</v>
      </c>
      <c r="B51" s="136">
        <f t="shared" si="10"/>
        <v>18.021026255675061</v>
      </c>
      <c r="C51" s="137">
        <f t="shared" si="10"/>
        <v>17.359219109142639</v>
      </c>
      <c r="D51" s="137">
        <f t="shared" si="10"/>
        <v>17.741225030152609</v>
      </c>
      <c r="E51" s="137">
        <f t="shared" si="10"/>
        <v>16.730717828698115</v>
      </c>
      <c r="F51" s="137">
        <f t="shared" si="10"/>
        <v>15.994736511913807</v>
      </c>
      <c r="G51" s="137">
        <f t="shared" si="11"/>
        <v>15.736125154649914</v>
      </c>
      <c r="H51" s="137">
        <f t="shared" si="11"/>
        <v>20.11282426500772</v>
      </c>
      <c r="I51" s="137">
        <f t="shared" si="11"/>
        <v>15.015438752176033</v>
      </c>
      <c r="J51" s="137">
        <f t="shared" si="11"/>
        <v>14.605835703544892</v>
      </c>
      <c r="K51" s="137">
        <f t="shared" si="11"/>
        <v>14.642918571793631</v>
      </c>
      <c r="L51" s="137">
        <f t="shared" si="11"/>
        <v>14.856964538276088</v>
      </c>
      <c r="M51" s="137">
        <f t="shared" si="11"/>
        <v>14.475115133338415</v>
      </c>
      <c r="N51" s="137">
        <f t="shared" si="11"/>
        <v>14.402203941806956</v>
      </c>
      <c r="O51" s="137">
        <f t="shared" si="21"/>
        <v>14.406379193090052</v>
      </c>
      <c r="P51" s="137">
        <f t="shared" si="21"/>
        <v>14.48872747187227</v>
      </c>
      <c r="Q51" s="135">
        <f t="shared" si="21"/>
        <v>14.618351537961461</v>
      </c>
      <c r="R51" s="135">
        <f t="shared" ref="R51:S51" si="26">R32/R12*100</f>
        <v>14.638271523475849</v>
      </c>
      <c r="S51" s="379">
        <f t="shared" si="26"/>
        <v>14.668387352177628</v>
      </c>
      <c r="T51" s="379">
        <f t="shared" si="24"/>
        <v>14.688307337692017</v>
      </c>
      <c r="U51" s="381">
        <f t="shared" si="15"/>
        <v>14.688307337692017</v>
      </c>
      <c r="V51" s="381">
        <f t="shared" ref="V51:X51" si="27">U51</f>
        <v>14.688307337692017</v>
      </c>
      <c r="W51" s="381">
        <f t="shared" si="27"/>
        <v>14.688307337692017</v>
      </c>
      <c r="X51" s="381">
        <f t="shared" si="27"/>
        <v>14.688307337692017</v>
      </c>
      <c r="Y51" s="380"/>
      <c r="Z51" s="380"/>
      <c r="AA51" s="380"/>
    </row>
    <row r="52" spans="1:27">
      <c r="A52" s="131" t="s">
        <v>7</v>
      </c>
      <c r="B52" s="138">
        <f t="shared" si="10"/>
        <v>15.682808530827982</v>
      </c>
      <c r="C52" s="139">
        <f t="shared" si="10"/>
        <v>15.683491898449317</v>
      </c>
      <c r="D52" s="139">
        <f t="shared" si="10"/>
        <v>15.525520215199643</v>
      </c>
      <c r="E52" s="139">
        <f t="shared" si="10"/>
        <v>15.63943960914686</v>
      </c>
      <c r="F52" s="139">
        <f t="shared" si="10"/>
        <v>15.546708185361025</v>
      </c>
      <c r="G52" s="139">
        <f t="shared" si="11"/>
        <v>15.510131030045008</v>
      </c>
      <c r="H52" s="139">
        <f t="shared" si="11"/>
        <v>15.645274114802918</v>
      </c>
      <c r="I52" s="139">
        <f t="shared" si="11"/>
        <v>15.634785417504638</v>
      </c>
      <c r="J52" s="139">
        <f t="shared" si="11"/>
        <v>15.711259063797081</v>
      </c>
      <c r="K52" s="139">
        <f t="shared" si="11"/>
        <v>15.687997731333111</v>
      </c>
      <c r="L52" s="139">
        <f t="shared" si="11"/>
        <v>15.889523990934743</v>
      </c>
      <c r="M52" s="139">
        <f t="shared" si="11"/>
        <v>15.810172063846984</v>
      </c>
      <c r="N52" s="139">
        <f t="shared" si="11"/>
        <v>15.841875858735118</v>
      </c>
      <c r="O52" s="139">
        <f t="shared" si="11"/>
        <v>15.803793495414793</v>
      </c>
      <c r="P52" s="139">
        <f>P33/P13*100</f>
        <v>15.853478233213284</v>
      </c>
      <c r="Q52" s="139">
        <f t="shared" si="21"/>
        <v>15.971597299802426</v>
      </c>
      <c r="R52" s="139">
        <f t="shared" ref="R52" si="28">R33/R13*100</f>
        <v>15.981661336036836</v>
      </c>
      <c r="S52" s="250">
        <f>R52+($R52-$Q52)</f>
        <v>15.991725372271247</v>
      </c>
      <c r="T52" s="250">
        <f>S52+($R52-$Q52)</f>
        <v>16.001789408505658</v>
      </c>
      <c r="U52" s="381">
        <f t="shared" si="15"/>
        <v>16.001789408505658</v>
      </c>
      <c r="V52" s="381">
        <f t="shared" ref="V52:X52" si="29">U52</f>
        <v>16.001789408505658</v>
      </c>
      <c r="W52" s="381">
        <f t="shared" si="29"/>
        <v>16.001789408505658</v>
      </c>
      <c r="X52" s="381">
        <f t="shared" si="29"/>
        <v>16.001789408505658</v>
      </c>
      <c r="Y52" s="380"/>
      <c r="Z52" s="380"/>
      <c r="AA52" s="380"/>
    </row>
    <row r="53" spans="1:27">
      <c r="A53" s="132" t="s">
        <v>8</v>
      </c>
      <c r="B53" s="134">
        <f t="shared" si="10"/>
        <v>16.221638337702217</v>
      </c>
      <c r="C53" s="135">
        <f t="shared" si="10"/>
        <v>15.994350895442441</v>
      </c>
      <c r="D53" s="135">
        <f t="shared" si="10"/>
        <v>16.018920192772622</v>
      </c>
      <c r="E53" s="135">
        <f t="shared" si="10"/>
        <v>15.95265306467798</v>
      </c>
      <c r="F53" s="135">
        <f t="shared" si="10"/>
        <v>15.886446309168086</v>
      </c>
      <c r="G53" s="135">
        <f t="shared" si="11"/>
        <v>15.907644363038081</v>
      </c>
      <c r="H53" s="135">
        <f t="shared" si="11"/>
        <v>16.830560217380356</v>
      </c>
      <c r="I53" s="135">
        <f t="shared" si="11"/>
        <v>16.855167509338223</v>
      </c>
      <c r="J53" s="135">
        <f t="shared" si="11"/>
        <v>16.986960353160484</v>
      </c>
      <c r="K53" s="135">
        <f t="shared" si="11"/>
        <v>16.993237452780324</v>
      </c>
      <c r="L53" s="135">
        <f t="shared" si="11"/>
        <v>16.901343225819275</v>
      </c>
      <c r="M53" s="135">
        <f t="shared" si="11"/>
        <v>16.971881141033606</v>
      </c>
      <c r="N53" s="135">
        <f t="shared" si="11"/>
        <v>17.017461053830267</v>
      </c>
      <c r="O53" s="135">
        <f t="shared" ref="O53:Q60" si="30">O34/O14*100</f>
        <v>17.029913658685924</v>
      </c>
      <c r="P53" s="135">
        <f t="shared" si="30"/>
        <v>17.250742552403143</v>
      </c>
      <c r="Q53" s="135">
        <f>Q34/Q14*100</f>
        <v>17.311026505830274</v>
      </c>
      <c r="R53" s="135">
        <f>R34/R14*100</f>
        <v>17.42166537618585</v>
      </c>
      <c r="S53" s="135">
        <f>S34/S14*100</f>
        <v>17.408256794684146</v>
      </c>
      <c r="T53" s="135">
        <f>S53+($R53-$Q53)</f>
        <v>17.518895665039722</v>
      </c>
      <c r="U53" s="381">
        <f t="shared" si="15"/>
        <v>17.518895665039722</v>
      </c>
      <c r="V53" s="381">
        <f t="shared" ref="V53:X53" si="31">U53</f>
        <v>17.518895665039722</v>
      </c>
      <c r="W53" s="381">
        <f t="shared" si="31"/>
        <v>17.518895665039722</v>
      </c>
      <c r="X53" s="381">
        <f t="shared" si="31"/>
        <v>17.518895665039722</v>
      </c>
      <c r="Y53" s="380"/>
      <c r="Z53" s="380"/>
      <c r="AA53" s="380"/>
    </row>
    <row r="54" spans="1:27">
      <c r="A54" s="132" t="s">
        <v>9</v>
      </c>
      <c r="B54" s="134">
        <f t="shared" si="10"/>
        <v>23.298915716145348</v>
      </c>
      <c r="C54" s="135">
        <f t="shared" si="10"/>
        <v>22.940361987658573</v>
      </c>
      <c r="D54" s="135">
        <f t="shared" si="10"/>
        <v>22.505408413821069</v>
      </c>
      <c r="E54" s="135">
        <f t="shared" si="10"/>
        <v>22.298198069022995</v>
      </c>
      <c r="F54" s="135">
        <f t="shared" si="10"/>
        <v>21.94878675011271</v>
      </c>
      <c r="G54" s="135">
        <f t="shared" si="11"/>
        <v>21.574755848773226</v>
      </c>
      <c r="H54" s="135">
        <f t="shared" si="11"/>
        <v>21.251602756521976</v>
      </c>
      <c r="I54" s="135">
        <f t="shared" si="11"/>
        <v>21.320844334825697</v>
      </c>
      <c r="J54" s="135">
        <f t="shared" si="11"/>
        <v>21.449794927729112</v>
      </c>
      <c r="K54" s="135">
        <f t="shared" si="11"/>
        <v>21.366280723176697</v>
      </c>
      <c r="L54" s="135">
        <f t="shared" si="11"/>
        <v>21.492346887981416</v>
      </c>
      <c r="M54" s="135">
        <f t="shared" si="11"/>
        <v>21.509593894127963</v>
      </c>
      <c r="N54" s="135">
        <f t="shared" si="11"/>
        <v>21.616175231127357</v>
      </c>
      <c r="O54" s="135">
        <f t="shared" si="30"/>
        <v>21.657882834503276</v>
      </c>
      <c r="P54" s="135">
        <f t="shared" si="30"/>
        <v>21.804528997398211</v>
      </c>
      <c r="Q54" s="135">
        <f t="shared" si="30"/>
        <v>21.944372290807664</v>
      </c>
      <c r="R54" s="135">
        <f t="shared" ref="R54:S54" si="32">R35/R15*100</f>
        <v>21.898403808403053</v>
      </c>
      <c r="S54" s="135">
        <f t="shared" si="32"/>
        <v>21.92974782182343</v>
      </c>
      <c r="T54" s="135">
        <f t="shared" ref="T54:T59" si="33">S54+($R54-$Q54)</f>
        <v>21.883779339418819</v>
      </c>
      <c r="U54" s="381">
        <f t="shared" si="15"/>
        <v>21.883779339418819</v>
      </c>
      <c r="V54" s="381">
        <f t="shared" ref="V54:X54" si="34">U54</f>
        <v>21.883779339418819</v>
      </c>
      <c r="W54" s="381">
        <f t="shared" si="34"/>
        <v>21.883779339418819</v>
      </c>
      <c r="X54" s="381">
        <f t="shared" si="34"/>
        <v>21.883779339418819</v>
      </c>
      <c r="Y54" s="380"/>
      <c r="Z54" s="380"/>
      <c r="AA54" s="380"/>
    </row>
    <row r="55" spans="1:27">
      <c r="A55" s="132" t="s">
        <v>10</v>
      </c>
      <c r="B55" s="134">
        <f t="shared" ref="B55:F60" si="35">B36/B16*100</f>
        <v>13.96366999336583</v>
      </c>
      <c r="C55" s="135">
        <f t="shared" si="35"/>
        <v>13.971525098825246</v>
      </c>
      <c r="D55" s="135">
        <f t="shared" si="35"/>
        <v>13.909301706717011</v>
      </c>
      <c r="E55" s="135">
        <f t="shared" si="35"/>
        <v>13.926272136340042</v>
      </c>
      <c r="F55" s="135">
        <f t="shared" si="35"/>
        <v>14.054891981405232</v>
      </c>
      <c r="G55" s="135">
        <f t="shared" ref="G55:N60" si="36">G36/G16*100</f>
        <v>13.784242501565606</v>
      </c>
      <c r="H55" s="135">
        <f t="shared" si="36"/>
        <v>13.469803844116612</v>
      </c>
      <c r="I55" s="135">
        <f t="shared" si="36"/>
        <v>13.314981560134084</v>
      </c>
      <c r="J55" s="135">
        <f t="shared" si="36"/>
        <v>13.415398999002409</v>
      </c>
      <c r="K55" s="135">
        <f t="shared" si="36"/>
        <v>13.436770914754915</v>
      </c>
      <c r="L55" s="135">
        <f t="shared" si="36"/>
        <v>14.055377460510101</v>
      </c>
      <c r="M55" s="135">
        <f t="shared" si="36"/>
        <v>13.805498267458319</v>
      </c>
      <c r="N55" s="135">
        <f t="shared" si="36"/>
        <v>13.791428331998443</v>
      </c>
      <c r="O55" s="135">
        <f t="shared" si="30"/>
        <v>13.794007631768842</v>
      </c>
      <c r="P55" s="135">
        <f t="shared" si="30"/>
        <v>13.87903413808192</v>
      </c>
      <c r="Q55" s="135">
        <f t="shared" si="30"/>
        <v>13.917218898925091</v>
      </c>
      <c r="R55" s="135">
        <f t="shared" ref="R55:S55" si="37">R36/R16*100</f>
        <v>13.929091936341054</v>
      </c>
      <c r="S55" s="135">
        <f t="shared" si="37"/>
        <v>13.881470714850137</v>
      </c>
      <c r="T55" s="135">
        <f t="shared" si="33"/>
        <v>13.8933437522661</v>
      </c>
      <c r="U55" s="381">
        <f t="shared" si="15"/>
        <v>13.8933437522661</v>
      </c>
      <c r="V55" s="381">
        <f t="shared" ref="V55:X55" si="38">U55</f>
        <v>13.8933437522661</v>
      </c>
      <c r="W55" s="381">
        <f t="shared" si="38"/>
        <v>13.8933437522661</v>
      </c>
      <c r="X55" s="381">
        <f t="shared" si="38"/>
        <v>13.8933437522661</v>
      </c>
      <c r="Y55" s="380"/>
      <c r="Z55" s="380"/>
      <c r="AA55" s="380"/>
    </row>
    <row r="56" spans="1:27">
      <c r="A56" s="132" t="s">
        <v>11</v>
      </c>
      <c r="B56" s="134">
        <f>B37/B17*100</f>
        <v>16.393127682742588</v>
      </c>
      <c r="C56" s="135">
        <f t="shared" si="35"/>
        <v>16.38373416331515</v>
      </c>
      <c r="D56" s="135">
        <f t="shared" si="35"/>
        <v>16.37237357809774</v>
      </c>
      <c r="E56" s="135">
        <f t="shared" si="35"/>
        <v>16.373798743141759</v>
      </c>
      <c r="F56" s="135">
        <f t="shared" si="35"/>
        <v>16.346473787300845</v>
      </c>
      <c r="G56" s="135">
        <f t="shared" si="36"/>
        <v>16.329207295355932</v>
      </c>
      <c r="H56" s="135">
        <f t="shared" si="36"/>
        <v>16.342478909775245</v>
      </c>
      <c r="I56" s="135">
        <f t="shared" si="36"/>
        <v>16.334138374740981</v>
      </c>
      <c r="J56" s="135">
        <f t="shared" si="36"/>
        <v>16.336224473785794</v>
      </c>
      <c r="K56" s="135">
        <f t="shared" si="36"/>
        <v>16.339683662393629</v>
      </c>
      <c r="L56" s="135">
        <f t="shared" si="36"/>
        <v>16.273577472725488</v>
      </c>
      <c r="M56" s="135">
        <f t="shared" si="36"/>
        <v>16.286643012727431</v>
      </c>
      <c r="N56" s="135">
        <f t="shared" si="36"/>
        <v>16.278713374167843</v>
      </c>
      <c r="O56" s="135">
        <f t="shared" si="30"/>
        <v>16.2540204471664</v>
      </c>
      <c r="P56" s="135">
        <f t="shared" si="30"/>
        <v>16.390382360697977</v>
      </c>
      <c r="Q56" s="135">
        <f t="shared" ref="Q56:S57" si="39">Q37/Q17*100</f>
        <v>16.428510860577248</v>
      </c>
      <c r="R56" s="135">
        <f t="shared" si="39"/>
        <v>16.466810621429204</v>
      </c>
      <c r="S56" s="135">
        <f t="shared" si="39"/>
        <v>16.496782777609397</v>
      </c>
      <c r="T56" s="135">
        <f t="shared" si="33"/>
        <v>16.535082538461353</v>
      </c>
      <c r="U56" s="381">
        <f t="shared" si="15"/>
        <v>16.535082538461353</v>
      </c>
      <c r="V56" s="381">
        <f t="shared" ref="V56:X56" si="40">U56</f>
        <v>16.535082538461353</v>
      </c>
      <c r="W56" s="381">
        <f t="shared" si="40"/>
        <v>16.535082538461353</v>
      </c>
      <c r="X56" s="381">
        <f t="shared" si="40"/>
        <v>16.535082538461353</v>
      </c>
      <c r="Y56" s="380"/>
      <c r="Z56" s="380"/>
      <c r="AA56" s="380"/>
    </row>
    <row r="57" spans="1:27">
      <c r="A57" s="133" t="s">
        <v>12</v>
      </c>
      <c r="B57" s="136">
        <f t="shared" si="35"/>
        <v>13.657638702721981</v>
      </c>
      <c r="C57" s="137">
        <f t="shared" si="35"/>
        <v>13.905927119607151</v>
      </c>
      <c r="D57" s="137">
        <f t="shared" si="35"/>
        <v>13.463213711045732</v>
      </c>
      <c r="E57" s="137">
        <f t="shared" si="35"/>
        <v>13.824963758222243</v>
      </c>
      <c r="F57" s="137">
        <f t="shared" si="35"/>
        <v>13.458471855703719</v>
      </c>
      <c r="G57" s="137">
        <f t="shared" si="36"/>
        <v>13.544797370282682</v>
      </c>
      <c r="H57" s="137">
        <f t="shared" si="36"/>
        <v>13.799913170715916</v>
      </c>
      <c r="I57" s="137">
        <f t="shared" si="36"/>
        <v>13.758766379982374</v>
      </c>
      <c r="J57" s="137">
        <f t="shared" si="36"/>
        <v>13.682483003389892</v>
      </c>
      <c r="K57" s="137">
        <f t="shared" si="36"/>
        <v>13.606767511955873</v>
      </c>
      <c r="L57" s="137">
        <f t="shared" si="36"/>
        <v>13.632320532741046</v>
      </c>
      <c r="M57" s="137">
        <f t="shared" si="36"/>
        <v>13.621477002832988</v>
      </c>
      <c r="N57" s="137">
        <f t="shared" si="36"/>
        <v>13.646462172717289</v>
      </c>
      <c r="O57" s="137">
        <f t="shared" si="30"/>
        <v>13.696980285372415</v>
      </c>
      <c r="P57" s="137">
        <f t="shared" si="30"/>
        <v>13.695367743354053</v>
      </c>
      <c r="Q57" s="135">
        <f t="shared" si="39"/>
        <v>13.76303350614703</v>
      </c>
      <c r="R57" s="135">
        <f t="shared" si="39"/>
        <v>13.763432996179073</v>
      </c>
      <c r="S57" s="379">
        <f t="shared" si="39"/>
        <v>13.75349292776756</v>
      </c>
      <c r="T57" s="379">
        <f t="shared" si="33"/>
        <v>13.753892417799603</v>
      </c>
      <c r="U57" s="381">
        <f t="shared" si="15"/>
        <v>13.753892417799603</v>
      </c>
      <c r="V57" s="381">
        <f t="shared" ref="V57:X57" si="41">U57</f>
        <v>13.753892417799603</v>
      </c>
      <c r="W57" s="381">
        <f t="shared" si="41"/>
        <v>13.753892417799603</v>
      </c>
      <c r="X57" s="381">
        <f t="shared" si="41"/>
        <v>13.753892417799603</v>
      </c>
      <c r="Y57" s="380"/>
      <c r="Z57" s="380"/>
      <c r="AA57" s="380"/>
    </row>
    <row r="58" spans="1:27">
      <c r="A58" s="131" t="s">
        <v>13</v>
      </c>
      <c r="B58" s="138">
        <f t="shared" si="35"/>
        <v>16.083981665958827</v>
      </c>
      <c r="C58" s="139">
        <f t="shared" si="35"/>
        <v>16.298088542908346</v>
      </c>
      <c r="D58" s="139">
        <f t="shared" si="35"/>
        <v>16.19270362115541</v>
      </c>
      <c r="E58" s="139">
        <f t="shared" si="35"/>
        <v>16.246379779738298</v>
      </c>
      <c r="F58" s="139">
        <f t="shared" si="35"/>
        <v>16.019384791937117</v>
      </c>
      <c r="G58" s="139">
        <f t="shared" si="36"/>
        <v>16.078323952198712</v>
      </c>
      <c r="H58" s="139">
        <f t="shared" si="36"/>
        <v>16.296858944491255</v>
      </c>
      <c r="I58" s="139">
        <f t="shared" si="36"/>
        <v>16.170253300796986</v>
      </c>
      <c r="J58" s="139">
        <f t="shared" si="36"/>
        <v>16.153999152727707</v>
      </c>
      <c r="K58" s="139">
        <f t="shared" si="36"/>
        <v>16.148648275443328</v>
      </c>
      <c r="L58" s="139">
        <f t="shared" si="36"/>
        <v>16.24048362141011</v>
      </c>
      <c r="M58" s="139">
        <f t="shared" si="36"/>
        <v>16.225352013047889</v>
      </c>
      <c r="N58" s="139">
        <f t="shared" si="36"/>
        <v>16.292296003815224</v>
      </c>
      <c r="O58" s="250">
        <f t="shared" si="30"/>
        <v>16.35036652431225</v>
      </c>
      <c r="P58" s="250">
        <f t="shared" si="30"/>
        <v>16.294067444535322</v>
      </c>
      <c r="Q58" s="139">
        <f t="shared" si="30"/>
        <v>16.424584729724298</v>
      </c>
      <c r="R58" s="139">
        <f t="shared" ref="R58" si="42">R39/R19*100</f>
        <v>16.446966915205653</v>
      </c>
      <c r="S58" s="250">
        <f>R58+($R58-$Q58)</f>
        <v>16.469349100687008</v>
      </c>
      <c r="T58" s="250">
        <f>S58+($R58-$Q58)</f>
        <v>16.491731286168363</v>
      </c>
      <c r="U58" s="381">
        <f t="shared" si="15"/>
        <v>16.491731286168363</v>
      </c>
      <c r="V58" s="381">
        <f t="shared" ref="V58:X58" si="43">U58</f>
        <v>16.491731286168363</v>
      </c>
      <c r="W58" s="381">
        <f t="shared" si="43"/>
        <v>16.491731286168363</v>
      </c>
      <c r="X58" s="381">
        <f t="shared" si="43"/>
        <v>16.491731286168363</v>
      </c>
      <c r="Y58" s="380"/>
      <c r="Z58" s="380"/>
      <c r="AA58" s="380"/>
    </row>
    <row r="59" spans="1:27">
      <c r="A59" s="132" t="s">
        <v>14</v>
      </c>
      <c r="B59" s="134">
        <f t="shared" si="35"/>
        <v>16.106559992765128</v>
      </c>
      <c r="C59" s="135">
        <f t="shared" si="35"/>
        <v>16.162827723040284</v>
      </c>
      <c r="D59" s="135">
        <f t="shared" si="35"/>
        <v>16.137381145706915</v>
      </c>
      <c r="E59" s="135">
        <f t="shared" si="35"/>
        <v>16.231868485521414</v>
      </c>
      <c r="F59" s="135">
        <f t="shared" si="35"/>
        <v>15.999881500489529</v>
      </c>
      <c r="G59" s="135">
        <f t="shared" si="36"/>
        <v>16.152673705589514</v>
      </c>
      <c r="H59" s="135">
        <f t="shared" si="36"/>
        <v>16.915504458209224</v>
      </c>
      <c r="I59" s="135">
        <f t="shared" si="36"/>
        <v>16.391983327947401</v>
      </c>
      <c r="J59" s="135">
        <f t="shared" si="36"/>
        <v>16.227066892204256</v>
      </c>
      <c r="K59" s="135">
        <f t="shared" si="36"/>
        <v>16.188325421602624</v>
      </c>
      <c r="L59" s="135">
        <f t="shared" si="36"/>
        <v>16.115642164638651</v>
      </c>
      <c r="M59" s="135">
        <f t="shared" si="36"/>
        <v>16.140570978795932</v>
      </c>
      <c r="N59" s="135">
        <f t="shared" si="36"/>
        <v>16.08170541152203</v>
      </c>
      <c r="O59" s="135">
        <f t="shared" si="30"/>
        <v>16.10641042493743</v>
      </c>
      <c r="P59" s="135">
        <f t="shared" si="30"/>
        <v>16.151576105352067</v>
      </c>
      <c r="Q59" s="135">
        <f t="shared" si="30"/>
        <v>16.379293895878387</v>
      </c>
      <c r="R59" s="135">
        <f t="shared" ref="R59:S59" si="44">R40/R20*100</f>
        <v>16.135011424563601</v>
      </c>
      <c r="S59" s="135">
        <f t="shared" si="44"/>
        <v>16.342562619476759</v>
      </c>
      <c r="T59" s="135">
        <f t="shared" si="33"/>
        <v>16.098280148161972</v>
      </c>
      <c r="U59" s="381">
        <f t="shared" si="15"/>
        <v>16.098280148161972</v>
      </c>
      <c r="V59" s="381">
        <f t="shared" ref="V59:X59" si="45">U59</f>
        <v>16.098280148161972</v>
      </c>
      <c r="W59" s="381">
        <f t="shared" si="45"/>
        <v>16.098280148161972</v>
      </c>
      <c r="X59" s="381">
        <f t="shared" si="45"/>
        <v>16.098280148161972</v>
      </c>
      <c r="Y59" s="380"/>
      <c r="Z59" s="380"/>
      <c r="AA59" s="380"/>
    </row>
    <row r="60" spans="1:27" ht="13.5" thickBot="1">
      <c r="A60" s="173" t="s">
        <v>282</v>
      </c>
      <c r="B60" s="142">
        <f t="shared" si="35"/>
        <v>16.086616789266937</v>
      </c>
      <c r="C60" s="143">
        <f t="shared" si="35"/>
        <v>16.282154229519165</v>
      </c>
      <c r="D60" s="143">
        <f t="shared" si="35"/>
        <v>16.186162966960314</v>
      </c>
      <c r="E60" s="143">
        <f t="shared" si="35"/>
        <v>16.244692279293954</v>
      </c>
      <c r="F60" s="143">
        <f t="shared" si="35"/>
        <v>16.017177582322656</v>
      </c>
      <c r="G60" s="143">
        <f t="shared" si="36"/>
        <v>16.086543153997056</v>
      </c>
      <c r="H60" s="143">
        <f t="shared" si="36"/>
        <v>16.36442108139007</v>
      </c>
      <c r="I60" s="143">
        <f t="shared" si="36"/>
        <v>16.194268915947902</v>
      </c>
      <c r="J60" s="143">
        <f t="shared" si="36"/>
        <v>16.161894012362549</v>
      </c>
      <c r="K60" s="143">
        <f t="shared" si="36"/>
        <v>16.152957297170875</v>
      </c>
      <c r="L60" s="143">
        <f t="shared" si="36"/>
        <v>16.226950266845517</v>
      </c>
      <c r="M60" s="143">
        <f t="shared" si="36"/>
        <v>16.216120613518928</v>
      </c>
      <c r="N60" s="143">
        <f t="shared" si="36"/>
        <v>16.269450981508705</v>
      </c>
      <c r="O60" s="143">
        <f t="shared" si="30"/>
        <v>16.324563019438148</v>
      </c>
      <c r="P60" s="143">
        <f t="shared" si="30"/>
        <v>16.282251253496192</v>
      </c>
      <c r="Q60" s="143">
        <f>Q41/Q21*100</f>
        <v>16.419774707616355</v>
      </c>
      <c r="R60" s="143">
        <f>R41/R21*100</f>
        <v>16.413384712410714</v>
      </c>
      <c r="S60" s="143">
        <f>R60+($R60-$Q60)</f>
        <v>16.406994717205073</v>
      </c>
      <c r="T60" s="143">
        <f>S60+($R60-$Q60)</f>
        <v>16.400604721999432</v>
      </c>
      <c r="U60" s="381">
        <f t="shared" si="15"/>
        <v>16.400604721999432</v>
      </c>
      <c r="V60" s="381">
        <f t="shared" ref="V60:X60" si="46">U60</f>
        <v>16.400604721999432</v>
      </c>
      <c r="W60" s="381">
        <f t="shared" si="46"/>
        <v>16.400604721999432</v>
      </c>
      <c r="X60" s="381">
        <f t="shared" si="46"/>
        <v>16.400604721999432</v>
      </c>
      <c r="Y60" s="380"/>
      <c r="Z60" s="380"/>
      <c r="AA60" s="380"/>
    </row>
    <row r="61" spans="1:27">
      <c r="T61"/>
      <c r="U61" s="380"/>
      <c r="V61" s="380"/>
      <c r="W61" s="380"/>
      <c r="X61" s="380"/>
      <c r="Y61" s="380"/>
      <c r="Z61" s="380"/>
      <c r="AA61" s="380"/>
    </row>
    <row r="62" spans="1:27" ht="18">
      <c r="A62" s="401" t="s">
        <v>211</v>
      </c>
      <c r="B62" s="401"/>
      <c r="C62" s="401"/>
      <c r="D62" s="401"/>
      <c r="E62" s="401"/>
      <c r="F62" s="401"/>
      <c r="G62" s="402"/>
      <c r="H62" s="402"/>
      <c r="I62" s="402"/>
      <c r="J62" s="402"/>
      <c r="K62" s="402"/>
      <c r="L62" s="402"/>
      <c r="M62" s="402"/>
      <c r="N62" s="402"/>
      <c r="O62" s="403"/>
      <c r="P62" s="403"/>
      <c r="T62"/>
      <c r="U62" s="380"/>
      <c r="V62" s="380"/>
      <c r="W62" s="380"/>
      <c r="X62" s="380"/>
      <c r="Y62" s="380"/>
    </row>
    <row r="63" spans="1:27">
      <c r="A63" s="1" t="s">
        <v>171</v>
      </c>
      <c r="B63" s="1"/>
      <c r="C63" s="1"/>
      <c r="D63" s="1"/>
      <c r="E63" s="1"/>
      <c r="F63" s="1"/>
      <c r="O63" s="7"/>
      <c r="T63"/>
      <c r="U63" s="380"/>
      <c r="V63" s="380"/>
      <c r="W63" s="380"/>
      <c r="X63" s="380"/>
      <c r="Y63" s="380"/>
    </row>
    <row r="64" spans="1:27" ht="13.5" thickBot="1">
      <c r="A64" s="108" t="s">
        <v>166</v>
      </c>
      <c r="B64" s="102"/>
      <c r="C64" s="102" t="s">
        <v>277</v>
      </c>
      <c r="D64" s="102" t="s">
        <v>278</v>
      </c>
      <c r="E64" s="102" t="s">
        <v>279</v>
      </c>
      <c r="F64" s="102" t="s">
        <v>280</v>
      </c>
      <c r="G64" s="102" t="s">
        <v>16</v>
      </c>
      <c r="H64" s="102" t="s">
        <v>17</v>
      </c>
      <c r="I64" s="102" t="s">
        <v>18</v>
      </c>
      <c r="J64" s="103">
        <v>2003</v>
      </c>
      <c r="K64" s="103">
        <v>2004</v>
      </c>
      <c r="L64" s="103">
        <v>2005</v>
      </c>
      <c r="M64" s="103">
        <v>2006</v>
      </c>
      <c r="N64" s="103">
        <v>2007</v>
      </c>
      <c r="O64" s="103">
        <v>2008</v>
      </c>
      <c r="P64" s="103">
        <v>2009</v>
      </c>
      <c r="Q64" s="103">
        <v>2010</v>
      </c>
      <c r="R64" s="103">
        <v>2011</v>
      </c>
      <c r="S64" s="103">
        <v>2012</v>
      </c>
      <c r="T64" s="103">
        <v>2013</v>
      </c>
      <c r="U64" s="380"/>
      <c r="V64" s="380"/>
      <c r="W64" s="380"/>
      <c r="X64" s="380"/>
      <c r="Y64" s="380"/>
    </row>
    <row r="65" spans="1:20" ht="13.5" thickTop="1">
      <c r="A65" s="2" t="s">
        <v>0</v>
      </c>
      <c r="B65" s="154"/>
      <c r="C65" s="154">
        <f t="shared" ref="C65:G80" si="47">(C6-B6)/B6*100</f>
        <v>4.347898620645358</v>
      </c>
      <c r="D65" s="154">
        <f t="shared" si="47"/>
        <v>1.50266402337969</v>
      </c>
      <c r="E65" s="154">
        <f t="shared" si="47"/>
        <v>-1.3750680143391605</v>
      </c>
      <c r="F65" s="154">
        <f t="shared" si="47"/>
        <v>0.38939764871721322</v>
      </c>
      <c r="G65" s="154">
        <f t="shared" si="47"/>
        <v>0.34463433274918009</v>
      </c>
      <c r="H65" s="154">
        <f>(H6-G6)/G6*100</f>
        <v>-0.93163439690442784</v>
      </c>
      <c r="I65" s="154">
        <f t="shared" ref="I65:P65" si="48">(I6-H6)/H6*100</f>
        <v>2.3952005242194927</v>
      </c>
      <c r="J65" s="154">
        <f t="shared" si="48"/>
        <v>2.6799668777658776</v>
      </c>
      <c r="K65" s="154">
        <f t="shared" si="48"/>
        <v>1.3415376630171281</v>
      </c>
      <c r="L65" s="154">
        <f t="shared" si="48"/>
        <v>1.4854308096725544</v>
      </c>
      <c r="M65" s="154">
        <f t="shared" si="48"/>
        <v>-1.8625903385659175</v>
      </c>
      <c r="N65" s="154">
        <f t="shared" si="48"/>
        <v>0.64909396670915553</v>
      </c>
      <c r="O65" s="154">
        <f t="shared" si="48"/>
        <v>-6.8976968423413415E-2</v>
      </c>
      <c r="P65" s="154">
        <f t="shared" si="48"/>
        <v>-4.2585334166154514</v>
      </c>
      <c r="Q65" s="154">
        <f t="shared" ref="Q65:Q80" si="49">(Q6-P6)/P6*100</f>
        <v>4.0480493971665892</v>
      </c>
      <c r="R65" s="154">
        <f t="shared" ref="R65:R80" si="50">(R6-Q6)/Q6*100</f>
        <v>0.1964593263421516</v>
      </c>
      <c r="S65" s="154">
        <f t="shared" ref="S65:T79" si="51">(S6-R6)/R6*100</f>
        <v>-1.952451590662142</v>
      </c>
      <c r="T65" s="154">
        <f t="shared" si="51"/>
        <v>2.8692152152233037</v>
      </c>
    </row>
    <row r="66" spans="1:20">
      <c r="A66" s="3" t="s">
        <v>1</v>
      </c>
      <c r="B66" s="156"/>
      <c r="C66" s="156">
        <f>(C7-B7)/B7*100</f>
        <v>23.999999999999996</v>
      </c>
      <c r="D66" s="156">
        <f t="shared" si="47"/>
        <v>0.89999999999999092</v>
      </c>
      <c r="E66" s="156">
        <f t="shared" si="47"/>
        <v>-5.3000000000000114</v>
      </c>
      <c r="F66" s="156">
        <f t="shared" si="47"/>
        <v>6.200000000000002</v>
      </c>
      <c r="G66" s="156">
        <f t="shared" si="47"/>
        <v>4.6999999999999895</v>
      </c>
      <c r="H66" s="156">
        <f t="shared" ref="H66:P80" si="52">(H7-G7)/G7*100</f>
        <v>-3.2999999999999954</v>
      </c>
      <c r="I66" s="156">
        <f t="shared" si="52"/>
        <v>6.4999999999999947</v>
      </c>
      <c r="J66" s="156">
        <f t="shared" si="52"/>
        <v>0.68106961424663648</v>
      </c>
      <c r="K66" s="156">
        <f t="shared" si="52"/>
        <v>0.85943997782090376</v>
      </c>
      <c r="L66" s="156">
        <f t="shared" si="52"/>
        <v>2.8097855964815754</v>
      </c>
      <c r="M66" s="156">
        <f t="shared" si="52"/>
        <v>-5.4627802642625225</v>
      </c>
      <c r="N66" s="156">
        <f t="shared" si="52"/>
        <v>2.6641024915863007</v>
      </c>
      <c r="O66" s="156">
        <f t="shared" si="52"/>
        <v>16.093599829364965</v>
      </c>
      <c r="P66" s="156">
        <f t="shared" si="52"/>
        <v>-1.6348977392151673</v>
      </c>
      <c r="Q66" s="156">
        <f t="shared" si="49"/>
        <v>0.38539512533218878</v>
      </c>
      <c r="R66" s="156">
        <f t="shared" si="50"/>
        <v>-6.500239621782912E-2</v>
      </c>
      <c r="S66" s="156">
        <f t="shared" si="51"/>
        <v>2.0357214304978646</v>
      </c>
      <c r="T66" s="156">
        <f t="shared" si="51"/>
        <v>2.3111365407212805</v>
      </c>
    </row>
    <row r="67" spans="1:20">
      <c r="A67" s="4" t="s">
        <v>2</v>
      </c>
      <c r="B67" s="157"/>
      <c r="C67" s="157">
        <f t="shared" si="47"/>
        <v>-0.79999999999999916</v>
      </c>
      <c r="D67" s="157">
        <f t="shared" si="47"/>
        <v>1.6999999999999973</v>
      </c>
      <c r="E67" s="157">
        <f t="shared" si="47"/>
        <v>-9.9999999999993233E-2</v>
      </c>
      <c r="F67" s="157">
        <f t="shared" si="47"/>
        <v>-1.3999999999999946</v>
      </c>
      <c r="G67" s="157">
        <f t="shared" si="47"/>
        <v>-1.0999999999999999</v>
      </c>
      <c r="H67" s="157">
        <f t="shared" si="52"/>
        <v>-0.10000000000000533</v>
      </c>
      <c r="I67" s="157">
        <f t="shared" si="52"/>
        <v>0.99999999999999811</v>
      </c>
      <c r="J67" s="157">
        <f t="shared" si="52"/>
        <v>3.3963797690202293</v>
      </c>
      <c r="K67" s="157">
        <f t="shared" si="52"/>
        <v>1.509785873049053</v>
      </c>
      <c r="L67" s="157">
        <f t="shared" si="52"/>
        <v>1.0262027750803071</v>
      </c>
      <c r="M67" s="157">
        <f t="shared" si="52"/>
        <v>-0.59216284704167699</v>
      </c>
      <c r="N67" s="157">
        <f t="shared" si="52"/>
        <v>-2.711910190945983E-2</v>
      </c>
      <c r="O67" s="157">
        <f>(O8-N8)/N8*100</f>
        <v>-5.6389575480288423</v>
      </c>
      <c r="P67" s="157">
        <f>(P8-O8)/O8*100</f>
        <v>-5.3709364267594637</v>
      </c>
      <c r="Q67" s="157">
        <f t="shared" si="49"/>
        <v>5.6623003783684043</v>
      </c>
      <c r="R67" s="157">
        <f t="shared" si="50"/>
        <v>0.30593905744428418</v>
      </c>
      <c r="S67" s="157">
        <f t="shared" si="51"/>
        <v>-3.6162111108018506</v>
      </c>
      <c r="T67" s="157">
        <f t="shared" si="51"/>
        <v>3.1156830413200782</v>
      </c>
    </row>
    <row r="68" spans="1:20">
      <c r="A68" s="2" t="s">
        <v>3</v>
      </c>
      <c r="B68" s="155"/>
      <c r="C68" s="155">
        <f t="shared" si="47"/>
        <v>2.4416811566874359</v>
      </c>
      <c r="D68" s="155">
        <f t="shared" si="47"/>
        <v>2.9111058296561048</v>
      </c>
      <c r="E68" s="155">
        <f t="shared" si="47"/>
        <v>-1.4791226661092505</v>
      </c>
      <c r="F68" s="155">
        <f t="shared" si="47"/>
        <v>0.28875363422200556</v>
      </c>
      <c r="G68" s="155">
        <f t="shared" si="47"/>
        <v>7.3269019539697169</v>
      </c>
      <c r="H68" s="155">
        <f t="shared" si="52"/>
        <v>2.6533370582160671</v>
      </c>
      <c r="I68" s="155">
        <f t="shared" si="52"/>
        <v>3.160305194324319</v>
      </c>
      <c r="J68" s="155">
        <f t="shared" si="52"/>
        <v>-0.15546491493653833</v>
      </c>
      <c r="K68" s="155">
        <f t="shared" si="52"/>
        <v>5.5369676320272569</v>
      </c>
      <c r="L68" s="155">
        <f t="shared" si="52"/>
        <v>6.7532308208851655</v>
      </c>
      <c r="M68" s="155">
        <f t="shared" si="52"/>
        <v>6.6030340896581867</v>
      </c>
      <c r="N68" s="155">
        <f t="shared" si="52"/>
        <v>6.2432305617477661</v>
      </c>
      <c r="O68" s="155">
        <f t="shared" si="52"/>
        <v>2.8620227263700042</v>
      </c>
      <c r="P68" s="155">
        <f t="shared" si="52"/>
        <v>-6.8833209779120361</v>
      </c>
      <c r="Q68" s="155">
        <f t="shared" si="49"/>
        <v>4.4717541563034109</v>
      </c>
      <c r="R68" s="155">
        <f t="shared" si="50"/>
        <v>2.6550465713456357</v>
      </c>
      <c r="S68" s="155">
        <f t="shared" si="51"/>
        <v>1.7643024704680654</v>
      </c>
      <c r="T68" s="155">
        <f t="shared" si="51"/>
        <v>0.96331589451420663</v>
      </c>
    </row>
    <row r="69" spans="1:20">
      <c r="A69" s="3" t="s">
        <v>4</v>
      </c>
      <c r="B69" s="156"/>
      <c r="C69" s="156">
        <f t="shared" si="47"/>
        <v>1.4000000000000061</v>
      </c>
      <c r="D69" s="156">
        <f t="shared" si="47"/>
        <v>2.6999999999999891</v>
      </c>
      <c r="E69" s="156">
        <f t="shared" si="47"/>
        <v>-0.20000000000000556</v>
      </c>
      <c r="F69" s="156">
        <f t="shared" si="47"/>
        <v>0.60000000000000475</v>
      </c>
      <c r="G69" s="156">
        <f t="shared" si="47"/>
        <v>8.0999999999999908</v>
      </c>
      <c r="H69" s="156">
        <f t="shared" si="52"/>
        <v>3.2000000000000064</v>
      </c>
      <c r="I69" s="156">
        <f t="shared" si="52"/>
        <v>2.7999999999999985</v>
      </c>
      <c r="J69" s="156">
        <f t="shared" si="52"/>
        <v>-1.5042370189681238</v>
      </c>
      <c r="K69" s="156">
        <f t="shared" si="52"/>
        <v>4.8946388570003565</v>
      </c>
      <c r="L69" s="156">
        <f t="shared" si="52"/>
        <v>6.2041686307462136</v>
      </c>
      <c r="M69" s="156">
        <f t="shared" si="52"/>
        <v>6.4381843373819567</v>
      </c>
      <c r="N69" s="156">
        <f t="shared" si="52"/>
        <v>5.2445696317096289</v>
      </c>
      <c r="O69" s="156">
        <f t="shared" si="52"/>
        <v>2.6331352787125475</v>
      </c>
      <c r="P69" s="156">
        <f t="shared" si="52"/>
        <v>-10.126604994603879</v>
      </c>
      <c r="Q69" s="156">
        <f t="shared" si="49"/>
        <v>5.5229321807833314</v>
      </c>
      <c r="R69" s="156">
        <f t="shared" si="50"/>
        <v>3.2835913606853944</v>
      </c>
      <c r="S69" s="156">
        <f t="shared" si="51"/>
        <v>2.0642477137949151</v>
      </c>
      <c r="T69" s="156">
        <f t="shared" si="51"/>
        <v>0.75287362580337258</v>
      </c>
    </row>
    <row r="70" spans="1:20">
      <c r="A70" s="3" t="s">
        <v>5</v>
      </c>
      <c r="B70" s="156"/>
      <c r="C70" s="156">
        <f t="shared" si="47"/>
        <v>10.800000000000011</v>
      </c>
      <c r="D70" s="156">
        <f t="shared" si="47"/>
        <v>3.8999999999999972</v>
      </c>
      <c r="E70" s="156">
        <f t="shared" si="47"/>
        <v>-6.3</v>
      </c>
      <c r="F70" s="156">
        <f t="shared" si="47"/>
        <v>-0.50000000000000322</v>
      </c>
      <c r="G70" s="156">
        <f t="shared" si="47"/>
        <v>3.0999999999999881</v>
      </c>
      <c r="H70" s="156">
        <f t="shared" si="52"/>
        <v>-3.6999999999999997</v>
      </c>
      <c r="I70" s="156">
        <f t="shared" si="52"/>
        <v>3.4999999999999885</v>
      </c>
      <c r="J70" s="156">
        <f t="shared" si="52"/>
        <v>2.9505666070238221</v>
      </c>
      <c r="K70" s="156">
        <f t="shared" si="52"/>
        <v>6.7850327153762269</v>
      </c>
      <c r="L70" s="156">
        <f t="shared" si="52"/>
        <v>5.3460986117759601</v>
      </c>
      <c r="M70" s="156">
        <f t="shared" si="52"/>
        <v>3.4195491090632681</v>
      </c>
      <c r="N70" s="156">
        <f t="shared" si="52"/>
        <v>3.3832273938896864</v>
      </c>
      <c r="O70" s="156">
        <f t="shared" si="52"/>
        <v>-3.112041205579561</v>
      </c>
      <c r="P70" s="156">
        <f t="shared" si="52"/>
        <v>-1.4145960123039918</v>
      </c>
      <c r="Q70" s="156">
        <f t="shared" si="49"/>
        <v>2.4509085718701886</v>
      </c>
      <c r="R70" s="156">
        <f t="shared" si="50"/>
        <v>1.4792368283836428</v>
      </c>
      <c r="S70" s="156">
        <f t="shared" si="51"/>
        <v>-1.6340993925753666</v>
      </c>
      <c r="T70" s="156">
        <f t="shared" si="51"/>
        <v>-0.41612156610657747</v>
      </c>
    </row>
    <row r="71" spans="1:20">
      <c r="A71" s="4" t="s">
        <v>6</v>
      </c>
      <c r="B71" s="157"/>
      <c r="C71" s="157">
        <f t="shared" si="47"/>
        <v>2.0159733904836052</v>
      </c>
      <c r="D71" s="157">
        <f t="shared" si="47"/>
        <v>3.4427236280375291</v>
      </c>
      <c r="E71" s="157">
        <f t="shared" si="47"/>
        <v>-5.8943750290306047</v>
      </c>
      <c r="F71" s="157">
        <f t="shared" si="47"/>
        <v>-1.3573543928924039</v>
      </c>
      <c r="G71" s="157">
        <f t="shared" si="47"/>
        <v>5.649236927695771</v>
      </c>
      <c r="H71" s="157">
        <f t="shared" si="52"/>
        <v>4.9256417542862634</v>
      </c>
      <c r="I71" s="157">
        <f t="shared" si="52"/>
        <v>5.8093346573982085</v>
      </c>
      <c r="J71" s="157">
        <f t="shared" si="52"/>
        <v>7.6873230790218612</v>
      </c>
      <c r="K71" s="157">
        <f t="shared" si="52"/>
        <v>9.1084718923198729</v>
      </c>
      <c r="L71" s="157">
        <f t="shared" si="52"/>
        <v>11.921279498418043</v>
      </c>
      <c r="M71" s="157">
        <f t="shared" si="52"/>
        <v>10.436225945329113</v>
      </c>
      <c r="N71" s="157">
        <f t="shared" si="52"/>
        <v>15.003992297214786</v>
      </c>
      <c r="O71" s="157">
        <f t="shared" si="52"/>
        <v>8.5241958195683836</v>
      </c>
      <c r="P71" s="157">
        <f t="shared" si="52"/>
        <v>7.7770436726881744</v>
      </c>
      <c r="Q71" s="157">
        <f t="shared" si="49"/>
        <v>0.74788850485766001</v>
      </c>
      <c r="R71" s="157">
        <f t="shared" si="50"/>
        <v>0.28168965491336356</v>
      </c>
      <c r="S71" s="157">
        <f t="shared" si="51"/>
        <v>2.3102071899213241</v>
      </c>
      <c r="T71" s="157">
        <f t="shared" si="51"/>
        <v>2.8250986112465202</v>
      </c>
    </row>
    <row r="72" spans="1:20">
      <c r="A72" s="2" t="s">
        <v>7</v>
      </c>
      <c r="B72" s="155"/>
      <c r="C72" s="155">
        <f t="shared" si="47"/>
        <v>4.1946552197551714</v>
      </c>
      <c r="D72" s="155">
        <f t="shared" si="47"/>
        <v>2.5474270277189905</v>
      </c>
      <c r="E72" s="155">
        <f t="shared" si="47"/>
        <v>1.998611051370865</v>
      </c>
      <c r="F72" s="155">
        <f t="shared" si="47"/>
        <v>3.820636490745462</v>
      </c>
      <c r="G72" s="155">
        <f t="shared" si="47"/>
        <v>3.9395599155605359</v>
      </c>
      <c r="H72" s="155">
        <f t="shared" si="52"/>
        <v>3.5760808624071689</v>
      </c>
      <c r="I72" s="155">
        <f t="shared" si="52"/>
        <v>4.0738820454901399</v>
      </c>
      <c r="J72" s="155">
        <f t="shared" si="52"/>
        <v>4.1755566334278624</v>
      </c>
      <c r="K72" s="155">
        <f t="shared" si="52"/>
        <v>4.6583675730257061</v>
      </c>
      <c r="L72" s="155">
        <f t="shared" si="52"/>
        <v>5.4198356957004314</v>
      </c>
      <c r="M72" s="155">
        <f t="shared" si="52"/>
        <v>6.2849850539858014</v>
      </c>
      <c r="N72" s="155">
        <f t="shared" si="52"/>
        <v>6.0555198822120362</v>
      </c>
      <c r="O72" s="155">
        <f t="shared" si="52"/>
        <v>4.6036942089136028</v>
      </c>
      <c r="P72" s="155">
        <f t="shared" si="52"/>
        <v>0.98826669734685901</v>
      </c>
      <c r="Q72" s="155">
        <f t="shared" si="49"/>
        <v>2.5084539406741091</v>
      </c>
      <c r="R72" s="155">
        <f t="shared" si="50"/>
        <v>4.0917482895568842</v>
      </c>
      <c r="S72" s="155">
        <f t="shared" si="51"/>
        <v>3.1857242684991673</v>
      </c>
      <c r="T72" s="155">
        <f t="shared" si="51"/>
        <v>2.0451352873764499</v>
      </c>
    </row>
    <row r="73" spans="1:20">
      <c r="A73" s="3" t="s">
        <v>8</v>
      </c>
      <c r="B73" s="156"/>
      <c r="C73" s="156">
        <f t="shared" si="47"/>
        <v>3.7000000000000006</v>
      </c>
      <c r="D73" s="156">
        <f t="shared" si="47"/>
        <v>0.40000000000000885</v>
      </c>
      <c r="E73" s="156">
        <f t="shared" si="47"/>
        <v>1.2999999999999816</v>
      </c>
      <c r="F73" s="156">
        <f t="shared" si="47"/>
        <v>7.6000000000000094</v>
      </c>
      <c r="G73" s="156">
        <f t="shared" si="47"/>
        <v>8.099999999999989</v>
      </c>
      <c r="H73" s="156">
        <f t="shared" si="52"/>
        <v>1.899999999999983</v>
      </c>
      <c r="I73" s="156">
        <f t="shared" si="52"/>
        <v>2.2999999999999958</v>
      </c>
      <c r="J73" s="156">
        <f t="shared" si="52"/>
        <v>2.6657606565088985</v>
      </c>
      <c r="K73" s="156">
        <f t="shared" si="52"/>
        <v>5.3977778960595888</v>
      </c>
      <c r="L73" s="156">
        <f t="shared" si="52"/>
        <v>7.0466309866886307</v>
      </c>
      <c r="M73" s="156">
        <f t="shared" si="52"/>
        <v>5.9605501604514934</v>
      </c>
      <c r="N73" s="156">
        <f t="shared" si="52"/>
        <v>5.3093362240848645</v>
      </c>
      <c r="O73" s="156">
        <f t="shared" si="52"/>
        <v>0.98440620274083346</v>
      </c>
      <c r="P73" s="156">
        <f t="shared" si="52"/>
        <v>-1.217394364875563</v>
      </c>
      <c r="Q73" s="156">
        <f t="shared" si="49"/>
        <v>3.8068321925644106</v>
      </c>
      <c r="R73" s="156">
        <f t="shared" si="50"/>
        <v>4.4186970183411276</v>
      </c>
      <c r="S73" s="156">
        <f t="shared" si="51"/>
        <v>3.8180196302933824</v>
      </c>
      <c r="T73" s="156">
        <f t="shared" si="51"/>
        <v>2.1813883538049872</v>
      </c>
    </row>
    <row r="74" spans="1:20">
      <c r="A74" s="3" t="s">
        <v>9</v>
      </c>
      <c r="B74" s="156"/>
      <c r="C74" s="156">
        <f t="shared" si="47"/>
        <v>6.0999999999999881</v>
      </c>
      <c r="D74" s="156">
        <f t="shared" si="47"/>
        <v>7.6000000000000085</v>
      </c>
      <c r="E74" s="156">
        <f t="shared" si="47"/>
        <v>5.4999999999999858</v>
      </c>
      <c r="F74" s="156">
        <f t="shared" si="47"/>
        <v>5.2000000000000064</v>
      </c>
      <c r="G74" s="156">
        <f t="shared" si="47"/>
        <v>8.3000000000000025</v>
      </c>
      <c r="H74" s="156">
        <f t="shared" si="52"/>
        <v>5.9000000000000012</v>
      </c>
      <c r="I74" s="156">
        <f t="shared" si="52"/>
        <v>9.0000000000000142</v>
      </c>
      <c r="J74" s="156">
        <f t="shared" si="52"/>
        <v>6.3478429292036145</v>
      </c>
      <c r="K74" s="156">
        <f t="shared" si="52"/>
        <v>4.8872805593608213</v>
      </c>
      <c r="L74" s="156">
        <f t="shared" si="52"/>
        <v>5.2943174869204723</v>
      </c>
      <c r="M74" s="156">
        <f t="shared" si="52"/>
        <v>5.1158728861318288</v>
      </c>
      <c r="N74" s="156">
        <f t="shared" si="52"/>
        <v>6.604050284092847</v>
      </c>
      <c r="O74" s="156">
        <f t="shared" si="52"/>
        <v>3.9881515716341776</v>
      </c>
      <c r="P74" s="156">
        <f t="shared" si="52"/>
        <v>0.90904729196401557</v>
      </c>
      <c r="Q74" s="156">
        <f t="shared" si="49"/>
        <v>2.0207211943806027</v>
      </c>
      <c r="R74" s="156">
        <f t="shared" si="50"/>
        <v>3.1179251028303461</v>
      </c>
      <c r="S74" s="156">
        <f t="shared" si="51"/>
        <v>2.4165861731761784</v>
      </c>
      <c r="T74" s="156">
        <f t="shared" si="51"/>
        <v>1.9292628590020362</v>
      </c>
    </row>
    <row r="75" spans="1:20">
      <c r="A75" s="3" t="s">
        <v>10</v>
      </c>
      <c r="B75" s="156"/>
      <c r="C75" s="156">
        <f t="shared" si="47"/>
        <v>6.785370879120876</v>
      </c>
      <c r="D75" s="156">
        <f t="shared" si="47"/>
        <v>4.7060866545107203</v>
      </c>
      <c r="E75" s="156">
        <f t="shared" si="47"/>
        <v>2.3020560433834119</v>
      </c>
      <c r="F75" s="156">
        <f t="shared" si="47"/>
        <v>5.1105562588502584</v>
      </c>
      <c r="G75" s="156">
        <f t="shared" si="47"/>
        <v>3.1802295081655081</v>
      </c>
      <c r="H75" s="156">
        <f t="shared" si="52"/>
        <v>8.1675334214236646</v>
      </c>
      <c r="I75" s="156">
        <f t="shared" si="52"/>
        <v>6.2763462246337252</v>
      </c>
      <c r="J75" s="156">
        <f t="shared" si="52"/>
        <v>4.7992294262837882</v>
      </c>
      <c r="K75" s="156">
        <f t="shared" si="52"/>
        <v>7.0545298575766981</v>
      </c>
      <c r="L75" s="156">
        <f t="shared" si="52"/>
        <v>5.7091191368800622</v>
      </c>
      <c r="M75" s="156">
        <f t="shared" si="52"/>
        <v>9.6440482092428681</v>
      </c>
      <c r="N75" s="156">
        <f t="shared" si="52"/>
        <v>7.8699878295431551</v>
      </c>
      <c r="O75" s="156">
        <f t="shared" si="52"/>
        <v>7.3646591836411757</v>
      </c>
      <c r="P75" s="156">
        <f t="shared" si="52"/>
        <v>0.99838447756158688</v>
      </c>
      <c r="Q75" s="156">
        <f t="shared" si="49"/>
        <v>2.1641513414558613</v>
      </c>
      <c r="R75" s="156">
        <f t="shared" si="50"/>
        <v>4.723940110282836</v>
      </c>
      <c r="S75" s="156">
        <f t="shared" si="51"/>
        <v>3.6978826401532507</v>
      </c>
      <c r="T75" s="156">
        <f t="shared" si="51"/>
        <v>2.4076753689290955</v>
      </c>
    </row>
    <row r="76" spans="1:20">
      <c r="A76" s="3" t="s">
        <v>11</v>
      </c>
      <c r="B76" s="156"/>
      <c r="C76" s="156">
        <f t="shared" si="47"/>
        <v>2.6582004265986807</v>
      </c>
      <c r="D76" s="156">
        <f t="shared" si="47"/>
        <v>-3.2717766398577118E-2</v>
      </c>
      <c r="E76" s="156">
        <f t="shared" si="47"/>
        <v>6.211220661608996</v>
      </c>
      <c r="F76" s="156">
        <f t="shared" si="47"/>
        <v>3.8691359071068518</v>
      </c>
      <c r="G76" s="156">
        <f t="shared" si="47"/>
        <v>4.8180334557323574</v>
      </c>
      <c r="H76" s="156">
        <f t="shared" si="52"/>
        <v>2.2482668960604606</v>
      </c>
      <c r="I76" s="156">
        <f t="shared" si="52"/>
        <v>2.4637525883771518</v>
      </c>
      <c r="J76" s="156">
        <f t="shared" si="52"/>
        <v>5.5579361278451342</v>
      </c>
      <c r="K76" s="156">
        <f t="shared" si="52"/>
        <v>1.7467405320215865</v>
      </c>
      <c r="L76" s="156">
        <f t="shared" si="52"/>
        <v>3.7969232213473489</v>
      </c>
      <c r="M76" s="156">
        <f t="shared" si="52"/>
        <v>5.2210905695231604</v>
      </c>
      <c r="N76" s="156">
        <f t="shared" si="52"/>
        <v>5.55907728342269</v>
      </c>
      <c r="O76" s="156">
        <f t="shared" si="52"/>
        <v>3.9274029531677308</v>
      </c>
      <c r="P76" s="156">
        <f t="shared" si="52"/>
        <v>-0.85445700213376186</v>
      </c>
      <c r="Q76" s="156">
        <f t="shared" si="49"/>
        <v>0.43240800520955153</v>
      </c>
      <c r="R76" s="156">
        <f t="shared" si="50"/>
        <v>2.3161823587625285</v>
      </c>
      <c r="S76" s="156">
        <f t="shared" si="51"/>
        <v>2.071733712639519</v>
      </c>
      <c r="T76" s="156">
        <f t="shared" si="51"/>
        <v>1.7556655253974656</v>
      </c>
    </row>
    <row r="77" spans="1:20">
      <c r="A77" s="4" t="s">
        <v>12</v>
      </c>
      <c r="B77" s="157"/>
      <c r="C77" s="157">
        <f t="shared" si="47"/>
        <v>1.9316258603181764</v>
      </c>
      <c r="D77" s="157">
        <f t="shared" si="47"/>
        <v>0.78885420586954413</v>
      </c>
      <c r="E77" s="157">
        <f t="shared" si="47"/>
        <v>-0.74826843947224819</v>
      </c>
      <c r="F77" s="157">
        <f t="shared" si="47"/>
        <v>-0.85349660666864602</v>
      </c>
      <c r="G77" s="157">
        <f t="shared" si="47"/>
        <v>-0.92631860895961926</v>
      </c>
      <c r="H77" s="157">
        <f t="shared" si="52"/>
        <v>-0.93422851049128675</v>
      </c>
      <c r="I77" s="157">
        <f t="shared" si="52"/>
        <v>0.71637582061039029</v>
      </c>
      <c r="J77" s="157">
        <f t="shared" si="52"/>
        <v>2.767272536797444</v>
      </c>
      <c r="K77" s="157">
        <f t="shared" si="52"/>
        <v>1.9134219875326846</v>
      </c>
      <c r="L77" s="157">
        <f t="shared" si="52"/>
        <v>4.3080416310322178</v>
      </c>
      <c r="M77" s="157">
        <f t="shared" si="52"/>
        <v>3.0620327501620688</v>
      </c>
      <c r="N77" s="157">
        <f t="shared" si="52"/>
        <v>3.8786305461346289</v>
      </c>
      <c r="O77" s="157">
        <f t="shared" si="52"/>
        <v>4.5377187796707332</v>
      </c>
      <c r="P77" s="157">
        <f t="shared" si="52"/>
        <v>3.9097576858484424</v>
      </c>
      <c r="Q77" s="157">
        <f t="shared" si="49"/>
        <v>3.0807035482514369</v>
      </c>
      <c r="R77" s="157">
        <f t="shared" si="50"/>
        <v>4.1917652611453757</v>
      </c>
      <c r="S77" s="157">
        <f t="shared" si="51"/>
        <v>2.7716569287584361</v>
      </c>
      <c r="T77" s="157">
        <f t="shared" si="51"/>
        <v>1.5426910807802356</v>
      </c>
    </row>
    <row r="78" spans="1:20">
      <c r="A78" s="2" t="s">
        <v>13</v>
      </c>
      <c r="B78" s="155"/>
      <c r="C78" s="155">
        <f t="shared" si="47"/>
        <v>3.7836984271505938</v>
      </c>
      <c r="D78" s="155">
        <f t="shared" si="47"/>
        <v>2.5034504484970252</v>
      </c>
      <c r="E78" s="155">
        <f t="shared" si="47"/>
        <v>0.73043662949799104</v>
      </c>
      <c r="F78" s="155">
        <f t="shared" si="47"/>
        <v>2.5599076137659824</v>
      </c>
      <c r="G78" s="155">
        <f t="shared" si="47"/>
        <v>4.2961989184751603</v>
      </c>
      <c r="H78" s="155">
        <f t="shared" si="52"/>
        <v>2.8348799640016189</v>
      </c>
      <c r="I78" s="155">
        <f t="shared" si="52"/>
        <v>3.6689115621476263</v>
      </c>
      <c r="J78" s="155">
        <f t="shared" si="52"/>
        <v>2.9814696181032887</v>
      </c>
      <c r="K78" s="155">
        <f t="shared" si="52"/>
        <v>4.4976774203169017</v>
      </c>
      <c r="L78" s="155">
        <f t="shared" si="52"/>
        <v>5.3124294107518946</v>
      </c>
      <c r="M78" s="155">
        <f t="shared" si="52"/>
        <v>5.5261735541941519</v>
      </c>
      <c r="N78" s="155">
        <f t="shared" si="52"/>
        <v>5.5856888896875292</v>
      </c>
      <c r="O78" s="155">
        <f t="shared" si="52"/>
        <v>3.7619048885406654</v>
      </c>
      <c r="P78" s="155">
        <f t="shared" si="52"/>
        <v>-1.342262447282432</v>
      </c>
      <c r="Q78" s="155">
        <f t="shared" si="49"/>
        <v>3.0797055347604569</v>
      </c>
      <c r="R78" s="155">
        <f t="shared" si="50"/>
        <v>3.4314860364160586</v>
      </c>
      <c r="S78" s="155">
        <f t="shared" si="51"/>
        <v>2.4387374228239258</v>
      </c>
      <c r="T78" s="155">
        <f t="shared" si="51"/>
        <v>1.8678791376882498</v>
      </c>
    </row>
    <row r="79" spans="1:20">
      <c r="A79" s="3" t="s">
        <v>14</v>
      </c>
      <c r="B79" s="156"/>
      <c r="C79" s="156">
        <f t="shared" si="47"/>
        <v>4.8864894724710686</v>
      </c>
      <c r="D79" s="156">
        <f t="shared" si="47"/>
        <v>2.9212931721542796</v>
      </c>
      <c r="E79" s="156">
        <f t="shared" si="47"/>
        <v>-1.1390205051909141</v>
      </c>
      <c r="F79" s="156">
        <f t="shared" si="47"/>
        <v>-0.54053972212020618</v>
      </c>
      <c r="G79" s="156">
        <f t="shared" si="47"/>
        <v>1.5781107750698413</v>
      </c>
      <c r="H79" s="156">
        <f t="shared" si="52"/>
        <v>1.4376112669555074</v>
      </c>
      <c r="I79" s="156">
        <f t="shared" si="52"/>
        <v>2.711213522813436</v>
      </c>
      <c r="J79" s="156">
        <f t="shared" si="52"/>
        <v>2.6823827123497486</v>
      </c>
      <c r="K79" s="156">
        <f t="shared" si="52"/>
        <v>5.0242228894956327</v>
      </c>
      <c r="L79" s="156">
        <f t="shared" si="52"/>
        <v>4.9864147215017907</v>
      </c>
      <c r="M79" s="156">
        <f t="shared" si="52"/>
        <v>6.2435667441108134</v>
      </c>
      <c r="N79" s="156">
        <f t="shared" si="52"/>
        <v>5.236671649227703</v>
      </c>
      <c r="O79" s="156">
        <f t="shared" si="52"/>
        <v>2.4741042353844778</v>
      </c>
      <c r="P79" s="156">
        <f t="shared" si="52"/>
        <v>-3.0560803318411436</v>
      </c>
      <c r="Q79" s="156">
        <f t="shared" si="49"/>
        <v>3.6507289278168176</v>
      </c>
      <c r="R79" s="156">
        <f t="shared" si="50"/>
        <v>5.0114186161761172</v>
      </c>
      <c r="S79" s="156">
        <f t="shared" si="51"/>
        <v>2.6996915472263576</v>
      </c>
      <c r="T79" s="156">
        <f t="shared" si="51"/>
        <v>2.0787243416346506</v>
      </c>
    </row>
    <row r="80" spans="1:20" ht="13.5" thickBot="1">
      <c r="A80" s="105" t="s">
        <v>283</v>
      </c>
      <c r="B80" s="158"/>
      <c r="C80" s="158">
        <f t="shared" si="47"/>
        <v>3.9124055015246211</v>
      </c>
      <c r="D80" s="158">
        <f t="shared" si="47"/>
        <v>2.5526741402699931</v>
      </c>
      <c r="E80" s="158">
        <f t="shared" si="47"/>
        <v>0.50941483769572682</v>
      </c>
      <c r="F80" s="158">
        <f t="shared" si="47"/>
        <v>2.1993604303941741</v>
      </c>
      <c r="G80" s="158">
        <f t="shared" si="47"/>
        <v>3.988589800332127</v>
      </c>
      <c r="H80" s="158">
        <f t="shared" si="52"/>
        <v>2.6804149810827269</v>
      </c>
      <c r="I80" s="158">
        <f t="shared" si="52"/>
        <v>3.5643215754646991</v>
      </c>
      <c r="J80" s="158">
        <f t="shared" si="52"/>
        <v>2.949075466902547</v>
      </c>
      <c r="K80" s="158">
        <f t="shared" si="52"/>
        <v>4.5545599068036751</v>
      </c>
      <c r="L80" s="158">
        <f t="shared" si="52"/>
        <v>5.2770519743303756</v>
      </c>
      <c r="M80" s="158">
        <f t="shared" si="52"/>
        <v>5.603806457840629</v>
      </c>
      <c r="N80" s="158">
        <f t="shared" si="52"/>
        <v>5.5476910828714514</v>
      </c>
      <c r="O80" s="158">
        <f t="shared" si="52"/>
        <v>3.6221140668034093</v>
      </c>
      <c r="P80" s="158">
        <f t="shared" si="52"/>
        <v>-1.5262364128473747</v>
      </c>
      <c r="Q80" s="158">
        <f t="shared" si="49"/>
        <v>3.1400511386969949</v>
      </c>
      <c r="R80" s="158">
        <f t="shared" si="50"/>
        <v>3.5992796050564131</v>
      </c>
      <c r="S80" s="158">
        <f>(S21-R21)/R21*100</f>
        <v>2.466829296789093</v>
      </c>
      <c r="T80" s="158">
        <f>(T21-S21)/S21*100</f>
        <v>1.890628336917054</v>
      </c>
    </row>
    <row r="81" spans="1:20">
      <c r="Q81" s="91"/>
      <c r="R81" s="91"/>
      <c r="S81" s="91"/>
      <c r="T81" s="91"/>
    </row>
    <row r="82" spans="1:20" ht="18">
      <c r="A82" s="401" t="s">
        <v>168</v>
      </c>
      <c r="B82" s="401"/>
      <c r="C82" s="401"/>
      <c r="D82" s="401"/>
      <c r="E82" s="401"/>
      <c r="F82" s="401"/>
      <c r="G82" s="402"/>
      <c r="H82" s="402"/>
      <c r="I82" s="402"/>
      <c r="J82" s="402"/>
      <c r="K82" s="402"/>
      <c r="L82" s="402"/>
      <c r="M82" s="402"/>
      <c r="N82" s="402"/>
      <c r="O82" s="403"/>
      <c r="P82" s="403"/>
      <c r="T82"/>
    </row>
    <row r="83" spans="1:20">
      <c r="A83" s="1" t="s">
        <v>171</v>
      </c>
      <c r="B83" s="1"/>
      <c r="C83" s="1"/>
      <c r="D83" s="1"/>
      <c r="E83" s="1"/>
      <c r="F83" s="1"/>
      <c r="T83"/>
    </row>
    <row r="84" spans="1:20" ht="13.5" thickBot="1">
      <c r="A84" s="108" t="s">
        <v>167</v>
      </c>
      <c r="B84" s="102"/>
      <c r="C84" s="102" t="s">
        <v>277</v>
      </c>
      <c r="D84" s="102" t="s">
        <v>278</v>
      </c>
      <c r="E84" s="102" t="s">
        <v>279</v>
      </c>
      <c r="F84" s="102" t="s">
        <v>280</v>
      </c>
      <c r="G84" s="102" t="s">
        <v>16</v>
      </c>
      <c r="H84" s="102" t="s">
        <v>17</v>
      </c>
      <c r="I84" s="102" t="s">
        <v>18</v>
      </c>
      <c r="J84" s="109">
        <v>2003</v>
      </c>
      <c r="K84" s="109">
        <v>2004</v>
      </c>
      <c r="L84" s="109">
        <v>2005</v>
      </c>
      <c r="M84" s="109">
        <v>2006</v>
      </c>
      <c r="N84" s="109">
        <v>2007</v>
      </c>
      <c r="O84" s="109">
        <v>2008</v>
      </c>
      <c r="P84" s="109">
        <v>2009</v>
      </c>
      <c r="Q84" s="109">
        <v>2010</v>
      </c>
      <c r="R84" s="109">
        <v>2011</v>
      </c>
      <c r="S84" s="109">
        <v>2012</v>
      </c>
      <c r="T84" s="109">
        <v>2013</v>
      </c>
    </row>
    <row r="85" spans="1:20" ht="13.5" thickTop="1">
      <c r="A85" s="5" t="s">
        <v>0</v>
      </c>
      <c r="B85" s="154"/>
      <c r="C85" s="154">
        <f t="shared" ref="C85:G100" si="53">(C26-B26)/B26*100</f>
        <v>24.327178822247081</v>
      </c>
      <c r="D85" s="154">
        <f t="shared" si="53"/>
        <v>0.21275362758618852</v>
      </c>
      <c r="E85" s="154">
        <f t="shared" si="53"/>
        <v>1.8089305926057522E-2</v>
      </c>
      <c r="F85" s="154">
        <f t="shared" si="53"/>
        <v>-12.301400422253449</v>
      </c>
      <c r="G85" s="154">
        <f t="shared" si="53"/>
        <v>1.7227066681637493</v>
      </c>
      <c r="H85" s="154">
        <f>(H26-G26)/G26*100</f>
        <v>-1.8158586540644353</v>
      </c>
      <c r="I85" s="154">
        <f t="shared" ref="I85:P85" si="54">(I26-H26)/H26*100</f>
        <v>0.10661873370909471</v>
      </c>
      <c r="J85" s="154">
        <f t="shared" si="54"/>
        <v>5.3662048379077429</v>
      </c>
      <c r="K85" s="154">
        <f t="shared" si="54"/>
        <v>0.75567788508223666</v>
      </c>
      <c r="L85" s="154">
        <f t="shared" si="54"/>
        <v>-5.9574073835498673</v>
      </c>
      <c r="M85" s="154">
        <f t="shared" si="54"/>
        <v>-0.50635611208716658</v>
      </c>
      <c r="N85" s="154">
        <f t="shared" si="54"/>
        <v>3.6647028392462868</v>
      </c>
      <c r="O85" s="154">
        <f t="shared" si="54"/>
        <v>9.1361298427343591</v>
      </c>
      <c r="P85" s="154">
        <f t="shared" si="54"/>
        <v>-1.8424699641277273</v>
      </c>
      <c r="Q85" s="154">
        <f t="shared" ref="Q85:Q100" si="55">(Q26-P26)/P26*100</f>
        <v>1.928555932876326</v>
      </c>
      <c r="R85" s="154">
        <f t="shared" ref="R85:R100" si="56">(R26-Q26)/Q26*100</f>
        <v>0.49440363995346853</v>
      </c>
      <c r="S85" s="154">
        <f t="shared" ref="S85:T99" si="57">(S26-R26)/R26*100</f>
        <v>2.3917533896266869</v>
      </c>
      <c r="T85" s="154">
        <f t="shared" si="57"/>
        <v>2.9899081775716629</v>
      </c>
    </row>
    <row r="86" spans="1:20">
      <c r="A86" s="6" t="s">
        <v>1</v>
      </c>
      <c r="B86" s="156"/>
      <c r="C86" s="156">
        <f t="shared" si="53"/>
        <v>16.333389661194087</v>
      </c>
      <c r="D86" s="156">
        <f t="shared" si="53"/>
        <v>-0.3577582931626867</v>
      </c>
      <c r="E86" s="156">
        <f t="shared" si="53"/>
        <v>0.90679689008445941</v>
      </c>
      <c r="F86" s="156">
        <f t="shared" si="53"/>
        <v>-2.6298178119234397</v>
      </c>
      <c r="G86" s="156">
        <f t="shared" si="53"/>
        <v>3.7541218973935253</v>
      </c>
      <c r="H86" s="156">
        <f t="shared" ref="H86:P86" si="58">(H27-G27)/G27*100</f>
        <v>-0.35508425423581069</v>
      </c>
      <c r="I86" s="156">
        <f t="shared" si="58"/>
        <v>4.6535995212617367</v>
      </c>
      <c r="J86" s="156">
        <f t="shared" si="58"/>
        <v>5.1810405632529344</v>
      </c>
      <c r="K86" s="156">
        <f t="shared" si="58"/>
        <v>0.30146776810064102</v>
      </c>
      <c r="L86" s="156">
        <f t="shared" si="58"/>
        <v>-5.8366160720212283</v>
      </c>
      <c r="M86" s="156">
        <f t="shared" si="58"/>
        <v>0.5295114378516087</v>
      </c>
      <c r="N86" s="156">
        <f t="shared" si="58"/>
        <v>4.0860734635827018</v>
      </c>
      <c r="O86" s="156">
        <f t="shared" si="58"/>
        <v>14.542220760037633</v>
      </c>
      <c r="P86" s="156">
        <f t="shared" si="58"/>
        <v>-2.8799951416067211</v>
      </c>
      <c r="Q86" s="156">
        <f t="shared" si="55"/>
        <v>2.3561205061513402</v>
      </c>
      <c r="R86" s="156">
        <f t="shared" si="56"/>
        <v>1.0426824996273878</v>
      </c>
      <c r="S86" s="156">
        <f t="shared" si="57"/>
        <v>2.5222650964121804</v>
      </c>
      <c r="T86" s="156">
        <f t="shared" si="57"/>
        <v>3.4274041478283586</v>
      </c>
    </row>
    <row r="87" spans="1:20">
      <c r="A87" s="111" t="s">
        <v>2</v>
      </c>
      <c r="B87" s="157"/>
      <c r="C87" s="157">
        <f t="shared" si="53"/>
        <v>39.29112934414519</v>
      </c>
      <c r="D87" s="157">
        <f t="shared" si="53"/>
        <v>1.1047009794468841</v>
      </c>
      <c r="E87" s="157">
        <f t="shared" si="53"/>
        <v>-1.351232499277359</v>
      </c>
      <c r="F87" s="157">
        <f t="shared" si="53"/>
        <v>-27.54448783377434</v>
      </c>
      <c r="G87" s="157">
        <f t="shared" si="53"/>
        <v>-2.5798703215106769</v>
      </c>
      <c r="H87" s="157">
        <f t="shared" ref="H87:P87" si="59">(H28-G28)/G28*100</f>
        <v>-5.1109673962744733</v>
      </c>
      <c r="I87" s="157">
        <f t="shared" si="59"/>
        <v>-10.664217301363346</v>
      </c>
      <c r="J87" s="157">
        <f t="shared" si="59"/>
        <v>5.8719380036837112</v>
      </c>
      <c r="K87" s="157">
        <f t="shared" si="59"/>
        <v>2.0029645322294729</v>
      </c>
      <c r="L87" s="157">
        <f t="shared" si="59"/>
        <v>-6.257482883260959</v>
      </c>
      <c r="M87" s="157">
        <f t="shared" si="59"/>
        <v>-3.3422109236834716</v>
      </c>
      <c r="N87" s="157">
        <f t="shared" si="59"/>
        <v>2.492336595723593</v>
      </c>
      <c r="O87" s="157">
        <f t="shared" si="59"/>
        <v>-6.5363134879644038</v>
      </c>
      <c r="P87" s="157">
        <f t="shared" si="59"/>
        <v>-6.3954457596395118</v>
      </c>
      <c r="Q87" s="157">
        <f t="shared" si="55"/>
        <v>9.4190030483959752</v>
      </c>
      <c r="R87" s="157">
        <f t="shared" si="56"/>
        <v>-1.3813072964211506</v>
      </c>
      <c r="S87" s="157">
        <f t="shared" si="57"/>
        <v>1.9342866696991108</v>
      </c>
      <c r="T87" s="157">
        <f t="shared" si="57"/>
        <v>1.4475615159219939</v>
      </c>
    </row>
    <row r="88" spans="1:20">
      <c r="A88" s="5" t="s">
        <v>3</v>
      </c>
      <c r="B88" s="155"/>
      <c r="C88" s="155">
        <f t="shared" si="53"/>
        <v>2.2634245211871051</v>
      </c>
      <c r="D88" s="155">
        <f t="shared" si="53"/>
        <v>2.9974216511283585</v>
      </c>
      <c r="E88" s="155">
        <f t="shared" si="53"/>
        <v>-1.9763677256198697</v>
      </c>
      <c r="F88" s="155">
        <f t="shared" si="53"/>
        <v>0.86303659176368785</v>
      </c>
      <c r="G88" s="155">
        <f t="shared" si="53"/>
        <v>7.9829223019315849</v>
      </c>
      <c r="H88" s="155">
        <f t="shared" ref="H88:P88" si="60">(H29-G29)/G29*100</f>
        <v>4.9791564011893703</v>
      </c>
      <c r="I88" s="155">
        <f t="shared" si="60"/>
        <v>1.0269937440988337</v>
      </c>
      <c r="J88" s="155">
        <f t="shared" si="60"/>
        <v>-1.4938695307479761</v>
      </c>
      <c r="K88" s="155">
        <f t="shared" si="60"/>
        <v>5.2864306206426095</v>
      </c>
      <c r="L88" s="155">
        <f t="shared" si="60"/>
        <v>6.7971079153581915</v>
      </c>
      <c r="M88" s="155">
        <f t="shared" si="60"/>
        <v>5.9365850043237858</v>
      </c>
      <c r="N88" s="155">
        <f t="shared" si="60"/>
        <v>5.9345847172376498</v>
      </c>
      <c r="O88" s="155">
        <f t="shared" si="60"/>
        <v>2.687272694892648</v>
      </c>
      <c r="P88" s="155">
        <f t="shared" si="60"/>
        <v>-8.3894488920458841</v>
      </c>
      <c r="Q88" s="155">
        <f t="shared" si="55"/>
        <v>5.9145179254686644</v>
      </c>
      <c r="R88" s="155">
        <f t="shared" si="56"/>
        <v>2.7934196697021081</v>
      </c>
      <c r="S88" s="155">
        <f t="shared" si="57"/>
        <v>1.7605599259382085</v>
      </c>
      <c r="T88" s="155">
        <f t="shared" si="57"/>
        <v>0.89089645608922385</v>
      </c>
    </row>
    <row r="89" spans="1:20">
      <c r="A89" s="6" t="s">
        <v>4</v>
      </c>
      <c r="B89" s="156"/>
      <c r="C89" s="156">
        <f t="shared" si="53"/>
        <v>1.7479865100412453</v>
      </c>
      <c r="D89" s="156">
        <f t="shared" si="53"/>
        <v>2.6509811171693163</v>
      </c>
      <c r="E89" s="156">
        <f t="shared" si="53"/>
        <v>-0.45016265487669321</v>
      </c>
      <c r="F89" s="156">
        <f t="shared" si="53"/>
        <v>1.6032162029260777</v>
      </c>
      <c r="G89" s="156">
        <f t="shared" si="53"/>
        <v>8.5899492696371755</v>
      </c>
      <c r="H89" s="156">
        <f t="shared" ref="H89:P89" si="61">(H30-G30)/G30*100</f>
        <v>2.9761256863385848</v>
      </c>
      <c r="I89" s="156">
        <f t="shared" si="61"/>
        <v>2.6356048186201808</v>
      </c>
      <c r="J89" s="156">
        <f t="shared" si="61"/>
        <v>-0.91605471872023903</v>
      </c>
      <c r="K89" s="156">
        <f t="shared" si="61"/>
        <v>4.7001760233957999</v>
      </c>
      <c r="L89" s="156">
        <f t="shared" si="61"/>
        <v>6.1687914449954455</v>
      </c>
      <c r="M89" s="156">
        <f t="shared" si="61"/>
        <v>6.036168576729219</v>
      </c>
      <c r="N89" s="156">
        <f t="shared" si="61"/>
        <v>5.2996246307200439</v>
      </c>
      <c r="O89" s="156">
        <f t="shared" si="61"/>
        <v>2.5596069215934913</v>
      </c>
      <c r="P89" s="156">
        <f t="shared" si="61"/>
        <v>-9.9543463069773903</v>
      </c>
      <c r="Q89" s="156">
        <f t="shared" si="55"/>
        <v>6.0837594194649842</v>
      </c>
      <c r="R89" s="156">
        <f t="shared" si="56"/>
        <v>3.2768041468602385</v>
      </c>
      <c r="S89" s="156">
        <f t="shared" si="57"/>
        <v>2.1242757927267482</v>
      </c>
      <c r="T89" s="156">
        <f t="shared" si="57"/>
        <v>0.74625617331509708</v>
      </c>
    </row>
    <row r="90" spans="1:20">
      <c r="A90" s="6" t="s">
        <v>5</v>
      </c>
      <c r="B90" s="156"/>
      <c r="C90" s="156">
        <f t="shared" si="53"/>
        <v>11.074059626964919</v>
      </c>
      <c r="D90" s="156">
        <f t="shared" si="53"/>
        <v>3.4431570966822234</v>
      </c>
      <c r="E90" s="156">
        <f t="shared" si="53"/>
        <v>-6.1115588922262223</v>
      </c>
      <c r="F90" s="156">
        <f t="shared" si="53"/>
        <v>5.8738189568442158E-2</v>
      </c>
      <c r="G90" s="156">
        <f t="shared" si="53"/>
        <v>5.8676268172194277</v>
      </c>
      <c r="H90" s="156">
        <f t="shared" ref="H90:P90" si="62">(H31-G31)/G31*100</f>
        <v>-0.15546150218985691</v>
      </c>
      <c r="I90" s="156">
        <f t="shared" si="62"/>
        <v>9.7037840654843333</v>
      </c>
      <c r="J90" s="156">
        <f t="shared" si="62"/>
        <v>-11.509926472880784</v>
      </c>
      <c r="K90" s="156">
        <f t="shared" si="62"/>
        <v>7.3184307014032184</v>
      </c>
      <c r="L90" s="156">
        <f t="shared" si="62"/>
        <v>6.5109752045458391</v>
      </c>
      <c r="M90" s="156">
        <f t="shared" si="62"/>
        <v>3.3018254086246044</v>
      </c>
      <c r="N90" s="156">
        <f t="shared" si="62"/>
        <v>3.3333848851099455</v>
      </c>
      <c r="O90" s="156">
        <f t="shared" si="62"/>
        <v>-4.0239550888765931</v>
      </c>
      <c r="P90" s="156">
        <f t="shared" si="62"/>
        <v>-3.9174595548279525</v>
      </c>
      <c r="Q90" s="156">
        <f t="shared" si="55"/>
        <v>1.1912040995581175</v>
      </c>
      <c r="R90" s="156">
        <f t="shared" si="56"/>
        <v>1.1951674328474109</v>
      </c>
      <c r="S90" s="156">
        <f t="shared" si="57"/>
        <v>-3.3031718719698002</v>
      </c>
      <c r="T90" s="156">
        <f t="shared" si="57"/>
        <v>-0.70049305668010831</v>
      </c>
    </row>
    <row r="91" spans="1:20">
      <c r="A91" s="111" t="s">
        <v>6</v>
      </c>
      <c r="B91" s="157"/>
      <c r="C91" s="157">
        <f t="shared" si="53"/>
        <v>-1.7304780763978587</v>
      </c>
      <c r="D91" s="157">
        <f t="shared" si="53"/>
        <v>5.7190779192565628</v>
      </c>
      <c r="E91" s="157">
        <f t="shared" si="53"/>
        <v>-11.254456509814501</v>
      </c>
      <c r="F91" s="157">
        <f t="shared" si="53"/>
        <v>-5.6966269183352605</v>
      </c>
      <c r="G91" s="157">
        <f t="shared" si="53"/>
        <v>3.941044202206661</v>
      </c>
      <c r="H91" s="157">
        <f t="shared" ref="H91:P91" si="63">(H32-G32)/G32*100</f>
        <v>34.108681314950161</v>
      </c>
      <c r="I91" s="157">
        <f t="shared" si="63"/>
        <v>-21.006937512957489</v>
      </c>
      <c r="J91" s="157">
        <f t="shared" si="63"/>
        <v>4.7497428617470439</v>
      </c>
      <c r="K91" s="157">
        <f t="shared" si="63"/>
        <v>9.3854882281274872</v>
      </c>
      <c r="L91" s="157">
        <f t="shared" si="63"/>
        <v>13.557312528495702</v>
      </c>
      <c r="M91" s="157">
        <f t="shared" si="63"/>
        <v>7.5978260116048659</v>
      </c>
      <c r="N91" s="157">
        <f t="shared" si="63"/>
        <v>14.424716897190359</v>
      </c>
      <c r="O91" s="157">
        <f t="shared" si="63"/>
        <v>8.5556573784848684</v>
      </c>
      <c r="P91" s="157">
        <f t="shared" si="63"/>
        <v>8.3931078425761161</v>
      </c>
      <c r="Q91" s="157">
        <f t="shared" si="55"/>
        <v>1.6492341187670074</v>
      </c>
      <c r="R91" s="157">
        <f t="shared" si="56"/>
        <v>0.41834048042517591</v>
      </c>
      <c r="S91" s="157">
        <f t="shared" si="57"/>
        <v>2.5206935625257496</v>
      </c>
      <c r="T91" s="157">
        <f t="shared" si="57"/>
        <v>2.9647373067400324</v>
      </c>
    </row>
    <row r="92" spans="1:20">
      <c r="A92" s="5" t="s">
        <v>7</v>
      </c>
      <c r="B92" s="155"/>
      <c r="C92" s="155">
        <f t="shared" si="53"/>
        <v>4.1991954303656254</v>
      </c>
      <c r="D92" s="155">
        <f t="shared" si="53"/>
        <v>1.5145199579551749</v>
      </c>
      <c r="E92" s="155">
        <f t="shared" si="53"/>
        <v>2.7470317028769098</v>
      </c>
      <c r="F92" s="155">
        <f t="shared" si="53"/>
        <v>3.205049508043869</v>
      </c>
      <c r="G92" s="155">
        <f t="shared" si="53"/>
        <v>3.6950185386219956</v>
      </c>
      <c r="H92" s="155">
        <f t="shared" ref="H92:P92" si="64">(H33-G33)/G33*100</f>
        <v>4.4785613796745904</v>
      </c>
      <c r="I92" s="155">
        <f t="shared" si="64"/>
        <v>4.0041102129596284</v>
      </c>
      <c r="J92" s="155">
        <f t="shared" si="64"/>
        <v>4.6851053389306321</v>
      </c>
      <c r="K92" s="155">
        <f t="shared" si="64"/>
        <v>4.5034154413494942</v>
      </c>
      <c r="L92" s="155">
        <f t="shared" si="64"/>
        <v>6.7740470832468134</v>
      </c>
      <c r="M92" s="155">
        <f t="shared" si="64"/>
        <v>5.7542002180562237</v>
      </c>
      <c r="N92" s="155">
        <f t="shared" si="64"/>
        <v>6.2681907143523734</v>
      </c>
      <c r="O92" s="155">
        <f t="shared" si="64"/>
        <v>4.3522368737448147</v>
      </c>
      <c r="P92" s="155">
        <f t="shared" si="64"/>
        <v>1.3057585421395359</v>
      </c>
      <c r="Q92" s="155">
        <f t="shared" si="55"/>
        <v>3.272210809599045</v>
      </c>
      <c r="R92" s="155">
        <f t="shared" si="56"/>
        <v>4.1573386689550826</v>
      </c>
      <c r="S92" s="155">
        <f t="shared" si="57"/>
        <v>3.0508918256614113</v>
      </c>
      <c r="T92" s="155">
        <f t="shared" si="57"/>
        <v>2.1873694084255932</v>
      </c>
    </row>
    <row r="93" spans="1:20">
      <c r="A93" s="3" t="s">
        <v>8</v>
      </c>
      <c r="B93" s="156"/>
      <c r="C93" s="156">
        <f t="shared" si="53"/>
        <v>2.2470205122525559</v>
      </c>
      <c r="D93" s="156">
        <f t="shared" si="53"/>
        <v>0.55422679345200143</v>
      </c>
      <c r="E93" s="156">
        <f t="shared" si="53"/>
        <v>0.88094178663700917</v>
      </c>
      <c r="F93" s="156">
        <f t="shared" si="53"/>
        <v>7.153438110640173</v>
      </c>
      <c r="G93" s="156">
        <f t="shared" si="53"/>
        <v>8.2442430596969913</v>
      </c>
      <c r="H93" s="156">
        <f t="shared" ref="H93:P93" si="65">(H34-G34)/G34*100</f>
        <v>7.8119454402685991</v>
      </c>
      <c r="I93" s="156">
        <f t="shared" si="65"/>
        <v>2.4495687567601099</v>
      </c>
      <c r="J93" s="156">
        <f t="shared" si="65"/>
        <v>3.4685181819147157</v>
      </c>
      <c r="K93" s="156">
        <f t="shared" si="65"/>
        <v>5.436724967095766</v>
      </c>
      <c r="L93" s="156">
        <f t="shared" si="65"/>
        <v>6.467755570474333</v>
      </c>
      <c r="M93" s="156">
        <f t="shared" si="65"/>
        <v>6.4027775150125237</v>
      </c>
      <c r="N93" s="156">
        <f t="shared" si="65"/>
        <v>5.5921563971629666</v>
      </c>
      <c r="O93" s="156">
        <f t="shared" si="65"/>
        <v>1.0583020032393908</v>
      </c>
      <c r="P93" s="156">
        <f t="shared" si="65"/>
        <v>6.3531302635537995E-2</v>
      </c>
      <c r="Q93" s="156">
        <f t="shared" si="55"/>
        <v>4.1695925907504501</v>
      </c>
      <c r="R93" s="156">
        <f t="shared" si="56"/>
        <v>5.0860616415897564</v>
      </c>
      <c r="S93" s="156">
        <f t="shared" si="57"/>
        <v>3.7381161108823671</v>
      </c>
      <c r="T93" s="156">
        <f t="shared" si="57"/>
        <v>2.8308062428081819</v>
      </c>
    </row>
    <row r="94" spans="1:20">
      <c r="A94" s="3" t="s">
        <v>9</v>
      </c>
      <c r="B94" s="156"/>
      <c r="C94" s="156">
        <f t="shared" si="53"/>
        <v>4.4671965229658666</v>
      </c>
      <c r="D94" s="156">
        <f t="shared" si="53"/>
        <v>5.5598837816904023</v>
      </c>
      <c r="E94" s="156">
        <f t="shared" si="53"/>
        <v>4.5286472045194284</v>
      </c>
      <c r="F94" s="156">
        <f t="shared" si="53"/>
        <v>3.5515228165262891</v>
      </c>
      <c r="G94" s="156">
        <f t="shared" si="53"/>
        <v>6.4544516753365295</v>
      </c>
      <c r="H94" s="156">
        <f t="shared" ref="H94:P94" si="66">(H35-G35)/G35*100</f>
        <v>4.3137983896882419</v>
      </c>
      <c r="I94" s="156">
        <f t="shared" si="66"/>
        <v>9.3551417802024215</v>
      </c>
      <c r="J94" s="156">
        <f t="shared" si="66"/>
        <v>6.9910452895022734</v>
      </c>
      <c r="K94" s="156">
        <f t="shared" si="66"/>
        <v>4.4789047295174713</v>
      </c>
      <c r="L94" s="156">
        <f t="shared" si="66"/>
        <v>5.9155791352759435</v>
      </c>
      <c r="M94" s="156">
        <f t="shared" si="66"/>
        <v>5.2002254287003886</v>
      </c>
      <c r="N94" s="156">
        <f t="shared" si="66"/>
        <v>7.1322797925044883</v>
      </c>
      <c r="O94" s="156">
        <f t="shared" si="66"/>
        <v>4.18879282917261</v>
      </c>
      <c r="P94" s="156">
        <f t="shared" si="66"/>
        <v>1.5923054248031046</v>
      </c>
      <c r="Q94" s="156">
        <f t="shared" si="55"/>
        <v>2.6750308403047143</v>
      </c>
      <c r="R94" s="156">
        <f t="shared" si="56"/>
        <v>2.9019164395214703</v>
      </c>
      <c r="S94" s="156">
        <f t="shared" si="57"/>
        <v>2.5631789056679177</v>
      </c>
      <c r="T94" s="156">
        <f t="shared" si="57"/>
        <v>1.7156017825355701</v>
      </c>
    </row>
    <row r="95" spans="1:20">
      <c r="A95" s="3" t="s">
        <v>10</v>
      </c>
      <c r="B95" s="156"/>
      <c r="C95" s="156">
        <f t="shared" si="53"/>
        <v>6.8454417881424288</v>
      </c>
      <c r="D95" s="156">
        <f t="shared" si="53"/>
        <v>4.2397690664207577</v>
      </c>
      <c r="E95" s="156">
        <f t="shared" si="53"/>
        <v>2.4268725064224799</v>
      </c>
      <c r="F95" s="156">
        <f t="shared" si="53"/>
        <v>6.0813331708891418</v>
      </c>
      <c r="G95" s="156">
        <f t="shared" si="53"/>
        <v>1.1933287562376913</v>
      </c>
      <c r="H95" s="156">
        <f t="shared" ref="H95:P95" si="67">(H36-G36)/G36*100</f>
        <v>5.7000743655677866</v>
      </c>
      <c r="I95" s="156">
        <f t="shared" si="67"/>
        <v>5.0548030717983794</v>
      </c>
      <c r="J95" s="156">
        <f t="shared" si="67"/>
        <v>5.5895925346991957</v>
      </c>
      <c r="K95" s="156">
        <f t="shared" si="67"/>
        <v>7.2250771810823515</v>
      </c>
      <c r="L95" s="156">
        <f t="shared" si="67"/>
        <v>10.575790858750496</v>
      </c>
      <c r="M95" s="156">
        <f t="shared" si="67"/>
        <v>7.6947753159013086</v>
      </c>
      <c r="N95" s="156">
        <f t="shared" si="67"/>
        <v>7.7600516477831105</v>
      </c>
      <c r="O95" s="156">
        <f t="shared" si="67"/>
        <v>7.3847387311771424</v>
      </c>
      <c r="P95" s="156">
        <f t="shared" si="67"/>
        <v>1.6209403006868479</v>
      </c>
      <c r="Q95" s="156">
        <f t="shared" si="55"/>
        <v>2.4452309646419557</v>
      </c>
      <c r="R95" s="156">
        <f t="shared" si="56"/>
        <v>4.8132820447818787</v>
      </c>
      <c r="S95" s="156">
        <f t="shared" si="57"/>
        <v>3.3433570285832568</v>
      </c>
      <c r="T95" s="156">
        <f t="shared" si="57"/>
        <v>2.4952662435787505</v>
      </c>
    </row>
    <row r="96" spans="1:20">
      <c r="A96" s="3" t="s">
        <v>11</v>
      </c>
      <c r="B96" s="156"/>
      <c r="C96" s="156">
        <f t="shared" si="53"/>
        <v>2.5993756666897951</v>
      </c>
      <c r="D96" s="156">
        <f t="shared" si="53"/>
        <v>-0.10203571415376578</v>
      </c>
      <c r="E96" s="156">
        <f t="shared" si="53"/>
        <v>6.2204660235137315</v>
      </c>
      <c r="F96" s="156">
        <f t="shared" si="53"/>
        <v>3.6957968062409501</v>
      </c>
      <c r="G96" s="156">
        <f t="shared" si="53"/>
        <v>4.7073160157575709</v>
      </c>
      <c r="H96" s="156">
        <f t="shared" ref="H96:P96" si="68">(H37-G37)/G37*100</f>
        <v>2.3313694955157054</v>
      </c>
      <c r="I96" s="156">
        <f t="shared" si="68"/>
        <v>2.411459265991736</v>
      </c>
      <c r="J96" s="156">
        <f t="shared" si="68"/>
        <v>5.5714173598928376</v>
      </c>
      <c r="K96" s="156">
        <f t="shared" si="68"/>
        <v>1.7682853612014979</v>
      </c>
      <c r="L96" s="156">
        <f t="shared" si="68"/>
        <v>3.3769873624156377</v>
      </c>
      <c r="M96" s="156">
        <f t="shared" si="68"/>
        <v>5.3055692510047248</v>
      </c>
      <c r="N96" s="156">
        <f t="shared" si="68"/>
        <v>5.5076826940719625</v>
      </c>
      <c r="O96" s="156">
        <f t="shared" si="68"/>
        <v>3.7697570928601003</v>
      </c>
      <c r="P96" s="156">
        <f t="shared" si="68"/>
        <v>-2.2682734021946482E-2</v>
      </c>
      <c r="Q96" s="156">
        <f t="shared" si="55"/>
        <v>0.66604117936195084</v>
      </c>
      <c r="R96" s="156">
        <f t="shared" si="56"/>
        <v>2.5547119095466639</v>
      </c>
      <c r="S96" s="156">
        <f t="shared" si="57"/>
        <v>2.2575201417636266</v>
      </c>
      <c r="T96" s="156">
        <f t="shared" si="57"/>
        <v>1.9919065978230448</v>
      </c>
    </row>
    <row r="97" spans="1:20">
      <c r="A97" s="111" t="s">
        <v>12</v>
      </c>
      <c r="B97" s="157"/>
      <c r="C97" s="157">
        <f t="shared" si="53"/>
        <v>3.784687181258374</v>
      </c>
      <c r="D97" s="157">
        <f t="shared" si="53"/>
        <v>-2.419891015264688</v>
      </c>
      <c r="E97" s="157">
        <f t="shared" si="53"/>
        <v>1.9185776304905107</v>
      </c>
      <c r="F97" s="157">
        <f t="shared" si="53"/>
        <v>-3.4818138516285417</v>
      </c>
      <c r="G97" s="157">
        <f t="shared" si="53"/>
        <v>-0.29083884431686502</v>
      </c>
      <c r="H97" s="157">
        <f t="shared" ref="H97:P97" si="69">(H38-G38)/G38*100</f>
        <v>0.93167194546765941</v>
      </c>
      <c r="I97" s="157">
        <f t="shared" si="69"/>
        <v>0.41607279782576079</v>
      </c>
      <c r="J97" s="157">
        <f t="shared" si="69"/>
        <v>2.1974951064812722</v>
      </c>
      <c r="K97" s="157">
        <f t="shared" si="69"/>
        <v>1.3494582078885304</v>
      </c>
      <c r="L97" s="157">
        <f t="shared" si="69"/>
        <v>4.5039283876418814</v>
      </c>
      <c r="M97" s="157">
        <f t="shared" si="69"/>
        <v>2.9800543201634762</v>
      </c>
      <c r="N97" s="157">
        <f t="shared" si="69"/>
        <v>4.0691697388377337</v>
      </c>
      <c r="O97" s="157">
        <f t="shared" si="69"/>
        <v>4.9247090623668122</v>
      </c>
      <c r="P97" s="157">
        <f t="shared" si="69"/>
        <v>3.8975244164054477</v>
      </c>
      <c r="Q97" s="157">
        <f t="shared" si="55"/>
        <v>3.590002353916137</v>
      </c>
      <c r="R97" s="157">
        <f t="shared" si="56"/>
        <v>4.1947895632822823</v>
      </c>
      <c r="S97" s="157">
        <f t="shared" si="57"/>
        <v>2.6974343637254323</v>
      </c>
      <c r="T97" s="157">
        <f t="shared" si="57"/>
        <v>1.545640534648169</v>
      </c>
    </row>
    <row r="98" spans="1:20">
      <c r="A98" s="5" t="s">
        <v>13</v>
      </c>
      <c r="B98" s="155"/>
      <c r="C98" s="155">
        <f t="shared" si="53"/>
        <v>5.1652471014777701</v>
      </c>
      <c r="D98" s="155">
        <f t="shared" si="53"/>
        <v>1.8406538219796784</v>
      </c>
      <c r="E98" s="155">
        <f t="shared" si="53"/>
        <v>1.0643415175973707</v>
      </c>
      <c r="F98" s="155">
        <f t="shared" si="53"/>
        <v>1.1269369893373067</v>
      </c>
      <c r="G98" s="155">
        <f t="shared" si="53"/>
        <v>4.6799296586110222</v>
      </c>
      <c r="H98" s="155">
        <f t="shared" ref="H98:P98" si="70">(H39-G39)/G39*100</f>
        <v>4.232601503084334</v>
      </c>
      <c r="I98" s="155">
        <f t="shared" si="70"/>
        <v>2.8635373900991805</v>
      </c>
      <c r="J98" s="155">
        <f t="shared" si="70"/>
        <v>2.8779538583667152</v>
      </c>
      <c r="K98" s="155">
        <f t="shared" si="70"/>
        <v>4.4630634375444576</v>
      </c>
      <c r="L98" s="155">
        <f t="shared" si="70"/>
        <v>5.9113280445307756</v>
      </c>
      <c r="M98" s="155">
        <f t="shared" si="70"/>
        <v>5.4278525455709392</v>
      </c>
      <c r="N98" s="155">
        <f t="shared" si="70"/>
        <v>6.0213236528969771</v>
      </c>
      <c r="O98" s="155">
        <f t="shared" si="70"/>
        <v>4.1317427446187338</v>
      </c>
      <c r="P98" s="155">
        <f t="shared" si="70"/>
        <v>-1.6819698066760109</v>
      </c>
      <c r="Q98" s="155">
        <f t="shared" si="55"/>
        <v>3.9053853946402386</v>
      </c>
      <c r="R98" s="155">
        <f t="shared" si="56"/>
        <v>3.5724346657527795</v>
      </c>
      <c r="S98" s="155">
        <f t="shared" si="57"/>
        <v>2.6624916427019754</v>
      </c>
      <c r="T98" s="155">
        <f t="shared" si="57"/>
        <v>1.881730358109486</v>
      </c>
    </row>
    <row r="99" spans="1:20">
      <c r="A99" s="6" t="s">
        <v>14</v>
      </c>
      <c r="B99" s="156"/>
      <c r="C99" s="156">
        <f t="shared" si="53"/>
        <v>5.2529069260921979</v>
      </c>
      <c r="D99" s="156">
        <f t="shared" si="53"/>
        <v>2.759255025684257</v>
      </c>
      <c r="E99" s="156">
        <f t="shared" si="53"/>
        <v>-0.56017125576327509</v>
      </c>
      <c r="F99" s="156">
        <f t="shared" si="53"/>
        <v>-1.9620211950230222</v>
      </c>
      <c r="G99" s="156">
        <f t="shared" si="53"/>
        <v>2.5481394302657341</v>
      </c>
      <c r="H99" s="156">
        <f t="shared" ref="H99:P99" si="71">(H40-G40)/G40*100</f>
        <v>6.2281326850870817</v>
      </c>
      <c r="I99" s="156">
        <f t="shared" si="71"/>
        <v>-0.4676151504237317</v>
      </c>
      <c r="J99" s="156">
        <f t="shared" si="71"/>
        <v>1.6493159850512302</v>
      </c>
      <c r="K99" s="156">
        <f t="shared" si="71"/>
        <v>4.7734817746311</v>
      </c>
      <c r="L99" s="156">
        <f t="shared" si="71"/>
        <v>4.515040792438942</v>
      </c>
      <c r="M99" s="156">
        <f t="shared" si="71"/>
        <v>6.4079118011499832</v>
      </c>
      <c r="N99" s="156">
        <f t="shared" si="71"/>
        <v>4.8528676076738195</v>
      </c>
      <c r="O99" s="156">
        <f t="shared" si="71"/>
        <v>2.6315268504046929</v>
      </c>
      <c r="P99" s="156">
        <f t="shared" si="71"/>
        <v>-2.7842296849027819</v>
      </c>
      <c r="Q99" s="156">
        <f t="shared" si="55"/>
        <v>5.112079499669929</v>
      </c>
      <c r="R99" s="156">
        <f t="shared" si="56"/>
        <v>3.4452675342734809</v>
      </c>
      <c r="S99" s="156">
        <f t="shared" si="57"/>
        <v>4.0207593256717695</v>
      </c>
      <c r="T99" s="156">
        <f t="shared" si="57"/>
        <v>0.55289001372347713</v>
      </c>
    </row>
    <row r="100" spans="1:20" ht="13.5" thickBot="1">
      <c r="A100" s="173" t="s">
        <v>282</v>
      </c>
      <c r="B100" s="158"/>
      <c r="C100" s="158">
        <f t="shared" si="53"/>
        <v>5.175490589482723</v>
      </c>
      <c r="D100" s="158">
        <f t="shared" si="53"/>
        <v>1.9480759691223581</v>
      </c>
      <c r="E100" s="158">
        <f t="shared" si="53"/>
        <v>0.87285779483851178</v>
      </c>
      <c r="F100" s="158">
        <f t="shared" si="53"/>
        <v>0.76800943160552615</v>
      </c>
      <c r="G100" s="158">
        <f>G98</f>
        <v>4.6799296586110222</v>
      </c>
      <c r="H100" s="158">
        <f t="shared" ref="H100:N100" si="72">(H41-G41)/G41*100</f>
        <v>4.4541099648747133</v>
      </c>
      <c r="I100" s="158">
        <f t="shared" si="72"/>
        <v>2.4874919405530238</v>
      </c>
      <c r="J100" s="158">
        <f t="shared" si="72"/>
        <v>2.7432639906487406</v>
      </c>
      <c r="K100" s="158">
        <f t="shared" si="72"/>
        <v>4.4967464894428772</v>
      </c>
      <c r="L100" s="158">
        <f t="shared" si="72"/>
        <v>5.7593018540806664</v>
      </c>
      <c r="M100" s="158">
        <f t="shared" si="72"/>
        <v>5.5333278654310973</v>
      </c>
      <c r="N100" s="158">
        <f t="shared" si="72"/>
        <v>5.8948084570002708</v>
      </c>
      <c r="O100" s="158">
        <f>(O41-N41)/N41*100</f>
        <v>3.9731293461308819</v>
      </c>
      <c r="P100" s="158">
        <f>(P41-O41)/O41*100</f>
        <v>-1.781471351225947</v>
      </c>
      <c r="Q100" s="158">
        <f t="shared" si="55"/>
        <v>4.0111945616728821</v>
      </c>
      <c r="R100" s="158">
        <f t="shared" si="56"/>
        <v>3.5589624319056061</v>
      </c>
      <c r="S100" s="158">
        <f>(S41-R41)/R41*100</f>
        <v>2.8062301206934368</v>
      </c>
      <c r="T100" s="158">
        <f>(T41-S41)/S41*100</f>
        <v>1.7394447202940613</v>
      </c>
    </row>
    <row r="101" spans="1:20">
      <c r="T101"/>
    </row>
    <row r="102" spans="1:20">
      <c r="A102" s="383" t="s">
        <v>428</v>
      </c>
      <c r="B102" s="383"/>
      <c r="C102" s="383">
        <v>5</v>
      </c>
      <c r="D102" s="383">
        <v>5</v>
      </c>
      <c r="E102" s="383">
        <v>5</v>
      </c>
      <c r="F102" s="383">
        <v>5</v>
      </c>
      <c r="G102" s="383">
        <v>5</v>
      </c>
      <c r="H102" s="383">
        <v>5</v>
      </c>
      <c r="I102" s="383">
        <v>5</v>
      </c>
      <c r="J102" s="383">
        <v>5</v>
      </c>
      <c r="K102" s="383">
        <v>5</v>
      </c>
      <c r="L102" s="383">
        <v>5</v>
      </c>
      <c r="M102" s="383">
        <v>5</v>
      </c>
      <c r="N102" s="383">
        <v>5</v>
      </c>
      <c r="O102" s="383">
        <v>5</v>
      </c>
      <c r="P102" s="383">
        <v>5</v>
      </c>
      <c r="Q102" s="383">
        <v>5</v>
      </c>
      <c r="R102" s="383">
        <v>5</v>
      </c>
      <c r="S102" s="383">
        <v>5</v>
      </c>
      <c r="T102" s="383">
        <v>5</v>
      </c>
    </row>
    <row r="103" spans="1:20">
      <c r="A103" s="383" t="s">
        <v>427</v>
      </c>
      <c r="B103" s="383"/>
      <c r="C103" s="383">
        <v>3.5</v>
      </c>
      <c r="D103" s="383">
        <v>3.5</v>
      </c>
      <c r="E103" s="383">
        <v>3.5</v>
      </c>
      <c r="F103" s="383">
        <v>3.5</v>
      </c>
      <c r="G103" s="383">
        <v>3.5</v>
      </c>
      <c r="H103" s="383">
        <v>3.5</v>
      </c>
      <c r="I103" s="383">
        <v>3.5</v>
      </c>
      <c r="J103" s="383">
        <v>3.5</v>
      </c>
      <c r="K103" s="383">
        <v>3.5</v>
      </c>
      <c r="L103" s="383">
        <v>3.5</v>
      </c>
      <c r="M103" s="383">
        <v>3.5</v>
      </c>
      <c r="N103" s="383">
        <v>3.5</v>
      </c>
      <c r="O103" s="383">
        <v>3.5</v>
      </c>
      <c r="P103" s="383">
        <v>3.5</v>
      </c>
      <c r="Q103" s="383">
        <v>3.5</v>
      </c>
      <c r="R103" s="383">
        <v>3.5</v>
      </c>
      <c r="S103" s="383">
        <v>3.5</v>
      </c>
      <c r="T103" s="383">
        <v>3.5</v>
      </c>
    </row>
    <row r="104" spans="1:20">
      <c r="T104"/>
    </row>
    <row r="105" spans="1:20">
      <c r="T105"/>
    </row>
    <row r="106" spans="1:20">
      <c r="T106"/>
    </row>
    <row r="107" spans="1:20">
      <c r="T107"/>
    </row>
    <row r="108" spans="1:20">
      <c r="T108"/>
    </row>
    <row r="109" spans="1:20">
      <c r="T109"/>
    </row>
    <row r="110" spans="1:20">
      <c r="T110"/>
    </row>
    <row r="111" spans="1:20">
      <c r="T111"/>
    </row>
    <row r="112" spans="1:20">
      <c r="T112"/>
    </row>
    <row r="113" spans="20:20">
      <c r="T113"/>
    </row>
    <row r="114" spans="20:20">
      <c r="T114"/>
    </row>
    <row r="115" spans="20:20">
      <c r="T115"/>
    </row>
    <row r="116" spans="20:20">
      <c r="T116"/>
    </row>
    <row r="117" spans="20:20">
      <c r="T117"/>
    </row>
    <row r="118" spans="20:20">
      <c r="T118"/>
    </row>
    <row r="119" spans="20:20">
      <c r="T119"/>
    </row>
    <row r="120" spans="20:20">
      <c r="T120"/>
    </row>
    <row r="121" spans="20:20">
      <c r="T121"/>
    </row>
    <row r="122" spans="20:20">
      <c r="T122"/>
    </row>
    <row r="123" spans="20:20">
      <c r="T123"/>
    </row>
    <row r="124" spans="20:20">
      <c r="T124"/>
    </row>
    <row r="125" spans="20:20">
      <c r="T125"/>
    </row>
    <row r="126" spans="20:20">
      <c r="T126"/>
    </row>
    <row r="127" spans="20:20">
      <c r="T127"/>
    </row>
    <row r="128" spans="20:20">
      <c r="T128"/>
    </row>
    <row r="129" spans="1:20">
      <c r="T129"/>
    </row>
    <row r="130" spans="1:20">
      <c r="T130"/>
    </row>
    <row r="131" spans="1:20">
      <c r="T131"/>
    </row>
    <row r="132" spans="1:20" hidden="1">
      <c r="T132"/>
    </row>
    <row r="133" spans="1:20" ht="12.75" hidden="1" customHeight="1">
      <c r="T133"/>
    </row>
    <row r="134" spans="1:20" ht="12.75" hidden="1" customHeight="1">
      <c r="A134" s="131" t="s">
        <v>0</v>
      </c>
      <c r="B134" s="92">
        <f>B26/B$39*100</f>
        <v>7.7724673308435372</v>
      </c>
      <c r="C134" s="92">
        <f t="shared" ref="C134:P134" si="73">C26/C$39*100</f>
        <v>9.1886717557884108</v>
      </c>
      <c r="D134" s="92">
        <f t="shared" si="73"/>
        <v>9.0417928820174964</v>
      </c>
      <c r="E134" s="92">
        <f t="shared" si="73"/>
        <v>8.9481891870026953</v>
      </c>
      <c r="F134" s="92">
        <f t="shared" si="73"/>
        <v>7.7599864469306858</v>
      </c>
      <c r="G134" s="92">
        <f t="shared" si="73"/>
        <v>7.5407657195069842</v>
      </c>
      <c r="H134" s="92">
        <f t="shared" si="73"/>
        <v>7.1031864942827001</v>
      </c>
      <c r="I134" s="92">
        <f t="shared" si="73"/>
        <v>6.9128089527089545</v>
      </c>
      <c r="J134" s="92">
        <f t="shared" si="73"/>
        <v>7.080005159504033</v>
      </c>
      <c r="K134" s="92">
        <f t="shared" si="73"/>
        <v>6.8287363571546136</v>
      </c>
      <c r="L134" s="92">
        <f t="shared" si="73"/>
        <v>6.0634880439892251</v>
      </c>
      <c r="M134" s="92">
        <f t="shared" si="73"/>
        <v>5.7221930030919994</v>
      </c>
      <c r="N134" s="92">
        <f t="shared" si="73"/>
        <v>5.5950012395278925</v>
      </c>
      <c r="O134" s="92">
        <f t="shared" si="73"/>
        <v>5.8638870881562273</v>
      </c>
      <c r="P134" s="92">
        <f t="shared" si="73"/>
        <v>5.8543145326536656</v>
      </c>
      <c r="T134"/>
    </row>
    <row r="135" spans="1:20" ht="12.75" hidden="1" customHeight="1">
      <c r="A135" s="132" t="s">
        <v>1</v>
      </c>
      <c r="B135" s="92">
        <f t="shared" ref="B135:P135" si="74">B27/B$39*100</f>
        <v>5.0661266386857733</v>
      </c>
      <c r="C135" s="92">
        <f t="shared" si="74"/>
        <v>5.6041296965954253</v>
      </c>
      <c r="D135" s="92">
        <f t="shared" si="74"/>
        <v>5.4831545638025769</v>
      </c>
      <c r="E135" s="92">
        <f t="shared" si="74"/>
        <v>5.4746071223372841</v>
      </c>
      <c r="F135" s="92">
        <f t="shared" si="74"/>
        <v>5.2712314718513475</v>
      </c>
      <c r="G135" s="92">
        <f t="shared" si="74"/>
        <v>5.2246117709809958</v>
      </c>
      <c r="H135" s="92">
        <f t="shared" si="74"/>
        <v>4.9946561077469021</v>
      </c>
      <c r="I135" s="92">
        <f t="shared" si="74"/>
        <v>5.0815746114607174</v>
      </c>
      <c r="J135" s="92">
        <f t="shared" si="74"/>
        <v>5.1953337453530439</v>
      </c>
      <c r="K135" s="92">
        <f t="shared" si="74"/>
        <v>4.9883622311689608</v>
      </c>
      <c r="L135" s="92">
        <f t="shared" si="74"/>
        <v>4.4350408650139466</v>
      </c>
      <c r="M135" s="92">
        <f t="shared" si="74"/>
        <v>4.2289820061927195</v>
      </c>
      <c r="N135" s="92">
        <f t="shared" si="74"/>
        <v>4.1517886836976601</v>
      </c>
      <c r="O135" s="92">
        <f t="shared" si="74"/>
        <v>4.5668600507667874</v>
      </c>
      <c r="P135" s="92">
        <f t="shared" si="74"/>
        <v>4.51121192568593</v>
      </c>
      <c r="T135"/>
    </row>
    <row r="136" spans="1:20" ht="12.75" hidden="1" customHeight="1">
      <c r="A136" s="133" t="s">
        <v>2</v>
      </c>
      <c r="B136" s="92">
        <f t="shared" ref="B136:P136" si="75">B28/B$39*100</f>
        <v>2.7063406921577622</v>
      </c>
      <c r="C136" s="92">
        <f t="shared" si="75"/>
        <v>3.5845420591929855</v>
      </c>
      <c r="D136" s="92">
        <f t="shared" si="75"/>
        <v>3.5586383182149199</v>
      </c>
      <c r="E136" s="92">
        <f t="shared" si="75"/>
        <v>3.4735820646654121</v>
      </c>
      <c r="F136" s="92">
        <f t="shared" si="75"/>
        <v>2.4887549750793387</v>
      </c>
      <c r="G136" s="92">
        <f t="shared" si="75"/>
        <v>2.3161539485259888</v>
      </c>
      <c r="H136" s="92">
        <f t="shared" si="75"/>
        <v>2.1085303865357972</v>
      </c>
      <c r="I136" s="92">
        <f t="shared" si="75"/>
        <v>1.8312340524579807</v>
      </c>
      <c r="J136" s="92">
        <f t="shared" si="75"/>
        <v>1.8845271586464249</v>
      </c>
      <c r="K136" s="92">
        <f t="shared" si="75"/>
        <v>1.8401466566061582</v>
      </c>
      <c r="L136" s="92">
        <f t="shared" si="75"/>
        <v>1.628720767071155</v>
      </c>
      <c r="M136" s="92">
        <f t="shared" si="75"/>
        <v>1.4932348953966605</v>
      </c>
      <c r="N136" s="92">
        <f t="shared" si="75"/>
        <v>1.4435316240394134</v>
      </c>
      <c r="O136" s="92">
        <f t="shared" si="75"/>
        <v>1.2956451474197725</v>
      </c>
      <c r="P136" s="92">
        <f t="shared" si="75"/>
        <v>1.2335304749235001</v>
      </c>
      <c r="T136"/>
    </row>
    <row r="137" spans="1:20" ht="12.75" hidden="1" customHeight="1">
      <c r="A137" s="131" t="s">
        <v>3</v>
      </c>
      <c r="B137" s="92">
        <f t="shared" ref="B137:P137" si="76">B29/B$39*100</f>
        <v>30.912194182801102</v>
      </c>
      <c r="C137" s="92">
        <f t="shared" si="76"/>
        <v>30.059234620984775</v>
      </c>
      <c r="D137" s="92">
        <f t="shared" si="76"/>
        <v>30.400665614143652</v>
      </c>
      <c r="E137" s="92">
        <f t="shared" si="76"/>
        <v>29.486004878766597</v>
      </c>
      <c r="F137" s="92">
        <f t="shared" si="76"/>
        <v>29.409058333740866</v>
      </c>
      <c r="G137" s="92">
        <f t="shared" si="76"/>
        <v>30.337009887014965</v>
      </c>
      <c r="H137" s="92">
        <f t="shared" si="76"/>
        <v>30.55429548670655</v>
      </c>
      <c r="I137" s="92">
        <f t="shared" si="76"/>
        <v>30.008773733732802</v>
      </c>
      <c r="J137" s="92">
        <f t="shared" si="76"/>
        <v>28.733543677462446</v>
      </c>
      <c r="K137" s="92">
        <f t="shared" si="76"/>
        <v>28.960018530291983</v>
      </c>
      <c r="L137" s="92">
        <f t="shared" si="76"/>
        <v>29.202223041806896</v>
      </c>
      <c r="M137" s="92">
        <f t="shared" si="76"/>
        <v>29.343135697906821</v>
      </c>
      <c r="N137" s="92">
        <f t="shared" si="76"/>
        <v>29.319129278522016</v>
      </c>
      <c r="O137" s="92">
        <f t="shared" si="76"/>
        <v>28.912427124014371</v>
      </c>
      <c r="P137" s="92">
        <f t="shared" si="76"/>
        <v>26.939955748618821</v>
      </c>
      <c r="T137"/>
    </row>
    <row r="138" spans="1:20" ht="12.75" hidden="1" customHeight="1">
      <c r="A138" s="132" t="s">
        <v>4</v>
      </c>
      <c r="B138" s="92">
        <f t="shared" ref="B138:P138" si="77">B30/B$39*100</f>
        <v>25.323475534159044</v>
      </c>
      <c r="C138" s="92">
        <f t="shared" si="77"/>
        <v>24.500609450864573</v>
      </c>
      <c r="D138" s="92">
        <f t="shared" si="77"/>
        <v>24.69555628046291</v>
      </c>
      <c r="E138" s="92">
        <f t="shared" si="77"/>
        <v>24.325479926462059</v>
      </c>
      <c r="F138" s="92">
        <f t="shared" si="77"/>
        <v>24.440046043012849</v>
      </c>
      <c r="G138" s="92">
        <f t="shared" si="77"/>
        <v>25.352934116535753</v>
      </c>
      <c r="H138" s="92">
        <f t="shared" si="77"/>
        <v>25.047316218281214</v>
      </c>
      <c r="I138" s="92">
        <f t="shared" si="77"/>
        <v>24.991814537713598</v>
      </c>
      <c r="J138" s="92">
        <f t="shared" si="77"/>
        <v>24.070148085797278</v>
      </c>
      <c r="K138" s="92">
        <f t="shared" si="77"/>
        <v>24.124783043519539</v>
      </c>
      <c r="L138" s="92">
        <f t="shared" si="77"/>
        <v>24.183428787960072</v>
      </c>
      <c r="M138" s="92">
        <f t="shared" si="77"/>
        <v>24.3229665577703</v>
      </c>
      <c r="N138" s="92">
        <f t="shared" si="77"/>
        <v>24.157397400770762</v>
      </c>
      <c r="O138" s="92">
        <f t="shared" si="77"/>
        <v>23.792679507419546</v>
      </c>
      <c r="P138" s="92">
        <f t="shared" si="77"/>
        <v>21.790788272929127</v>
      </c>
      <c r="T138"/>
    </row>
    <row r="139" spans="1:20" ht="12.75" hidden="1" customHeight="1">
      <c r="A139" s="132" t="s">
        <v>5</v>
      </c>
      <c r="B139" s="92">
        <f t="shared" ref="B139:P139" si="78">B31/B$39*100</f>
        <v>2.7625737540934971</v>
      </c>
      <c r="C139" s="92">
        <f t="shared" si="78"/>
        <v>2.9177916692382078</v>
      </c>
      <c r="D139" s="92">
        <f t="shared" si="78"/>
        <v>2.9637042839885748</v>
      </c>
      <c r="E139" s="92">
        <f t="shared" si="78"/>
        <v>2.7532715391973124</v>
      </c>
      <c r="F139" s="92">
        <f t="shared" si="78"/>
        <v>2.7241888690288443</v>
      </c>
      <c r="G139" s="92">
        <f t="shared" si="78"/>
        <v>2.7550974814993539</v>
      </c>
      <c r="H139" s="92">
        <f t="shared" si="78"/>
        <v>2.6391113009746965</v>
      </c>
      <c r="I139" s="92">
        <f t="shared" si="78"/>
        <v>2.8146076212500004</v>
      </c>
      <c r="J139" s="92">
        <f t="shared" si="78"/>
        <v>2.4209738434076278</v>
      </c>
      <c r="K139" s="92">
        <f t="shared" si="78"/>
        <v>2.4871481372838304</v>
      </c>
      <c r="L139" s="92">
        <f t="shared" si="78"/>
        <v>2.5012298351021407</v>
      </c>
      <c r="M139" s="92">
        <f t="shared" si="78"/>
        <v>2.4507907682258767</v>
      </c>
      <c r="N139" s="92">
        <f t="shared" si="78"/>
        <v>2.3886563287501352</v>
      </c>
      <c r="O139" s="92">
        <f t="shared" si="78"/>
        <v>2.2015744771275267</v>
      </c>
      <c r="P139" s="92">
        <f t="shared" si="78"/>
        <v>2.1515165461078132</v>
      </c>
      <c r="T139"/>
    </row>
    <row r="140" spans="1:20" ht="12.75" hidden="1" customHeight="1">
      <c r="A140" s="133" t="s">
        <v>6</v>
      </c>
      <c r="B140" s="92">
        <f t="shared" ref="B140:P140" si="79">B32/B$39*100</f>
        <v>2.8261448945485568</v>
      </c>
      <c r="C140" s="92">
        <f t="shared" si="79"/>
        <v>2.6408335008819956</v>
      </c>
      <c r="D140" s="92">
        <f t="shared" si="79"/>
        <v>2.7414050496921654</v>
      </c>
      <c r="E140" s="92">
        <f t="shared" si="79"/>
        <v>2.4072534131072221</v>
      </c>
      <c r="F140" s="92">
        <f t="shared" si="79"/>
        <v>2.2448234216991763</v>
      </c>
      <c r="G140" s="92">
        <f t="shared" si="79"/>
        <v>2.2289782889798597</v>
      </c>
      <c r="H140" s="92">
        <f t="shared" si="79"/>
        <v>2.8678679674506395</v>
      </c>
      <c r="I140" s="92">
        <f t="shared" si="79"/>
        <v>2.2023515747692053</v>
      </c>
      <c r="J140" s="92">
        <f t="shared" si="79"/>
        <v>2.2424217482575464</v>
      </c>
      <c r="K140" s="92">
        <f t="shared" si="79"/>
        <v>2.3480873494885968</v>
      </c>
      <c r="L140" s="92">
        <f t="shared" si="79"/>
        <v>2.5176012227697964</v>
      </c>
      <c r="M140" s="92">
        <f t="shared" si="79"/>
        <v>2.5694198619581798</v>
      </c>
      <c r="N140" s="92">
        <f t="shared" si="79"/>
        <v>2.7730755490011196</v>
      </c>
      <c r="O140" s="92">
        <f t="shared" si="79"/>
        <v>2.8908864026245831</v>
      </c>
      <c r="P140" s="92">
        <f t="shared" si="79"/>
        <v>3.1871281491723851</v>
      </c>
      <c r="T140"/>
    </row>
    <row r="141" spans="1:20" ht="12.75" hidden="1" customHeight="1">
      <c r="A141" s="131" t="s">
        <v>7</v>
      </c>
      <c r="B141" s="92">
        <f t="shared" ref="B141:P141" si="80">B33/B$39*100</f>
        <v>61.315338486355351</v>
      </c>
      <c r="C141" s="92">
        <f t="shared" si="80"/>
        <v>60.752093623226813</v>
      </c>
      <c r="D141" s="92">
        <f t="shared" si="80"/>
        <v>60.557541503838863</v>
      </c>
      <c r="E141" s="92">
        <f t="shared" si="80"/>
        <v>61.56580593423071</v>
      </c>
      <c r="F141" s="92">
        <f t="shared" si="80"/>
        <v>62.830955219328445</v>
      </c>
      <c r="G141" s="92">
        <f t="shared" si="80"/>
        <v>62.239792169478626</v>
      </c>
      <c r="H141" s="92">
        <f t="shared" si="80"/>
        <v>62.386660724808266</v>
      </c>
      <c r="I141" s="92">
        <f t="shared" si="80"/>
        <v>63.078417313558255</v>
      </c>
      <c r="J141" s="92">
        <f t="shared" si="80"/>
        <v>64.186451163033524</v>
      </c>
      <c r="K141" s="92">
        <f t="shared" si="80"/>
        <v>64.211245112553399</v>
      </c>
      <c r="L141" s="92">
        <f t="shared" si="80"/>
        <v>64.734288914203873</v>
      </c>
      <c r="M141" s="92">
        <f t="shared" si="80"/>
        <v>64.934671299001195</v>
      </c>
      <c r="N141" s="92">
        <f t="shared" si="80"/>
        <v>65.085869481950098</v>
      </c>
      <c r="O141" s="92">
        <f t="shared" si="80"/>
        <v>65.223685787829382</v>
      </c>
      <c r="P141" s="92">
        <f t="shared" si="80"/>
        <v>67.205729718727497</v>
      </c>
      <c r="T141"/>
    </row>
    <row r="142" spans="1:20" ht="12.75" hidden="1" customHeight="1">
      <c r="A142" s="132" t="s">
        <v>8</v>
      </c>
      <c r="B142" s="92">
        <f t="shared" ref="B142:P142" si="81">B34/B$39*100</f>
        <v>13.124212080815557</v>
      </c>
      <c r="C142" s="92">
        <f t="shared" si="81"/>
        <v>12.76002880057365</v>
      </c>
      <c r="D142" s="92">
        <f t="shared" si="81"/>
        <v>12.598847137673655</v>
      </c>
      <c r="E142" s="92">
        <f t="shared" si="81"/>
        <v>12.575984225386655</v>
      </c>
      <c r="F142" s="92">
        <f t="shared" si="81"/>
        <v>13.325430271040853</v>
      </c>
      <c r="G142" s="92">
        <f t="shared" si="81"/>
        <v>13.77915630854589</v>
      </c>
      <c r="H142" s="92">
        <f t="shared" si="81"/>
        <v>14.252332060482278</v>
      </c>
      <c r="I142" s="92">
        <f t="shared" si="81"/>
        <v>14.194974336115894</v>
      </c>
      <c r="J142" s="92">
        <f t="shared" si="81"/>
        <v>14.27645967969233</v>
      </c>
      <c r="K142" s="92">
        <f t="shared" si="81"/>
        <v>14.409525273509779</v>
      </c>
      <c r="L142" s="92">
        <f t="shared" si="81"/>
        <v>14.485228757225791</v>
      </c>
      <c r="M142" s="92">
        <f t="shared" si="81"/>
        <v>14.619178286335174</v>
      </c>
      <c r="N142" s="92">
        <f t="shared" si="81"/>
        <v>14.560000826461408</v>
      </c>
      <c r="O142" s="92">
        <f t="shared" si="81"/>
        <v>14.130263471116169</v>
      </c>
      <c r="P142" s="92">
        <f t="shared" si="81"/>
        <v>14.381126822580798</v>
      </c>
      <c r="T142"/>
    </row>
    <row r="143" spans="1:20" ht="12.75" hidden="1" customHeight="1">
      <c r="A143" s="132" t="s">
        <v>9</v>
      </c>
      <c r="B143" s="92">
        <f t="shared" ref="B143:P143" si="82">B35/B$39*100</f>
        <v>10.734342063989262</v>
      </c>
      <c r="C143" s="92">
        <f t="shared" si="82"/>
        <v>10.663091209793274</v>
      </c>
      <c r="D143" s="92">
        <f t="shared" si="82"/>
        <v>11.052508272648305</v>
      </c>
      <c r="E143" s="92">
        <f t="shared" si="82"/>
        <v>11.431368577764147</v>
      </c>
      <c r="F143" s="92">
        <f t="shared" si="82"/>
        <v>11.705443271057218</v>
      </c>
      <c r="G143" s="92">
        <f t="shared" si="82"/>
        <v>11.903872586664939</v>
      </c>
      <c r="H143" s="92">
        <f t="shared" si="82"/>
        <v>11.913145668010204</v>
      </c>
      <c r="I143" s="92">
        <f t="shared" si="82"/>
        <v>12.664971151369853</v>
      </c>
      <c r="J143" s="92">
        <f t="shared" si="82"/>
        <v>13.171320494106531</v>
      </c>
      <c r="K143" s="92">
        <f t="shared" si="82"/>
        <v>13.173317857832533</v>
      </c>
      <c r="L143" s="92">
        <f t="shared" si="82"/>
        <v>13.173846611183688</v>
      </c>
      <c r="M143" s="92">
        <f t="shared" si="82"/>
        <v>13.145403228815614</v>
      </c>
      <c r="N143" s="92">
        <f t="shared" si="82"/>
        <v>13.283148787175939</v>
      </c>
      <c r="O143" s="92">
        <f t="shared" si="82"/>
        <v>13.290426152765686</v>
      </c>
      <c r="P143" s="92">
        <f t="shared" si="82"/>
        <v>13.733035845842693</v>
      </c>
      <c r="T143"/>
    </row>
    <row r="144" spans="1:20" ht="12.75" hidden="1" customHeight="1">
      <c r="A144" s="132" t="s">
        <v>10</v>
      </c>
      <c r="B144" s="92">
        <f t="shared" ref="B144:P144" si="83">B36/B$39*100</f>
        <v>14.993351618232998</v>
      </c>
      <c r="C144" s="92">
        <f t="shared" si="83"/>
        <v>15.23289605347729</v>
      </c>
      <c r="D144" s="92">
        <f t="shared" si="83"/>
        <v>15.591745606846874</v>
      </c>
      <c r="E144" s="92">
        <f t="shared" si="83"/>
        <v>15.801950672651488</v>
      </c>
      <c r="F144" s="92">
        <f t="shared" si="83"/>
        <v>16.576117540594002</v>
      </c>
      <c r="G144" s="92">
        <f t="shared" si="83"/>
        <v>16.024012599719814</v>
      </c>
      <c r="H144" s="92">
        <f t="shared" si="83"/>
        <v>16.249611916047783</v>
      </c>
      <c r="I144" s="92">
        <f t="shared" si="83"/>
        <v>16.595771671350864</v>
      </c>
      <c r="J144" s="92">
        <f t="shared" si="83"/>
        <v>17.03320004778973</v>
      </c>
      <c r="K144" s="92">
        <f t="shared" si="83"/>
        <v>17.483559544058505</v>
      </c>
      <c r="L144" s="92">
        <f t="shared" si="83"/>
        <v>18.253556624249669</v>
      </c>
      <c r="M144" s="92">
        <f t="shared" si="83"/>
        <v>18.646046864275569</v>
      </c>
      <c r="N144" s="92">
        <f t="shared" si="83"/>
        <v>18.951838214164919</v>
      </c>
      <c r="O144" s="92">
        <f t="shared" si="83"/>
        <v>19.543879142547137</v>
      </c>
      <c r="P144" s="92">
        <f t="shared" si="83"/>
        <v>20.200439041378189</v>
      </c>
      <c r="T144"/>
    </row>
    <row r="145" spans="1:20" ht="12.75" hidden="1" customHeight="1">
      <c r="A145" s="132" t="s">
        <v>11</v>
      </c>
      <c r="B145" s="92">
        <f t="shared" ref="B145:P145" si="84">B37/B$39*100</f>
        <v>6.4294336190931975</v>
      </c>
      <c r="C145" s="92">
        <f t="shared" si="84"/>
        <v>6.2725652569699379</v>
      </c>
      <c r="D145" s="92">
        <f t="shared" si="84"/>
        <v>6.1529112049571673</v>
      </c>
      <c r="E145" s="92">
        <f t="shared" si="84"/>
        <v>6.4668218857197086</v>
      </c>
      <c r="F145" s="92">
        <f t="shared" si="84"/>
        <v>6.6310942287755452</v>
      </c>
      <c r="G145" s="92">
        <f t="shared" si="84"/>
        <v>6.632829055264386</v>
      </c>
      <c r="H145" s="92">
        <f t="shared" si="84"/>
        <v>6.5118443852211394</v>
      </c>
      <c r="I145" s="92">
        <f t="shared" si="84"/>
        <v>6.4832252800567298</v>
      </c>
      <c r="J145" s="92">
        <f t="shared" si="84"/>
        <v>6.6529635962760141</v>
      </c>
      <c r="K145" s="92">
        <f t="shared" si="84"/>
        <v>6.4813406335560737</v>
      </c>
      <c r="L145" s="92">
        <f t="shared" si="84"/>
        <v>6.3262493364725296</v>
      </c>
      <c r="M145" s="92">
        <f t="shared" si="84"/>
        <v>6.3189116681767921</v>
      </c>
      <c r="N145" s="92">
        <f t="shared" si="84"/>
        <v>6.2882984694716075</v>
      </c>
      <c r="O145" s="92">
        <f t="shared" si="84"/>
        <v>6.2664389119540971</v>
      </c>
      <c r="P145" s="92">
        <f t="shared" si="84"/>
        <v>6.372195923742642</v>
      </c>
      <c r="T145"/>
    </row>
    <row r="146" spans="1:20" ht="12.75" hidden="1" customHeight="1">
      <c r="A146" s="133" t="s">
        <v>12</v>
      </c>
      <c r="B146" s="92">
        <f t="shared" ref="B146:P146" si="85">B38/B$39*100</f>
        <v>16.033999104224346</v>
      </c>
      <c r="C146" s="92">
        <f t="shared" si="85"/>
        <v>15.823512302412659</v>
      </c>
      <c r="D146" s="92">
        <f t="shared" si="85"/>
        <v>15.161529281712857</v>
      </c>
      <c r="E146" s="92">
        <f t="shared" si="85"/>
        <v>15.289680572708711</v>
      </c>
      <c r="F146" s="92">
        <f t="shared" si="85"/>
        <v>14.592869907860823</v>
      </c>
      <c r="G146" s="92">
        <f t="shared" si="85"/>
        <v>13.899921619283598</v>
      </c>
      <c r="H146" s="92">
        <f t="shared" si="85"/>
        <v>13.459726695046861</v>
      </c>
      <c r="I146" s="92">
        <f t="shared" si="85"/>
        <v>13.139475172071574</v>
      </c>
      <c r="J146" s="92">
        <f t="shared" si="85"/>
        <v>13.052567622487857</v>
      </c>
      <c r="K146" s="92">
        <f t="shared" si="85"/>
        <v>12.663525395767081</v>
      </c>
      <c r="L146" s="92">
        <f t="shared" si="85"/>
        <v>12.49524650033568</v>
      </c>
      <c r="M146" s="92">
        <f t="shared" si="85"/>
        <v>12.205134907705736</v>
      </c>
      <c r="N146" s="92">
        <f t="shared" si="85"/>
        <v>11.980403683261645</v>
      </c>
      <c r="O146" s="92">
        <f t="shared" si="85"/>
        <v>12.071634813591906</v>
      </c>
      <c r="P146" s="92">
        <f t="shared" si="85"/>
        <v>12.756693460242442</v>
      </c>
      <c r="T146"/>
    </row>
    <row r="147" spans="1:20" hidden="1">
      <c r="T147"/>
    </row>
    <row r="148" spans="1:20" hidden="1">
      <c r="A148" s="131" t="s">
        <v>0</v>
      </c>
      <c r="B148" s="92">
        <f t="shared" ref="B148:B160" si="86">B26/B6*100</f>
        <v>9.9424283672306846</v>
      </c>
      <c r="C148" s="92">
        <f t="shared" ref="C148:P148" si="87">C26/C6*100</f>
        <v>11.846084932040066</v>
      </c>
      <c r="D148" s="92">
        <f t="shared" si="87"/>
        <v>11.695543187640416</v>
      </c>
      <c r="E148" s="92">
        <f t="shared" si="87"/>
        <v>11.86075224054712</v>
      </c>
      <c r="F148" s="92">
        <f t="shared" si="87"/>
        <v>10.36136669605661</v>
      </c>
      <c r="G148" s="92">
        <f t="shared" si="87"/>
        <v>10.503663420698331</v>
      </c>
      <c r="H148" s="92">
        <f t="shared" si="87"/>
        <v>10.409914079734786</v>
      </c>
      <c r="I148" s="92">
        <f t="shared" si="87"/>
        <v>10.177247512535439</v>
      </c>
      <c r="J148" s="92">
        <f t="shared" si="87"/>
        <v>10.443497195207005</v>
      </c>
      <c r="K148" s="92">
        <f t="shared" si="87"/>
        <v>10.383122889776661</v>
      </c>
      <c r="L148" s="92">
        <f t="shared" si="87"/>
        <v>9.6216352260559095</v>
      </c>
      <c r="M148" s="92">
        <f t="shared" si="87"/>
        <v>9.7546037958733649</v>
      </c>
      <c r="N148" s="92">
        <f t="shared" si="87"/>
        <v>10.046867427820711</v>
      </c>
      <c r="O148" s="92">
        <f t="shared" si="87"/>
        <v>10.972330662209981</v>
      </c>
      <c r="P148" s="92">
        <f t="shared" si="87"/>
        <v>11.24922058303115</v>
      </c>
      <c r="T148"/>
    </row>
    <row r="149" spans="1:20" hidden="1">
      <c r="A149" s="132" t="s">
        <v>1</v>
      </c>
      <c r="B149" s="92">
        <f t="shared" si="86"/>
        <v>31.219885239761684</v>
      </c>
      <c r="C149" s="92">
        <f t="shared" ref="C149:P149" si="88">C27/C7*100</f>
        <v>29.28963769979805</v>
      </c>
      <c r="D149" s="92">
        <f t="shared" si="88"/>
        <v>28.92453081455869</v>
      </c>
      <c r="E149" s="92">
        <f t="shared" si="88"/>
        <v>30.820293094463185</v>
      </c>
      <c r="F149" s="92">
        <f t="shared" si="88"/>
        <v>28.257792407700549</v>
      </c>
      <c r="G149" s="92">
        <f t="shared" si="88"/>
        <v>28.002506571344831</v>
      </c>
      <c r="H149" s="92">
        <f t="shared" si="88"/>
        <v>28.855298944900348</v>
      </c>
      <c r="I149" s="92">
        <f t="shared" si="88"/>
        <v>28.355031923435565</v>
      </c>
      <c r="J149" s="92">
        <f t="shared" si="88"/>
        <v>29.6223686770327</v>
      </c>
      <c r="K149" s="92">
        <f t="shared" si="88"/>
        <v>29.458492509253986</v>
      </c>
      <c r="L149" s="92">
        <f t="shared" si="88"/>
        <v>26.981005008372478</v>
      </c>
      <c r="M149" s="92">
        <f t="shared" si="88"/>
        <v>28.691210289195347</v>
      </c>
      <c r="N149" s="92">
        <f t="shared" si="88"/>
        <v>29.088603995393907</v>
      </c>
      <c r="O149" s="92">
        <f t="shared" si="88"/>
        <v>28.699887895102982</v>
      </c>
      <c r="P149" s="92">
        <f t="shared" si="88"/>
        <v>28.336607066375908</v>
      </c>
      <c r="T149"/>
    </row>
    <row r="150" spans="1:20" hidden="1">
      <c r="A150" s="133" t="s">
        <v>2</v>
      </c>
      <c r="B150" s="92">
        <f t="shared" si="86"/>
        <v>4.368765339010511</v>
      </c>
      <c r="C150" s="92">
        <f t="shared" ref="C150:P150" si="89">C28/C8*100</f>
        <v>6.1343775999025345</v>
      </c>
      <c r="D150" s="92">
        <f t="shared" si="89"/>
        <v>6.0984701370025842</v>
      </c>
      <c r="E150" s="92">
        <f t="shared" si="89"/>
        <v>6.0220877142669469</v>
      </c>
      <c r="F150" s="92">
        <f t="shared" si="89"/>
        <v>4.4252885359751204</v>
      </c>
      <c r="G150" s="92">
        <f t="shared" si="89"/>
        <v>4.3590716181944229</v>
      </c>
      <c r="H150" s="92">
        <f t="shared" si="89"/>
        <v>4.1404213103185707</v>
      </c>
      <c r="I150" s="92">
        <f t="shared" si="89"/>
        <v>3.6622552322715274</v>
      </c>
      <c r="J150" s="92">
        <f t="shared" si="89"/>
        <v>3.7499384385689067</v>
      </c>
      <c r="K150" s="92">
        <f t="shared" si="89"/>
        <v>3.7681572693470096</v>
      </c>
      <c r="L150" s="92">
        <f t="shared" si="89"/>
        <v>3.4964844527192112</v>
      </c>
      <c r="M150" s="92">
        <f t="shared" si="89"/>
        <v>3.3997566632450966</v>
      </c>
      <c r="N150" s="92">
        <f t="shared" si="89"/>
        <v>3.485435261469251</v>
      </c>
      <c r="O150" s="92">
        <f t="shared" si="89"/>
        <v>3.4522894212594823</v>
      </c>
      <c r="P150" s="92">
        <f t="shared" si="89"/>
        <v>3.4149129261497539</v>
      </c>
      <c r="T150"/>
    </row>
    <row r="151" spans="1:20" hidden="1">
      <c r="A151" s="131" t="s">
        <v>3</v>
      </c>
      <c r="B151" s="92">
        <f t="shared" si="86"/>
        <v>20.25831072564549</v>
      </c>
      <c r="C151" s="92">
        <f t="shared" ref="C151:P151" si="90">C29/C9*100</f>
        <v>20.2230596611364</v>
      </c>
      <c r="D151" s="92">
        <f t="shared" si="90"/>
        <v>20.240021581749932</v>
      </c>
      <c r="E151" s="92">
        <f t="shared" si="90"/>
        <v>20.137868099074325</v>
      </c>
      <c r="F151" s="92">
        <f t="shared" si="90"/>
        <v>20.253183466265948</v>
      </c>
      <c r="G151" s="92">
        <f t="shared" si="90"/>
        <v>20.376978155416424</v>
      </c>
      <c r="H151" s="92">
        <f t="shared" si="90"/>
        <v>20.838659882512491</v>
      </c>
      <c r="I151" s="92">
        <f t="shared" si="90"/>
        <v>20.407725215820907</v>
      </c>
      <c r="J151" s="92">
        <f t="shared" si="90"/>
        <v>20.134161984705692</v>
      </c>
      <c r="K151" s="92">
        <f t="shared" si="90"/>
        <v>20.086364962642573</v>
      </c>
      <c r="L151" s="92">
        <f t="shared" si="90"/>
        <v>20.09462074400215</v>
      </c>
      <c r="M151" s="92">
        <f t="shared" si="90"/>
        <v>19.968995411389962</v>
      </c>
      <c r="N151" s="92">
        <f t="shared" si="90"/>
        <v>19.910983739303383</v>
      </c>
      <c r="O151" s="92">
        <f t="shared" si="90"/>
        <v>19.877157406289843</v>
      </c>
      <c r="P151" s="92">
        <f t="shared" si="90"/>
        <v>19.555651721834064</v>
      </c>
      <c r="T151"/>
    </row>
    <row r="152" spans="1:20" hidden="1">
      <c r="A152" s="132" t="s">
        <v>4</v>
      </c>
      <c r="B152" s="92">
        <f t="shared" si="86"/>
        <v>20.924039137211555</v>
      </c>
      <c r="C152" s="92">
        <f t="shared" ref="C152:P152" si="91">C30/C10*100</f>
        <v>20.995846665370575</v>
      </c>
      <c r="D152" s="92">
        <f t="shared" si="91"/>
        <v>20.985825312423927</v>
      </c>
      <c r="E152" s="92">
        <f t="shared" si="91"/>
        <v>20.933221406863463</v>
      </c>
      <c r="F152" s="92">
        <f t="shared" si="91"/>
        <v>21.141974358104061</v>
      </c>
      <c r="G152" s="92">
        <f t="shared" si="91"/>
        <v>21.237797622631735</v>
      </c>
      <c r="H152" s="92">
        <f t="shared" si="91"/>
        <v>21.191725942724304</v>
      </c>
      <c r="I152" s="92">
        <f t="shared" si="91"/>
        <v>21.157836666166858</v>
      </c>
      <c r="J152" s="92">
        <f t="shared" si="91"/>
        <v>21.28418387808674</v>
      </c>
      <c r="K152" s="92">
        <f t="shared" si="91"/>
        <v>21.24472540096156</v>
      </c>
      <c r="L152" s="92">
        <f t="shared" si="91"/>
        <v>21.237648667473373</v>
      </c>
      <c r="M152" s="92">
        <f t="shared" si="91"/>
        <v>21.157434320181739</v>
      </c>
      <c r="N152" s="92">
        <f t="shared" si="91"/>
        <v>21.168502088615178</v>
      </c>
      <c r="O152" s="92">
        <f t="shared" si="91"/>
        <v>21.153336565540972</v>
      </c>
      <c r="P152" s="92">
        <f t="shared" si="91"/>
        <v>21.193880777712803</v>
      </c>
      <c r="T152"/>
    </row>
    <row r="153" spans="1:20" hidden="1">
      <c r="A153" s="132" t="s">
        <v>5</v>
      </c>
      <c r="B153" s="92">
        <f t="shared" si="86"/>
        <v>17.394424395032733</v>
      </c>
      <c r="C153" s="92">
        <f t="shared" ref="C153:P153" si="92">C31/C11*100</f>
        <v>17.437448848651616</v>
      </c>
      <c r="D153" s="92">
        <f t="shared" si="92"/>
        <v>17.360777291784693</v>
      </c>
      <c r="E153" s="92">
        <f t="shared" si="92"/>
        <v>17.395691743275385</v>
      </c>
      <c r="F153" s="92">
        <f t="shared" si="92"/>
        <v>17.493376540370143</v>
      </c>
      <c r="G153" s="92">
        <f t="shared" si="92"/>
        <v>17.96297050774983</v>
      </c>
      <c r="H153" s="92">
        <f t="shared" si="92"/>
        <v>18.624138114185424</v>
      </c>
      <c r="I153" s="92">
        <f t="shared" si="92"/>
        <v>19.740467884872988</v>
      </c>
      <c r="J153" s="92">
        <f t="shared" si="92"/>
        <v>16.967710933151565</v>
      </c>
      <c r="K153" s="92">
        <f t="shared" si="92"/>
        <v>17.052465721431251</v>
      </c>
      <c r="L153" s="92">
        <f t="shared" si="92"/>
        <v>17.241025320976643</v>
      </c>
      <c r="M153" s="92">
        <f t="shared" si="92"/>
        <v>17.221399657186506</v>
      </c>
      <c r="N153" s="92">
        <f t="shared" si="92"/>
        <v>17.213096978064851</v>
      </c>
      <c r="O153" s="92">
        <f t="shared" si="92"/>
        <v>17.051086524917196</v>
      </c>
      <c r="P153" s="92">
        <f t="shared" si="92"/>
        <v>16.618197465305862</v>
      </c>
      <c r="T153"/>
    </row>
    <row r="154" spans="1:20" hidden="1">
      <c r="A154" s="133" t="s">
        <v>6</v>
      </c>
      <c r="B154" s="92">
        <f t="shared" si="86"/>
        <v>18.021026255675061</v>
      </c>
      <c r="C154" s="92">
        <f t="shared" ref="C154:P154" si="93">C32/C12*100</f>
        <v>17.359219109142639</v>
      </c>
      <c r="D154" s="92">
        <f t="shared" si="93"/>
        <v>17.741225030152609</v>
      </c>
      <c r="E154" s="92">
        <f t="shared" si="93"/>
        <v>16.730717828698115</v>
      </c>
      <c r="F154" s="92">
        <f t="shared" si="93"/>
        <v>15.994736511913807</v>
      </c>
      <c r="G154" s="92">
        <f t="shared" si="93"/>
        <v>15.736125154649914</v>
      </c>
      <c r="H154" s="92">
        <f t="shared" si="93"/>
        <v>20.11282426500772</v>
      </c>
      <c r="I154" s="92">
        <f t="shared" si="93"/>
        <v>15.015438752176033</v>
      </c>
      <c r="J154" s="92">
        <f t="shared" si="93"/>
        <v>14.605835703544892</v>
      </c>
      <c r="K154" s="92">
        <f t="shared" si="93"/>
        <v>14.642918571793631</v>
      </c>
      <c r="L154" s="92">
        <f t="shared" si="93"/>
        <v>14.856964538276088</v>
      </c>
      <c r="M154" s="92">
        <f t="shared" si="93"/>
        <v>14.475115133338415</v>
      </c>
      <c r="N154" s="92">
        <f t="shared" si="93"/>
        <v>14.402203941806956</v>
      </c>
      <c r="O154" s="92">
        <f t="shared" si="93"/>
        <v>14.406379193090052</v>
      </c>
      <c r="P154" s="92">
        <f t="shared" si="93"/>
        <v>14.48872747187227</v>
      </c>
      <c r="T154"/>
    </row>
    <row r="155" spans="1:20" hidden="1">
      <c r="A155" s="131" t="s">
        <v>7</v>
      </c>
      <c r="B155" s="92">
        <f t="shared" si="86"/>
        <v>15.682808530827982</v>
      </c>
      <c r="C155" s="92">
        <f t="shared" ref="C155:P155" si="94">C33/C13*100</f>
        <v>15.683491898449317</v>
      </c>
      <c r="D155" s="92">
        <f t="shared" si="94"/>
        <v>15.525520215199643</v>
      </c>
      <c r="E155" s="92">
        <f t="shared" si="94"/>
        <v>15.63943960914686</v>
      </c>
      <c r="F155" s="92">
        <f t="shared" si="94"/>
        <v>15.546708185361025</v>
      </c>
      <c r="G155" s="92">
        <f t="shared" si="94"/>
        <v>15.510131030045008</v>
      </c>
      <c r="H155" s="92">
        <f t="shared" si="94"/>
        <v>15.645274114802918</v>
      </c>
      <c r="I155" s="92">
        <f t="shared" si="94"/>
        <v>15.634785417504638</v>
      </c>
      <c r="J155" s="92">
        <f t="shared" si="94"/>
        <v>15.711259063797081</v>
      </c>
      <c r="K155" s="92">
        <f t="shared" si="94"/>
        <v>15.687997731333111</v>
      </c>
      <c r="L155" s="92">
        <f t="shared" si="94"/>
        <v>15.889523990934743</v>
      </c>
      <c r="M155" s="92">
        <f t="shared" si="94"/>
        <v>15.810172063846984</v>
      </c>
      <c r="N155" s="92">
        <f t="shared" si="94"/>
        <v>15.841875858735118</v>
      </c>
      <c r="O155" s="92">
        <f t="shared" si="94"/>
        <v>15.803793495414793</v>
      </c>
      <c r="P155" s="92">
        <f t="shared" si="94"/>
        <v>15.853478233213284</v>
      </c>
      <c r="T155"/>
    </row>
    <row r="156" spans="1:20" hidden="1">
      <c r="A156" s="132" t="s">
        <v>8</v>
      </c>
      <c r="B156" s="92">
        <f t="shared" si="86"/>
        <v>16.221638337702217</v>
      </c>
      <c r="C156" s="92">
        <f t="shared" ref="C156:P156" si="95">C34/C14*100</f>
        <v>15.994350895442441</v>
      </c>
      <c r="D156" s="92">
        <f t="shared" si="95"/>
        <v>16.018920192772622</v>
      </c>
      <c r="E156" s="92">
        <f t="shared" si="95"/>
        <v>15.95265306467798</v>
      </c>
      <c r="F156" s="92">
        <f t="shared" si="95"/>
        <v>15.886446309168086</v>
      </c>
      <c r="G156" s="92">
        <f t="shared" si="95"/>
        <v>15.907644363038081</v>
      </c>
      <c r="H156" s="92">
        <f t="shared" si="95"/>
        <v>16.830560217380356</v>
      </c>
      <c r="I156" s="92">
        <f t="shared" si="95"/>
        <v>16.855167509338223</v>
      </c>
      <c r="J156" s="92">
        <f t="shared" si="95"/>
        <v>16.986960353160484</v>
      </c>
      <c r="K156" s="92">
        <f t="shared" si="95"/>
        <v>16.993237452780324</v>
      </c>
      <c r="L156" s="92">
        <f t="shared" si="95"/>
        <v>16.901343225819275</v>
      </c>
      <c r="M156" s="92">
        <f t="shared" si="95"/>
        <v>16.971881141033606</v>
      </c>
      <c r="N156" s="92">
        <f t="shared" si="95"/>
        <v>17.017461053830267</v>
      </c>
      <c r="O156" s="92">
        <f t="shared" si="95"/>
        <v>17.029913658685924</v>
      </c>
      <c r="P156" s="92">
        <f t="shared" si="95"/>
        <v>17.250742552403143</v>
      </c>
      <c r="T156"/>
    </row>
    <row r="157" spans="1:20" hidden="1">
      <c r="A157" s="132" t="s">
        <v>9</v>
      </c>
      <c r="B157" s="92">
        <f t="shared" si="86"/>
        <v>23.298915716145348</v>
      </c>
      <c r="C157" s="92">
        <f t="shared" ref="C157:P157" si="96">C35/C15*100</f>
        <v>22.940361987658573</v>
      </c>
      <c r="D157" s="92">
        <f t="shared" si="96"/>
        <v>22.505408413821069</v>
      </c>
      <c r="E157" s="92">
        <f t="shared" si="96"/>
        <v>22.298198069022995</v>
      </c>
      <c r="F157" s="92">
        <f t="shared" si="96"/>
        <v>21.94878675011271</v>
      </c>
      <c r="G157" s="92">
        <f t="shared" si="96"/>
        <v>21.574755848773226</v>
      </c>
      <c r="H157" s="92">
        <f t="shared" si="96"/>
        <v>21.251602756521976</v>
      </c>
      <c r="I157" s="92">
        <f t="shared" si="96"/>
        <v>21.320844334825697</v>
      </c>
      <c r="J157" s="92">
        <f t="shared" si="96"/>
        <v>21.449794927729112</v>
      </c>
      <c r="K157" s="92">
        <f t="shared" si="96"/>
        <v>21.366280723176697</v>
      </c>
      <c r="L157" s="92">
        <f t="shared" si="96"/>
        <v>21.492346887981416</v>
      </c>
      <c r="M157" s="92">
        <f t="shared" si="96"/>
        <v>21.509593894127963</v>
      </c>
      <c r="N157" s="92">
        <f t="shared" si="96"/>
        <v>21.616175231127357</v>
      </c>
      <c r="O157" s="92">
        <f t="shared" si="96"/>
        <v>21.657882834503276</v>
      </c>
      <c r="P157" s="92">
        <f t="shared" si="96"/>
        <v>21.804528997398211</v>
      </c>
      <c r="T157"/>
    </row>
    <row r="158" spans="1:20" hidden="1">
      <c r="A158" s="132" t="s">
        <v>10</v>
      </c>
      <c r="B158" s="92">
        <f t="shared" si="86"/>
        <v>13.96366999336583</v>
      </c>
      <c r="C158" s="92">
        <f t="shared" ref="C158:P158" si="97">C36/C16*100</f>
        <v>13.971525098825246</v>
      </c>
      <c r="D158" s="92">
        <f t="shared" si="97"/>
        <v>13.909301706717011</v>
      </c>
      <c r="E158" s="92">
        <f t="shared" si="97"/>
        <v>13.926272136340042</v>
      </c>
      <c r="F158" s="92">
        <f t="shared" si="97"/>
        <v>14.054891981405232</v>
      </c>
      <c r="G158" s="92">
        <f t="shared" si="97"/>
        <v>13.784242501565606</v>
      </c>
      <c r="H158" s="92">
        <f t="shared" si="97"/>
        <v>13.469803844116612</v>
      </c>
      <c r="I158" s="92">
        <f t="shared" si="97"/>
        <v>13.314981560134084</v>
      </c>
      <c r="J158" s="92">
        <f t="shared" si="97"/>
        <v>13.415398999002409</v>
      </c>
      <c r="K158" s="92">
        <f t="shared" si="97"/>
        <v>13.436770914754915</v>
      </c>
      <c r="L158" s="92">
        <f t="shared" si="97"/>
        <v>14.055377460510101</v>
      </c>
      <c r="M158" s="92">
        <f t="shared" si="97"/>
        <v>13.805498267458319</v>
      </c>
      <c r="N158" s="92">
        <f t="shared" si="97"/>
        <v>13.791428331998443</v>
      </c>
      <c r="O158" s="92">
        <f t="shared" si="97"/>
        <v>13.794007631768842</v>
      </c>
      <c r="P158" s="92">
        <f t="shared" si="97"/>
        <v>13.87903413808192</v>
      </c>
      <c r="T158"/>
    </row>
    <row r="159" spans="1:20" hidden="1">
      <c r="A159" s="132" t="s">
        <v>11</v>
      </c>
      <c r="B159" s="92">
        <f t="shared" si="86"/>
        <v>16.393127682742588</v>
      </c>
      <c r="C159" s="92">
        <f t="shared" ref="C159:P159" si="98">C37/C17*100</f>
        <v>16.38373416331515</v>
      </c>
      <c r="D159" s="92">
        <f t="shared" si="98"/>
        <v>16.37237357809774</v>
      </c>
      <c r="E159" s="92">
        <f t="shared" si="98"/>
        <v>16.373798743141759</v>
      </c>
      <c r="F159" s="92">
        <f t="shared" si="98"/>
        <v>16.346473787300845</v>
      </c>
      <c r="G159" s="92">
        <f t="shared" si="98"/>
        <v>16.329207295355932</v>
      </c>
      <c r="H159" s="92">
        <f t="shared" si="98"/>
        <v>16.342478909775245</v>
      </c>
      <c r="I159" s="92">
        <f t="shared" si="98"/>
        <v>16.334138374740981</v>
      </c>
      <c r="J159" s="92">
        <f t="shared" si="98"/>
        <v>16.336224473785794</v>
      </c>
      <c r="K159" s="92">
        <f t="shared" si="98"/>
        <v>16.339683662393629</v>
      </c>
      <c r="L159" s="92">
        <f t="shared" si="98"/>
        <v>16.273577472725488</v>
      </c>
      <c r="M159" s="92">
        <f t="shared" si="98"/>
        <v>16.286643012727431</v>
      </c>
      <c r="N159" s="92">
        <f t="shared" si="98"/>
        <v>16.278713374167843</v>
      </c>
      <c r="O159" s="92">
        <f t="shared" si="98"/>
        <v>16.2540204471664</v>
      </c>
      <c r="P159" s="92">
        <f t="shared" si="98"/>
        <v>16.390382360697977</v>
      </c>
      <c r="T159"/>
    </row>
    <row r="160" spans="1:20" hidden="1">
      <c r="A160" s="133" t="s">
        <v>12</v>
      </c>
      <c r="B160" s="92">
        <f t="shared" si="86"/>
        <v>13.657638702721981</v>
      </c>
      <c r="C160" s="92">
        <f t="shared" ref="C160:P160" si="99">C38/C18*100</f>
        <v>13.905927119607151</v>
      </c>
      <c r="D160" s="92">
        <f t="shared" si="99"/>
        <v>13.463213711045732</v>
      </c>
      <c r="E160" s="92">
        <f t="shared" si="99"/>
        <v>13.824963758222243</v>
      </c>
      <c r="F160" s="92">
        <f t="shared" si="99"/>
        <v>13.458471855703719</v>
      </c>
      <c r="G160" s="92">
        <f t="shared" si="99"/>
        <v>13.544797370282682</v>
      </c>
      <c r="H160" s="92">
        <f t="shared" si="99"/>
        <v>13.799913170715916</v>
      </c>
      <c r="I160" s="92">
        <f t="shared" si="99"/>
        <v>13.758766379982374</v>
      </c>
      <c r="J160" s="92">
        <f t="shared" si="99"/>
        <v>13.682483003389892</v>
      </c>
      <c r="K160" s="92">
        <f t="shared" si="99"/>
        <v>13.606767511955873</v>
      </c>
      <c r="L160" s="92">
        <f t="shared" si="99"/>
        <v>13.632320532741046</v>
      </c>
      <c r="M160" s="92">
        <f t="shared" si="99"/>
        <v>13.621477002832988</v>
      </c>
      <c r="N160" s="92">
        <f t="shared" si="99"/>
        <v>13.646462172717289</v>
      </c>
      <c r="O160" s="92">
        <f t="shared" si="99"/>
        <v>13.696980285372415</v>
      </c>
      <c r="P160" s="92">
        <f t="shared" si="99"/>
        <v>13.695367743354053</v>
      </c>
      <c r="T160"/>
    </row>
    <row r="161" spans="1:20" hidden="1">
      <c r="T161"/>
    </row>
    <row r="162" spans="1:20" hidden="1">
      <c r="T162"/>
    </row>
    <row r="163" spans="1:20" ht="18">
      <c r="A163" s="401" t="s">
        <v>168</v>
      </c>
      <c r="B163" s="401"/>
      <c r="C163" s="401"/>
      <c r="D163" s="401"/>
      <c r="E163" s="401"/>
      <c r="F163" s="401"/>
      <c r="G163" s="402"/>
      <c r="H163" s="402"/>
      <c r="I163" s="402"/>
      <c r="J163" s="402"/>
      <c r="K163" s="402"/>
      <c r="L163" s="402"/>
      <c r="M163" s="402"/>
      <c r="N163" s="402"/>
      <c r="O163" s="403"/>
      <c r="P163" s="403"/>
      <c r="T163"/>
    </row>
    <row r="164" spans="1:20">
      <c r="A164" s="1" t="s">
        <v>416</v>
      </c>
      <c r="B164" s="1"/>
      <c r="C164" s="1"/>
      <c r="D164" s="1"/>
      <c r="E164" s="1"/>
      <c r="F164" s="1"/>
      <c r="T164"/>
    </row>
    <row r="165" spans="1:20" ht="13.5" thickBot="1">
      <c r="A165" s="108" t="s">
        <v>167</v>
      </c>
      <c r="B165" s="102"/>
      <c r="C165" s="102" t="s">
        <v>277</v>
      </c>
      <c r="D165" s="102" t="s">
        <v>278</v>
      </c>
      <c r="E165" s="102" t="s">
        <v>279</v>
      </c>
      <c r="F165" s="102" t="s">
        <v>280</v>
      </c>
      <c r="G165" s="102" t="s">
        <v>16</v>
      </c>
      <c r="H165" s="102" t="s">
        <v>17</v>
      </c>
      <c r="I165" s="102" t="s">
        <v>18</v>
      </c>
      <c r="J165" s="109">
        <v>2003</v>
      </c>
      <c r="K165" s="109">
        <v>2004</v>
      </c>
      <c r="L165" s="109">
        <v>2005</v>
      </c>
      <c r="M165" s="109">
        <v>2006</v>
      </c>
      <c r="N165" s="109">
        <v>2007</v>
      </c>
      <c r="O165" s="109">
        <v>2008</v>
      </c>
      <c r="P165" s="109">
        <v>2009</v>
      </c>
      <c r="Q165" s="109">
        <v>2010</v>
      </c>
      <c r="R165" s="109">
        <v>2011</v>
      </c>
      <c r="S165" s="109">
        <v>2012</v>
      </c>
      <c r="T165" s="109">
        <v>2013</v>
      </c>
    </row>
    <row r="166" spans="1:20" ht="13.5" thickTop="1">
      <c r="A166" s="5" t="s">
        <v>0</v>
      </c>
      <c r="B166" s="154"/>
      <c r="C166" s="154">
        <f>C26/C$41*100</f>
        <v>8.1141392541812234</v>
      </c>
      <c r="D166" s="154">
        <f t="shared" ref="D166:P166" si="100">D26/D$41*100</f>
        <v>7.9760233849383271</v>
      </c>
      <c r="E166" s="154">
        <f t="shared" si="100"/>
        <v>7.9084367852789788</v>
      </c>
      <c r="F166" s="154">
        <f t="shared" si="100"/>
        <v>6.8827283066342879</v>
      </c>
      <c r="G166" s="154">
        <f t="shared" si="100"/>
        <v>6.7037237177011573</v>
      </c>
      <c r="H166" s="154">
        <f t="shared" si="100"/>
        <v>6.3013255990042598</v>
      </c>
      <c r="I166" s="154">
        <f t="shared" si="100"/>
        <v>6.154940347475506</v>
      </c>
      <c r="J166" s="154">
        <f t="shared" si="100"/>
        <v>6.3120703024991789</v>
      </c>
      <c r="K166" s="154">
        <f t="shared" si="100"/>
        <v>6.0860930464553027</v>
      </c>
      <c r="L166" s="154">
        <f t="shared" si="100"/>
        <v>5.4118357341588492</v>
      </c>
      <c r="M166" s="154">
        <f t="shared" si="100"/>
        <v>5.1021157790159704</v>
      </c>
      <c r="N166" s="154">
        <f t="shared" si="100"/>
        <v>4.9946671020977345</v>
      </c>
      <c r="O166" s="154">
        <f t="shared" si="100"/>
        <v>5.2426876136536782</v>
      </c>
      <c r="P166" s="154">
        <f t="shared" si="100"/>
        <v>5.2394316427415717</v>
      </c>
      <c r="Q166" s="154">
        <f t="shared" ref="Q166:Q181" si="101">Q26/Q$41*100</f>
        <v>5.1345213705531059</v>
      </c>
      <c r="R166" s="154">
        <f t="shared" ref="R166:S166" si="102">R26/R$41*100</f>
        <v>4.9825785329745509</v>
      </c>
      <c r="S166" s="154">
        <f t="shared" si="102"/>
        <v>4.9624906174833772</v>
      </c>
      <c r="T166" s="154">
        <f t="shared" ref="T166" si="103">T26/T$41*100</f>
        <v>5.0234838064211207</v>
      </c>
    </row>
    <row r="167" spans="1:20">
      <c r="A167" s="6" t="s">
        <v>1</v>
      </c>
      <c r="B167" s="156"/>
      <c r="C167" s="156">
        <f t="shared" ref="C167:P181" si="104">C27/C$41*100</f>
        <v>4.9487771426835554</v>
      </c>
      <c r="D167" s="156">
        <f t="shared" si="104"/>
        <v>4.8368470274406841</v>
      </c>
      <c r="E167" s="156">
        <f t="shared" si="104"/>
        <v>4.8384744048694888</v>
      </c>
      <c r="F167" s="156">
        <f t="shared" si="104"/>
        <v>4.6753244107124479</v>
      </c>
      <c r="G167" s="156">
        <f t="shared" si="104"/>
        <v>4.6446680811608392</v>
      </c>
      <c r="H167" s="156">
        <f t="shared" si="104"/>
        <v>4.4308219156713502</v>
      </c>
      <c r="I167" s="156">
        <f t="shared" si="104"/>
        <v>4.5244688257340249</v>
      </c>
      <c r="J167" s="156">
        <f t="shared" si="104"/>
        <v>4.6318203315987434</v>
      </c>
      <c r="K167" s="156">
        <f t="shared" si="104"/>
        <v>4.445864520235757</v>
      </c>
      <c r="L167" s="156">
        <f t="shared" si="104"/>
        <v>3.958400257675168</v>
      </c>
      <c r="M167" s="156">
        <f t="shared" si="104"/>
        <v>3.7707144465961644</v>
      </c>
      <c r="N167" s="156">
        <f t="shared" si="104"/>
        <v>3.7063088041560714</v>
      </c>
      <c r="O167" s="156">
        <f t="shared" si="104"/>
        <v>4.0830630367702181</v>
      </c>
      <c r="P167" s="156">
        <f>P27/P$41*100</f>
        <v>4.0373960740777113</v>
      </c>
      <c r="Q167" s="156">
        <f t="shared" si="101"/>
        <v>3.9731511673421349</v>
      </c>
      <c r="R167" s="156">
        <f t="shared" ref="R167:S167" si="105">R27/R$41*100</f>
        <v>3.8766113767193335</v>
      </c>
      <c r="S167" s="156">
        <f t="shared" si="105"/>
        <v>3.8659036400147895</v>
      </c>
      <c r="T167" s="156">
        <f t="shared" ref="T167" si="106">T27/T$41*100</f>
        <v>3.9300428587125356</v>
      </c>
    </row>
    <row r="168" spans="1:20">
      <c r="A168" s="111" t="s">
        <v>2</v>
      </c>
      <c r="B168" s="157"/>
      <c r="C168" s="352">
        <f t="shared" si="104"/>
        <v>3.1653621114976693</v>
      </c>
      <c r="D168" s="352">
        <f t="shared" si="104"/>
        <v>3.1391763574976426</v>
      </c>
      <c r="E168" s="352">
        <f t="shared" si="104"/>
        <v>3.0699623804094891</v>
      </c>
      <c r="F168" s="352">
        <f t="shared" si="104"/>
        <v>2.2074038959218405</v>
      </c>
      <c r="G168" s="352">
        <f t="shared" si="104"/>
        <v>2.0590556365403168</v>
      </c>
      <c r="H168" s="352">
        <f t="shared" si="104"/>
        <v>1.8705036833329098</v>
      </c>
      <c r="I168" s="352">
        <f t="shared" si="104"/>
        <v>1.6304712646120256</v>
      </c>
      <c r="J168" s="352">
        <f t="shared" si="104"/>
        <v>1.6801213621119087</v>
      </c>
      <c r="K168" s="352">
        <f t="shared" si="104"/>
        <v>1.6400257947423849</v>
      </c>
      <c r="L168" s="352">
        <f t="shared" si="104"/>
        <v>1.4536796616495402</v>
      </c>
      <c r="M168" s="352">
        <f t="shared" si="104"/>
        <v>1.3314226411908523</v>
      </c>
      <c r="N168" s="352">
        <f t="shared" si="104"/>
        <v>1.2886431306735067</v>
      </c>
      <c r="O168" s="352">
        <f t="shared" si="104"/>
        <v>1.1583890794534277</v>
      </c>
      <c r="P168" s="352">
        <f t="shared" si="104"/>
        <v>1.1039718769040332</v>
      </c>
      <c r="Q168" s="352">
        <f t="shared" si="101"/>
        <v>1.1613702032109705</v>
      </c>
      <c r="R168" s="352">
        <f t="shared" ref="R168:S168" si="107">R28/R$41*100</f>
        <v>1.1059671562552185</v>
      </c>
      <c r="S168" s="352">
        <f t="shared" si="107"/>
        <v>1.0965869774685881</v>
      </c>
      <c r="T168" s="352">
        <f t="shared" ref="T168" si="108">T28/T$41*100</f>
        <v>1.0934409477085854</v>
      </c>
    </row>
    <row r="169" spans="1:20">
      <c r="A169" s="5" t="s">
        <v>3</v>
      </c>
      <c r="B169" s="155"/>
      <c r="C169" s="155">
        <f t="shared" si="104"/>
        <v>26.544077541471417</v>
      </c>
      <c r="D169" s="155">
        <f t="shared" si="104"/>
        <v>26.817294204818857</v>
      </c>
      <c r="E169" s="155">
        <f t="shared" si="104"/>
        <v>26.059820681134077</v>
      </c>
      <c r="F169" s="155">
        <f t="shared" si="104"/>
        <v>26.084395849062147</v>
      </c>
      <c r="G169" s="155">
        <f t="shared" si="104"/>
        <v>26.969533369485603</v>
      </c>
      <c r="H169" s="155">
        <f t="shared" si="104"/>
        <v>27.105097756463572</v>
      </c>
      <c r="I169" s="155">
        <f t="shared" si="104"/>
        <v>26.718836509959544</v>
      </c>
      <c r="J169" s="155">
        <f t="shared" si="104"/>
        <v>25.616951350467509</v>
      </c>
      <c r="K169" s="155">
        <f t="shared" si="104"/>
        <v>25.810539195551506</v>
      </c>
      <c r="L169" s="155">
        <f t="shared" si="104"/>
        <v>26.063815584033556</v>
      </c>
      <c r="M169" s="155">
        <f t="shared" si="104"/>
        <v>26.16340895338552</v>
      </c>
      <c r="N169" s="155">
        <f t="shared" si="104"/>
        <v>26.173236465974576</v>
      </c>
      <c r="O169" s="155">
        <f t="shared" si="104"/>
        <v>25.849546774168097</v>
      </c>
      <c r="P169" s="155">
        <f t="shared" si="104"/>
        <v>24.110432710111006</v>
      </c>
      <c r="Q169" s="155">
        <f t="shared" si="101"/>
        <v>24.551634737275208</v>
      </c>
      <c r="R169" s="155">
        <f t="shared" ref="R169:S169" si="109">R29/R$41*100</f>
        <v>24.370140776424222</v>
      </c>
      <c r="S169" s="155">
        <f t="shared" si="109"/>
        <v>24.122265430523697</v>
      </c>
      <c r="T169" s="155">
        <f t="shared" ref="T169" si="110">T29/T$41*100</f>
        <v>23.921075945795987</v>
      </c>
    </row>
    <row r="170" spans="1:20">
      <c r="A170" s="6" t="s">
        <v>4</v>
      </c>
      <c r="B170" s="156"/>
      <c r="C170" s="156">
        <f t="shared" si="104"/>
        <v>21.635483580245278</v>
      </c>
      <c r="D170" s="156">
        <f t="shared" si="104"/>
        <v>21.784654544429497</v>
      </c>
      <c r="E170" s="156">
        <f t="shared" si="104"/>
        <v>21.498933052223133</v>
      </c>
      <c r="F170" s="156">
        <f t="shared" si="104"/>
        <v>21.677125065369641</v>
      </c>
      <c r="G170" s="156">
        <f t="shared" si="104"/>
        <v>22.538701250281978</v>
      </c>
      <c r="H170" s="156">
        <f t="shared" si="104"/>
        <v>22.21978755585922</v>
      </c>
      <c r="I170" s="156">
        <f t="shared" si="104"/>
        <v>22.251899149407123</v>
      </c>
      <c r="J170" s="156">
        <f t="shared" si="104"/>
        <v>21.459372343135634</v>
      </c>
      <c r="K170" s="156">
        <f t="shared" si="104"/>
        <v>21.501148477430185</v>
      </c>
      <c r="L170" s="156">
        <f t="shared" si="104"/>
        <v>21.584398804728757</v>
      </c>
      <c r="M170" s="156">
        <f t="shared" si="104"/>
        <v>21.687243229968072</v>
      </c>
      <c r="N170" s="156">
        <f t="shared" si="104"/>
        <v>21.565349658459095</v>
      </c>
      <c r="O170" s="156">
        <f t="shared" si="104"/>
        <v>21.272167126328682</v>
      </c>
      <c r="P170" s="156">
        <f t="shared" si="104"/>
        <v>19.502086018892946</v>
      </c>
      <c r="Q170" s="156">
        <f t="shared" si="101"/>
        <v>19.890691671454984</v>
      </c>
      <c r="R170" s="156">
        <f t="shared" ref="R170:S170" si="111">R30/R$41*100</f>
        <v>19.836497197904958</v>
      </c>
      <c r="S170" s="156">
        <f t="shared" si="111"/>
        <v>19.704913877517381</v>
      </c>
      <c r="T170" s="156">
        <f t="shared" ref="T170" si="112">T30/T$41*100</f>
        <v>19.512552941833473</v>
      </c>
    </row>
    <row r="171" spans="1:20">
      <c r="A171" s="6" t="s">
        <v>5</v>
      </c>
      <c r="B171" s="156"/>
      <c r="C171" s="156">
        <f t="shared" si="104"/>
        <v>2.5765821816384276</v>
      </c>
      <c r="D171" s="156">
        <f t="shared" si="104"/>
        <v>2.6143680776129758</v>
      </c>
      <c r="E171" s="156">
        <f t="shared" si="104"/>
        <v>2.4333497499222165</v>
      </c>
      <c r="F171" s="156">
        <f t="shared" si="104"/>
        <v>2.4162222408131937</v>
      </c>
      <c r="G171" s="156">
        <f t="shared" si="104"/>
        <v>2.4492754473896419</v>
      </c>
      <c r="H171" s="156">
        <f t="shared" si="104"/>
        <v>2.3411886500289092</v>
      </c>
      <c r="I171" s="156">
        <f t="shared" si="104"/>
        <v>2.5060351195666923</v>
      </c>
      <c r="J171" s="156">
        <f t="shared" si="104"/>
        <v>2.158382198293634</v>
      </c>
      <c r="K171" s="156">
        <f t="shared" si="104"/>
        <v>2.2166641369845834</v>
      </c>
      <c r="L171" s="156">
        <f t="shared" si="104"/>
        <v>2.2324188491422157</v>
      </c>
      <c r="M171" s="156">
        <f t="shared" si="104"/>
        <v>2.1852143475194277</v>
      </c>
      <c r="N171" s="156">
        <f t="shared" si="104"/>
        <v>2.1323575585896664</v>
      </c>
      <c r="O171" s="156">
        <f t="shared" si="104"/>
        <v>1.968347457625031</v>
      </c>
      <c r="P171" s="156">
        <f t="shared" si="104"/>
        <v>1.9255412070334372</v>
      </c>
      <c r="Q171" s="156">
        <f t="shared" si="101"/>
        <v>1.8733352126582496</v>
      </c>
      <c r="R171" s="156">
        <f t="shared" ref="R171:S171" si="113">R31/R$41*100</f>
        <v>1.8305752206377337</v>
      </c>
      <c r="S171" s="156">
        <f t="shared" si="113"/>
        <v>1.721790763824615</v>
      </c>
      <c r="T171" s="156">
        <f t="shared" ref="T171" si="114">T31/T$41*100</f>
        <v>1.6804983984077346</v>
      </c>
    </row>
    <row r="172" spans="1:20">
      <c r="A172" s="111" t="s">
        <v>6</v>
      </c>
      <c r="B172" s="157"/>
      <c r="C172" s="352">
        <f t="shared" si="104"/>
        <v>2.3320117795877069</v>
      </c>
      <c r="D172" s="352">
        <f t="shared" si="104"/>
        <v>2.4182715827763874</v>
      </c>
      <c r="E172" s="352">
        <f t="shared" si="104"/>
        <v>2.1275378789887212</v>
      </c>
      <c r="F172" s="352">
        <f t="shared" si="104"/>
        <v>1.9910485428793132</v>
      </c>
      <c r="G172" s="352">
        <f t="shared" si="104"/>
        <v>1.9815566718139825</v>
      </c>
      <c r="H172" s="352">
        <f t="shared" si="104"/>
        <v>2.5441215505754409</v>
      </c>
      <c r="I172" s="352">
        <f t="shared" si="104"/>
        <v>1.9609022409857291</v>
      </c>
      <c r="J172" s="352">
        <f t="shared" si="104"/>
        <v>1.9991968090382419</v>
      </c>
      <c r="K172" s="352">
        <f t="shared" si="104"/>
        <v>2.0927265811367226</v>
      </c>
      <c r="L172" s="352">
        <f t="shared" si="104"/>
        <v>2.2470307788029689</v>
      </c>
      <c r="M172" s="352">
        <f t="shared" si="104"/>
        <v>2.2909883699361648</v>
      </c>
      <c r="N172" s="352">
        <f t="shared" si="104"/>
        <v>2.4755292489258185</v>
      </c>
      <c r="O172" s="352">
        <f t="shared" si="104"/>
        <v>2.5846361138384779</v>
      </c>
      <c r="P172" s="352">
        <f t="shared" si="104"/>
        <v>2.8523817743487228</v>
      </c>
      <c r="Q172" s="352">
        <f t="shared" si="101"/>
        <v>2.7876078531619739</v>
      </c>
      <c r="R172" s="352">
        <f t="shared" ref="R172:S172" si="115">R32/R$41*100</f>
        <v>2.7030683578815307</v>
      </c>
      <c r="S172" s="352">
        <f t="shared" si="115"/>
        <v>2.6955607891817017</v>
      </c>
      <c r="T172" s="352">
        <f t="shared" ref="T172" si="116">T32/T$41*100</f>
        <v>2.7280246055547823</v>
      </c>
    </row>
    <row r="173" spans="1:20">
      <c r="A173" s="5" t="s">
        <v>7</v>
      </c>
      <c r="B173" s="155"/>
      <c r="C173" s="155">
        <f t="shared" si="104"/>
        <v>53.647682792823971</v>
      </c>
      <c r="D173" s="155">
        <f t="shared" si="104"/>
        <v>53.419534540501246</v>
      </c>
      <c r="E173" s="155">
        <f t="shared" si="104"/>
        <v>54.412046302376673</v>
      </c>
      <c r="F173" s="155">
        <f t="shared" si="104"/>
        <v>55.727983158010531</v>
      </c>
      <c r="G173" s="155">
        <f t="shared" si="104"/>
        <v>55.331034867186361</v>
      </c>
      <c r="H173" s="155">
        <f t="shared" si="104"/>
        <v>55.343987177873785</v>
      </c>
      <c r="I173" s="155">
        <f t="shared" si="104"/>
        <v>56.162972018194466</v>
      </c>
      <c r="J173" s="155">
        <f t="shared" si="104"/>
        <v>57.224448723054209</v>
      </c>
      <c r="K173" s="155">
        <f t="shared" si="104"/>
        <v>57.228100770694333</v>
      </c>
      <c r="L173" s="155">
        <f t="shared" si="104"/>
        <v>57.777196133591346</v>
      </c>
      <c r="M173" s="155">
        <f t="shared" si="104"/>
        <v>57.898118931121068</v>
      </c>
      <c r="N173" s="155">
        <f t="shared" si="104"/>
        <v>58.102266147192772</v>
      </c>
      <c r="O173" s="155">
        <f t="shared" si="104"/>
        <v>58.314119023088239</v>
      </c>
      <c r="P173" s="155">
        <f t="shared" si="104"/>
        <v>60.147063315067285</v>
      </c>
      <c r="Q173" s="155">
        <f t="shared" si="101"/>
        <v>59.71972755844893</v>
      </c>
      <c r="R173" s="155">
        <f t="shared" ref="R173:S173" si="117">R33/R$41*100</f>
        <v>60.064795382757637</v>
      </c>
      <c r="S173" s="155">
        <f t="shared" si="117"/>
        <v>60.207739591777319</v>
      </c>
      <c r="T173" s="155">
        <f t="shared" ref="T173" si="118">T33/T$41*100</f>
        <v>60.472814097087365</v>
      </c>
    </row>
    <row r="174" spans="1:20">
      <c r="A174" s="3" t="s">
        <v>8</v>
      </c>
      <c r="B174" s="156"/>
      <c r="C174" s="156">
        <f t="shared" si="104"/>
        <v>11.267858220095265</v>
      </c>
      <c r="D174" s="156">
        <f t="shared" si="104"/>
        <v>11.113802395673359</v>
      </c>
      <c r="E174" s="156">
        <f t="shared" si="104"/>
        <v>11.114693060311803</v>
      </c>
      <c r="F174" s="156">
        <f t="shared" si="104"/>
        <v>11.819004678912878</v>
      </c>
      <c r="G174" s="156">
        <f t="shared" si="104"/>
        <v>12.24963888170628</v>
      </c>
      <c r="H174" s="156">
        <f t="shared" si="104"/>
        <v>12.643422065647911</v>
      </c>
      <c r="I174" s="156">
        <f t="shared" si="104"/>
        <v>12.638743652607568</v>
      </c>
      <c r="J174" s="156">
        <f t="shared" si="104"/>
        <v>12.727959251279069</v>
      </c>
      <c r="K174" s="156">
        <f t="shared" si="104"/>
        <v>12.842450928413285</v>
      </c>
      <c r="L174" s="156">
        <f t="shared" si="104"/>
        <v>12.928479125728645</v>
      </c>
      <c r="M174" s="156">
        <f t="shared" si="104"/>
        <v>13.034992033762958</v>
      </c>
      <c r="N174" s="156">
        <f t="shared" si="104"/>
        <v>12.997737448326099</v>
      </c>
      <c r="O174" s="156">
        <f t="shared" si="104"/>
        <v>12.633353296878843</v>
      </c>
      <c r="P174" s="156">
        <f t="shared" si="104"/>
        <v>12.870666670236957</v>
      </c>
      <c r="Q174" s="156">
        <f t="shared" si="101"/>
        <v>12.89026733189719</v>
      </c>
      <c r="R174" s="156">
        <f t="shared" ref="R174:S174" si="119">R34/R$41*100</f>
        <v>13.080349547795219</v>
      </c>
      <c r="S174" s="156">
        <f t="shared" si="119"/>
        <v>13.198916238510893</v>
      </c>
      <c r="T174" s="156">
        <f t="shared" ref="T174" si="120">T34/T$41*100</f>
        <v>13.340501337202948</v>
      </c>
    </row>
    <row r="175" spans="1:20">
      <c r="A175" s="3" t="s">
        <v>9</v>
      </c>
      <c r="B175" s="156"/>
      <c r="C175" s="156">
        <f t="shared" si="104"/>
        <v>9.4161386167477232</v>
      </c>
      <c r="D175" s="156">
        <f t="shared" si="104"/>
        <v>9.7497327792358295</v>
      </c>
      <c r="E175" s="156">
        <f t="shared" si="104"/>
        <v>10.103078273957928</v>
      </c>
      <c r="F175" s="156">
        <f t="shared" si="104"/>
        <v>10.382155470809291</v>
      </c>
      <c r="G175" s="156">
        <f t="shared" si="104"/>
        <v>10.582515882344069</v>
      </c>
      <c r="H175" s="156">
        <f t="shared" si="104"/>
        <v>10.568300553972723</v>
      </c>
      <c r="I175" s="156">
        <f t="shared" si="104"/>
        <v>11.276478559216098</v>
      </c>
      <c r="J175" s="156">
        <f t="shared" si="104"/>
        <v>11.742689314844036</v>
      </c>
      <c r="K175" s="156">
        <f t="shared" si="104"/>
        <v>11.740684369707727</v>
      </c>
      <c r="L175" s="156">
        <f t="shared" si="104"/>
        <v>11.758033219411759</v>
      </c>
      <c r="M175" s="156">
        <f t="shared" si="104"/>
        <v>11.720920493074342</v>
      </c>
      <c r="N175" s="156">
        <f t="shared" si="104"/>
        <v>11.857889465843135</v>
      </c>
      <c r="O175" s="156">
        <f t="shared" si="104"/>
        <v>11.882485375957701</v>
      </c>
      <c r="P175" s="156">
        <f t="shared" si="104"/>
        <v>12.29064515756334</v>
      </c>
      <c r="Q175" s="156">
        <f t="shared" si="101"/>
        <v>12.132755285795662</v>
      </c>
      <c r="R175" s="156">
        <f t="shared" ref="R175:S175" si="121">R35/R$41*100</f>
        <v>12.055777127170799</v>
      </c>
      <c r="S175" s="156">
        <f t="shared" si="121"/>
        <v>12.027275242845349</v>
      </c>
      <c r="T175" s="156">
        <f t="shared" ref="T175" si="122">T35/T$41*100</f>
        <v>12.024456615558679</v>
      </c>
    </row>
    <row r="176" spans="1:20">
      <c r="A176" s="3" t="s">
        <v>10</v>
      </c>
      <c r="B176" s="156"/>
      <c r="C176" s="156">
        <f t="shared" si="104"/>
        <v>13.451545893400674</v>
      </c>
      <c r="D176" s="156">
        <f t="shared" si="104"/>
        <v>13.753923496693899</v>
      </c>
      <c r="E176" s="156">
        <f t="shared" si="104"/>
        <v>13.965812005883697</v>
      </c>
      <c r="F176" s="156">
        <f t="shared" si="104"/>
        <v>14.702205241076053</v>
      </c>
      <c r="G176" s="156">
        <f t="shared" si="104"/>
        <v>14.245311061660601</v>
      </c>
      <c r="H176" s="156">
        <f t="shared" si="104"/>
        <v>14.415234011227609</v>
      </c>
      <c r="I176" s="156">
        <f t="shared" si="104"/>
        <v>14.776335546993533</v>
      </c>
      <c r="J176" s="156">
        <f t="shared" si="104"/>
        <v>15.185688958694596</v>
      </c>
      <c r="K176" s="156">
        <f t="shared" si="104"/>
        <v>15.582175764758771</v>
      </c>
      <c r="L176" s="156">
        <f t="shared" si="104"/>
        <v>16.291819048366527</v>
      </c>
      <c r="M176" s="156">
        <f t="shared" si="104"/>
        <v>16.625494783396093</v>
      </c>
      <c r="N176" s="156">
        <f t="shared" si="104"/>
        <v>16.918338137947483</v>
      </c>
      <c r="O176" s="156">
        <f t="shared" si="104"/>
        <v>17.473469656386825</v>
      </c>
      <c r="P176" s="156">
        <f t="shared" si="104"/>
        <v>18.078772317464484</v>
      </c>
      <c r="Q176" s="156">
        <f t="shared" si="101"/>
        <v>17.806583353118217</v>
      </c>
      <c r="R176" s="156">
        <f t="shared" ref="R176:S176" si="123">R36/R$41*100</f>
        <v>18.022259005071746</v>
      </c>
      <c r="S176" s="156">
        <f t="shared" si="123"/>
        <v>18.116419059780682</v>
      </c>
      <c r="T176" s="156">
        <f t="shared" ref="T176" si="124">T36/T$41*100</f>
        <v>18.251005792467023</v>
      </c>
    </row>
    <row r="177" spans="1:20">
      <c r="A177" s="3" t="s">
        <v>11</v>
      </c>
      <c r="B177" s="156"/>
      <c r="C177" s="156">
        <f t="shared" si="104"/>
        <v>5.539045177441543</v>
      </c>
      <c r="D177" s="156">
        <f t="shared" si="104"/>
        <v>5.4276584629349678</v>
      </c>
      <c r="E177" s="156">
        <f t="shared" si="104"/>
        <v>5.7153968267856543</v>
      </c>
      <c r="F177" s="156">
        <f t="shared" si="104"/>
        <v>5.8814561422854998</v>
      </c>
      <c r="G177" s="156">
        <f t="shared" si="104"/>
        <v>5.896570070889342</v>
      </c>
      <c r="H177" s="156">
        <f t="shared" si="104"/>
        <v>5.7767386164439687</v>
      </c>
      <c r="I177" s="156">
        <f t="shared" si="104"/>
        <v>5.7724530116454389</v>
      </c>
      <c r="J177" s="156">
        <f t="shared" si="104"/>
        <v>5.9313479289333904</v>
      </c>
      <c r="K177" s="156">
        <f t="shared" si="104"/>
        <v>5.7764775353005628</v>
      </c>
      <c r="L177" s="156">
        <f t="shared" si="104"/>
        <v>5.6463576697013078</v>
      </c>
      <c r="M177" s="156">
        <f t="shared" si="104"/>
        <v>5.6341718832259042</v>
      </c>
      <c r="N177" s="156">
        <f t="shared" si="104"/>
        <v>5.6135747158997207</v>
      </c>
      <c r="O177" s="156">
        <f t="shared" si="104"/>
        <v>5.6025945199004656</v>
      </c>
      <c r="P177" s="156">
        <f t="shared" si="104"/>
        <v>5.7029195767300909</v>
      </c>
      <c r="Q177" s="156">
        <f t="shared" si="101"/>
        <v>5.5195052741490915</v>
      </c>
      <c r="R177" s="156">
        <f t="shared" ref="R177:S177" si="125">R37/R$41*100</f>
        <v>5.465980538823823</v>
      </c>
      <c r="S177" s="156">
        <f t="shared" si="125"/>
        <v>5.4368068393041762</v>
      </c>
      <c r="T177" s="156">
        <f t="shared" ref="T177" si="126">T37/T$41*100</f>
        <v>5.4502980320877299</v>
      </c>
    </row>
    <row r="178" spans="1:20">
      <c r="A178" s="111" t="s">
        <v>12</v>
      </c>
      <c r="B178" s="157"/>
      <c r="C178" s="352">
        <f t="shared" si="104"/>
        <v>13.973094885138766</v>
      </c>
      <c r="D178" s="352">
        <f t="shared" si="104"/>
        <v>13.374417405963197</v>
      </c>
      <c r="E178" s="352">
        <f t="shared" si="104"/>
        <v>13.513066135437585</v>
      </c>
      <c r="F178" s="352">
        <f t="shared" si="104"/>
        <v>12.943161624926807</v>
      </c>
      <c r="G178" s="352">
        <f t="shared" si="104"/>
        <v>12.356998970586069</v>
      </c>
      <c r="H178" s="352">
        <f t="shared" si="104"/>
        <v>11.940291930581584</v>
      </c>
      <c r="I178" s="352">
        <f t="shared" si="104"/>
        <v>11.698961512533057</v>
      </c>
      <c r="J178" s="352">
        <f t="shared" si="104"/>
        <v>11.636817008624806</v>
      </c>
      <c r="K178" s="352">
        <f t="shared" si="104"/>
        <v>11.286333198973017</v>
      </c>
      <c r="L178" s="352">
        <f t="shared" si="104"/>
        <v>11.152363297668954</v>
      </c>
      <c r="M178" s="352">
        <f t="shared" si="104"/>
        <v>10.882542997758945</v>
      </c>
      <c r="N178" s="352">
        <f t="shared" si="104"/>
        <v>10.694926700621538</v>
      </c>
      <c r="O178" s="352">
        <f t="shared" si="104"/>
        <v>10.792808483914429</v>
      </c>
      <c r="P178" s="352">
        <f t="shared" si="104"/>
        <v>11.416848718931442</v>
      </c>
      <c r="Q178" s="352">
        <f t="shared" si="101"/>
        <v>11.370616313488775</v>
      </c>
      <c r="R178" s="352">
        <f t="shared" ref="R178:S178" si="127">R38/R$41*100</f>
        <v>11.44042916389604</v>
      </c>
      <c r="S178" s="352">
        <f t="shared" si="127"/>
        <v>11.428322211336225</v>
      </c>
      <c r="T178" s="352">
        <f t="shared" ref="T178" si="128">T38/T$41*100</f>
        <v>11.406552319771</v>
      </c>
    </row>
    <row r="179" spans="1:20">
      <c r="A179" s="5" t="s">
        <v>13</v>
      </c>
      <c r="B179" s="155"/>
      <c r="C179" s="155">
        <f t="shared" si="104"/>
        <v>88.305899588476606</v>
      </c>
      <c r="D179" s="155">
        <f t="shared" si="104"/>
        <v>88.21285213025844</v>
      </c>
      <c r="E179" s="155">
        <f t="shared" si="104"/>
        <v>88.380303768789716</v>
      </c>
      <c r="F179" s="155">
        <f t="shared" si="104"/>
        <v>88.69510731370697</v>
      </c>
      <c r="G179" s="155">
        <f t="shared" si="104"/>
        <v>88.899774466663146</v>
      </c>
      <c r="H179" s="155">
        <f t="shared" si="104"/>
        <v>88.711250986809219</v>
      </c>
      <c r="I179" s="155">
        <f t="shared" si="104"/>
        <v>89.036748875629513</v>
      </c>
      <c r="J179" s="155">
        <f t="shared" si="104"/>
        <v>89.153470376020891</v>
      </c>
      <c r="K179" s="155">
        <f t="shared" si="104"/>
        <v>89.124733012701142</v>
      </c>
      <c r="L179" s="155">
        <f t="shared" si="104"/>
        <v>89.252847451783751</v>
      </c>
      <c r="M179" s="155">
        <f t="shared" si="104"/>
        <v>89.163643663522564</v>
      </c>
      <c r="N179" s="155">
        <f t="shared" si="104"/>
        <v>89.270169715265084</v>
      </c>
      <c r="O179" s="155">
        <f t="shared" si="104"/>
        <v>89.406353410910029</v>
      </c>
      <c r="P179" s="155">
        <f t="shared" si="104"/>
        <v>89.496927667919863</v>
      </c>
      <c r="Q179" s="155">
        <f t="shared" si="101"/>
        <v>89.405883666277248</v>
      </c>
      <c r="R179" s="155">
        <f t="shared" ref="R179:S179" si="129">R39/R$41*100</f>
        <v>89.417514692156416</v>
      </c>
      <c r="S179" s="155">
        <f t="shared" si="129"/>
        <v>89.292495639784391</v>
      </c>
      <c r="T179" s="155">
        <f t="shared" ref="T179" si="130">T39/T$41*100</f>
        <v>89.417373849304468</v>
      </c>
    </row>
    <row r="180" spans="1:20">
      <c r="A180" s="6" t="s">
        <v>14</v>
      </c>
      <c r="B180" s="156"/>
      <c r="C180" s="156">
        <f t="shared" si="104"/>
        <v>11.694100411523392</v>
      </c>
      <c r="D180" s="156">
        <f t="shared" si="104"/>
        <v>11.787147869741561</v>
      </c>
      <c r="E180" s="156">
        <f t="shared" si="104"/>
        <v>11.619696231210281</v>
      </c>
      <c r="F180" s="156">
        <f t="shared" si="104"/>
        <v>11.304892686293028</v>
      </c>
      <c r="G180" s="156">
        <f t="shared" si="104"/>
        <v>11.100225533336868</v>
      </c>
      <c r="H180" s="156">
        <f t="shared" si="104"/>
        <v>11.288749013190778</v>
      </c>
      <c r="I180" s="156">
        <f t="shared" si="104"/>
        <v>10.963251124370483</v>
      </c>
      <c r="J180" s="156">
        <f t="shared" si="104"/>
        <v>10.846521070870711</v>
      </c>
      <c r="K180" s="156">
        <f t="shared" si="104"/>
        <v>10.87524555467223</v>
      </c>
      <c r="L180" s="156">
        <f t="shared" si="104"/>
        <v>10.747297995051035</v>
      </c>
      <c r="M180" s="156">
        <f t="shared" si="104"/>
        <v>10.836363832061698</v>
      </c>
      <c r="N180" s="156">
        <f t="shared" si="104"/>
        <v>10.729740567906369</v>
      </c>
      <c r="O180" s="156">
        <f t="shared" si="104"/>
        <v>10.591290885618978</v>
      </c>
      <c r="P180" s="156">
        <f t="shared" si="104"/>
        <v>10.483159504034873</v>
      </c>
      <c r="Q180" s="156">
        <f t="shared" si="101"/>
        <v>10.594116333722752</v>
      </c>
      <c r="R180" s="156">
        <f t="shared" ref="R180:S180" si="131">R40/R$41*100</f>
        <v>10.582485307843584</v>
      </c>
      <c r="S180" s="156">
        <f t="shared" si="131"/>
        <v>10.707504360215616</v>
      </c>
      <c r="T180" s="156">
        <f t="shared" ref="T180" si="132">T40/T$41*100</f>
        <v>10.582626150695521</v>
      </c>
    </row>
    <row r="181" spans="1:20" ht="13.5" thickBot="1">
      <c r="A181" s="173" t="s">
        <v>282</v>
      </c>
      <c r="B181" s="158"/>
      <c r="C181" s="158">
        <f t="shared" si="104"/>
        <v>100</v>
      </c>
      <c r="D181" s="158">
        <f t="shared" si="104"/>
        <v>100</v>
      </c>
      <c r="E181" s="158">
        <f t="shared" si="104"/>
        <v>100</v>
      </c>
      <c r="F181" s="158">
        <f t="shared" si="104"/>
        <v>100</v>
      </c>
      <c r="G181" s="158">
        <f t="shared" si="104"/>
        <v>100</v>
      </c>
      <c r="H181" s="158">
        <f t="shared" si="104"/>
        <v>100</v>
      </c>
      <c r="I181" s="158">
        <f t="shared" si="104"/>
        <v>100</v>
      </c>
      <c r="J181" s="158">
        <f t="shared" si="104"/>
        <v>100</v>
      </c>
      <c r="K181" s="158">
        <f t="shared" si="104"/>
        <v>100</v>
      </c>
      <c r="L181" s="158">
        <f t="shared" si="104"/>
        <v>100</v>
      </c>
      <c r="M181" s="158">
        <f t="shared" si="104"/>
        <v>100</v>
      </c>
      <c r="N181" s="158">
        <f t="shared" si="104"/>
        <v>100</v>
      </c>
      <c r="O181" s="158">
        <f t="shared" si="104"/>
        <v>100</v>
      </c>
      <c r="P181" s="158">
        <f t="shared" si="104"/>
        <v>100</v>
      </c>
      <c r="Q181" s="158">
        <f t="shared" si="101"/>
        <v>100</v>
      </c>
      <c r="R181" s="158">
        <f t="shared" ref="R181:S181" si="133">R41/R$41*100</f>
        <v>100</v>
      </c>
      <c r="S181" s="158">
        <f t="shared" si="133"/>
        <v>100</v>
      </c>
      <c r="T181" s="158">
        <f t="shared" ref="T181" si="134">T41/T$41*100</f>
        <v>100</v>
      </c>
    </row>
  </sheetData>
  <mergeCells count="7">
    <mergeCell ref="A1:T1"/>
    <mergeCell ref="A163:P163"/>
    <mergeCell ref="A82:P82"/>
    <mergeCell ref="A3:P3"/>
    <mergeCell ref="A23:P23"/>
    <mergeCell ref="A43:P43"/>
    <mergeCell ref="A62:P62"/>
  </mergeCells>
  <phoneticPr fontId="8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CE121"/>
  <sheetViews>
    <sheetView zoomScale="80" zoomScaleNormal="80" workbookViewId="0">
      <selection sqref="A1:BY1"/>
    </sheetView>
  </sheetViews>
  <sheetFormatPr defaultRowHeight="12.75"/>
  <cols>
    <col min="1" max="1" width="43.125" customWidth="1"/>
    <col min="2" max="26" width="9.125" bestFit="1" customWidth="1"/>
    <col min="30" max="30" width="9.125" bestFit="1" customWidth="1"/>
    <col min="34" max="34" width="9.125" bestFit="1" customWidth="1"/>
    <col min="38" max="38" width="9.125" bestFit="1" customWidth="1"/>
    <col min="46" max="46" width="9.125" bestFit="1" customWidth="1"/>
    <col min="50" max="50" width="9.125" bestFit="1" customWidth="1"/>
    <col min="59" max="60" width="9.125" bestFit="1" customWidth="1"/>
    <col min="61" max="61" width="9" customWidth="1"/>
  </cols>
  <sheetData>
    <row r="1" spans="1:77" ht="42.75" customHeight="1" thickBot="1">
      <c r="A1" s="404" t="s">
        <v>205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405"/>
      <c r="S1" s="405"/>
      <c r="T1" s="405"/>
      <c r="U1" s="405"/>
      <c r="V1" s="405"/>
      <c r="W1" s="405"/>
      <c r="X1" s="405"/>
      <c r="Y1" s="405"/>
      <c r="Z1" s="405"/>
      <c r="AA1" s="405"/>
      <c r="AB1" s="405"/>
      <c r="AC1" s="405"/>
      <c r="AD1" s="405"/>
      <c r="AE1" s="405"/>
      <c r="AF1" s="405"/>
      <c r="AG1" s="405"/>
      <c r="AH1" s="405"/>
      <c r="AI1" s="405"/>
      <c r="AJ1" s="405"/>
      <c r="AK1" s="405"/>
      <c r="AL1" s="405"/>
      <c r="AM1" s="405"/>
      <c r="AN1" s="405"/>
      <c r="AO1" s="405"/>
      <c r="AP1" s="405"/>
      <c r="AQ1" s="405"/>
      <c r="AR1" s="405"/>
      <c r="AS1" s="405"/>
      <c r="AT1" s="405"/>
      <c r="AU1" s="405"/>
      <c r="AV1" s="405"/>
      <c r="AW1" s="405"/>
      <c r="AX1" s="405"/>
      <c r="AY1" s="405"/>
      <c r="AZ1" s="405"/>
      <c r="BA1" s="405"/>
      <c r="BB1" s="405"/>
      <c r="BC1" s="405"/>
      <c r="BD1" s="405"/>
      <c r="BE1" s="405"/>
      <c r="BF1" s="405"/>
      <c r="BG1" s="405"/>
      <c r="BH1" s="405"/>
      <c r="BI1" s="405"/>
      <c r="BJ1" s="405"/>
      <c r="BK1" s="405"/>
      <c r="BL1" s="405"/>
      <c r="BM1" s="405"/>
      <c r="BN1" s="405"/>
      <c r="BO1" s="405"/>
      <c r="BP1" s="405"/>
      <c r="BQ1" s="405"/>
      <c r="BR1" s="405"/>
      <c r="BS1" s="405"/>
      <c r="BT1" s="405"/>
      <c r="BU1" s="405"/>
      <c r="BV1" s="405"/>
      <c r="BW1" s="405"/>
      <c r="BX1" s="405"/>
      <c r="BY1" s="406"/>
    </row>
    <row r="3" spans="1:77" ht="18">
      <c r="A3" s="407" t="s">
        <v>211</v>
      </c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8"/>
      <c r="AV3" s="408"/>
      <c r="AW3" s="408"/>
      <c r="AX3" s="408"/>
      <c r="AY3" s="408"/>
      <c r="AZ3" s="408"/>
      <c r="BA3" s="408"/>
      <c r="BB3" s="408"/>
      <c r="BC3" s="408"/>
      <c r="BD3" s="408"/>
      <c r="BE3" s="408"/>
      <c r="BF3" s="408"/>
      <c r="BG3" s="408"/>
      <c r="BH3" s="408"/>
    </row>
    <row r="4" spans="1:77" ht="13.5" thickBot="1">
      <c r="A4" s="1" t="s">
        <v>281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77" ht="13.5" thickBot="1">
      <c r="A5" s="108" t="s">
        <v>166</v>
      </c>
      <c r="B5" s="249" t="s">
        <v>285</v>
      </c>
      <c r="C5" s="248" t="s">
        <v>286</v>
      </c>
      <c r="D5" s="248" t="s">
        <v>287</v>
      </c>
      <c r="E5" s="248" t="s">
        <v>288</v>
      </c>
      <c r="F5" s="248" t="s">
        <v>284</v>
      </c>
      <c r="G5" s="248" t="s">
        <v>289</v>
      </c>
      <c r="H5" s="248" t="s">
        <v>290</v>
      </c>
      <c r="I5" s="248" t="s">
        <v>291</v>
      </c>
      <c r="J5" s="248" t="s">
        <v>292</v>
      </c>
      <c r="K5" s="248" t="s">
        <v>293</v>
      </c>
      <c r="L5" s="248" t="s">
        <v>294</v>
      </c>
      <c r="M5" s="248" t="s">
        <v>295</v>
      </c>
      <c r="N5" s="248" t="s">
        <v>296</v>
      </c>
      <c r="O5" s="248" t="s">
        <v>297</v>
      </c>
      <c r="P5" s="248" t="s">
        <v>298</v>
      </c>
      <c r="Q5" s="248" t="s">
        <v>299</v>
      </c>
      <c r="R5" s="248" t="s">
        <v>300</v>
      </c>
      <c r="S5" s="248" t="s">
        <v>301</v>
      </c>
      <c r="T5" s="248" t="s">
        <v>302</v>
      </c>
      <c r="U5" s="248" t="s">
        <v>303</v>
      </c>
      <c r="V5" s="248" t="s">
        <v>332</v>
      </c>
      <c r="W5" s="248" t="s">
        <v>333</v>
      </c>
      <c r="X5" s="248" t="s">
        <v>334</v>
      </c>
      <c r="Y5" s="248" t="s">
        <v>335</v>
      </c>
      <c r="Z5" s="248" t="s">
        <v>304</v>
      </c>
      <c r="AA5" s="248" t="s">
        <v>305</v>
      </c>
      <c r="AB5" s="248" t="s">
        <v>306</v>
      </c>
      <c r="AC5" s="248" t="s">
        <v>307</v>
      </c>
      <c r="AD5" s="248" t="s">
        <v>308</v>
      </c>
      <c r="AE5" s="248" t="s">
        <v>309</v>
      </c>
      <c r="AF5" s="248" t="s">
        <v>310</v>
      </c>
      <c r="AG5" s="248" t="s">
        <v>311</v>
      </c>
      <c r="AH5" s="248" t="s">
        <v>312</v>
      </c>
      <c r="AI5" s="248" t="s">
        <v>313</v>
      </c>
      <c r="AJ5" s="248" t="s">
        <v>314</v>
      </c>
      <c r="AK5" s="248" t="s">
        <v>315</v>
      </c>
      <c r="AL5" s="248" t="s">
        <v>316</v>
      </c>
      <c r="AM5" s="248" t="s">
        <v>317</v>
      </c>
      <c r="AN5" s="248" t="s">
        <v>318</v>
      </c>
      <c r="AO5" s="248" t="s">
        <v>319</v>
      </c>
      <c r="AP5" s="248" t="s">
        <v>320</v>
      </c>
      <c r="AQ5" s="248" t="s">
        <v>321</v>
      </c>
      <c r="AR5" s="248" t="s">
        <v>322</v>
      </c>
      <c r="AS5" s="248" t="s">
        <v>323</v>
      </c>
      <c r="AT5" s="248" t="s">
        <v>324</v>
      </c>
      <c r="AU5" s="248" t="s">
        <v>325</v>
      </c>
      <c r="AV5" s="248" t="s">
        <v>326</v>
      </c>
      <c r="AW5" s="248" t="s">
        <v>327</v>
      </c>
      <c r="AX5" s="248" t="s">
        <v>328</v>
      </c>
      <c r="AY5" s="248" t="s">
        <v>329</v>
      </c>
      <c r="AZ5" s="248" t="s">
        <v>330</v>
      </c>
      <c r="BA5" s="248" t="s">
        <v>331</v>
      </c>
      <c r="BB5" s="248" t="s">
        <v>227</v>
      </c>
      <c r="BC5" s="248" t="s">
        <v>228</v>
      </c>
      <c r="BD5" s="248" t="s">
        <v>229</v>
      </c>
      <c r="BE5" s="248" t="s">
        <v>230</v>
      </c>
      <c r="BF5" s="248" t="s">
        <v>224</v>
      </c>
      <c r="BG5" s="248" t="s">
        <v>225</v>
      </c>
      <c r="BH5" s="248" t="s">
        <v>226</v>
      </c>
      <c r="BI5" s="248" t="s">
        <v>346</v>
      </c>
      <c r="BJ5" s="248" t="s">
        <v>348</v>
      </c>
      <c r="BK5" s="248" t="s">
        <v>349</v>
      </c>
      <c r="BL5" s="248" t="s">
        <v>350</v>
      </c>
      <c r="BM5" s="248" t="s">
        <v>405</v>
      </c>
      <c r="BN5" s="248" t="s">
        <v>413</v>
      </c>
      <c r="BO5" s="248" t="s">
        <v>415</v>
      </c>
      <c r="BP5" s="248" t="s">
        <v>417</v>
      </c>
      <c r="BQ5" s="248" t="s">
        <v>418</v>
      </c>
      <c r="BR5" s="248" t="s">
        <v>419</v>
      </c>
      <c r="BS5" s="248" t="s">
        <v>420</v>
      </c>
      <c r="BT5" s="248" t="s">
        <v>422</v>
      </c>
      <c r="BU5" s="248" t="s">
        <v>423</v>
      </c>
      <c r="BV5" s="248" t="s">
        <v>424</v>
      </c>
      <c r="BW5" s="248" t="s">
        <v>425</v>
      </c>
      <c r="BX5" s="248" t="s">
        <v>426</v>
      </c>
      <c r="BY5" s="248" t="s">
        <v>429</v>
      </c>
    </row>
    <row r="6" spans="1:77" ht="13.5" thickTop="1">
      <c r="A6" s="2" t="s">
        <v>0</v>
      </c>
      <c r="B6" s="104">
        <f t="shared" ref="B6:Y6" si="0">SUM(B7:B8)</f>
        <v>30258.800000000003</v>
      </c>
      <c r="C6" s="98">
        <f t="shared" si="0"/>
        <v>32377.82</v>
      </c>
      <c r="D6" s="98">
        <f t="shared" si="0"/>
        <v>33293.89</v>
      </c>
      <c r="E6" s="98">
        <f t="shared" si="0"/>
        <v>31276.16</v>
      </c>
      <c r="F6" s="98">
        <f t="shared" si="0"/>
        <v>30465.08</v>
      </c>
      <c r="G6" s="98">
        <f t="shared" si="0"/>
        <v>37121.120000000003</v>
      </c>
      <c r="H6" s="98">
        <f t="shared" si="0"/>
        <v>34049.1</v>
      </c>
      <c r="I6" s="98">
        <f t="shared" si="0"/>
        <v>31102.19</v>
      </c>
      <c r="J6" s="98">
        <f t="shared" si="0"/>
        <v>30945.93</v>
      </c>
      <c r="K6" s="98">
        <f t="shared" si="0"/>
        <v>37445</v>
      </c>
      <c r="L6" s="98">
        <f t="shared" si="0"/>
        <v>34643</v>
      </c>
      <c r="M6" s="98">
        <f t="shared" si="0"/>
        <v>31698.16</v>
      </c>
      <c r="N6" s="98">
        <f t="shared" si="0"/>
        <v>31331.1</v>
      </c>
      <c r="O6" s="98">
        <f t="shared" si="0"/>
        <v>37114.17</v>
      </c>
      <c r="P6" s="98">
        <f t="shared" si="0"/>
        <v>33970</v>
      </c>
      <c r="Q6" s="98">
        <f t="shared" si="0"/>
        <v>30464.16</v>
      </c>
      <c r="R6" s="98">
        <f t="shared" si="0"/>
        <v>31336.86</v>
      </c>
      <c r="S6" s="98">
        <f t="shared" si="0"/>
        <v>37899.96</v>
      </c>
      <c r="T6" s="98">
        <f t="shared" si="0"/>
        <v>34251.22</v>
      </c>
      <c r="U6" s="98">
        <f t="shared" si="0"/>
        <v>29908.83</v>
      </c>
      <c r="V6" s="98">
        <f t="shared" si="0"/>
        <v>30082.14</v>
      </c>
      <c r="W6" s="98">
        <f t="shared" si="0"/>
        <v>35945.1</v>
      </c>
      <c r="X6" s="98">
        <f t="shared" si="0"/>
        <v>37206.1</v>
      </c>
      <c r="Y6" s="98">
        <f t="shared" si="0"/>
        <v>30623.25</v>
      </c>
      <c r="Z6" s="98">
        <f t="shared" ref="Z6:AZ6" si="1">SUM(Z7:Z8)</f>
        <v>30547.050000000003</v>
      </c>
      <c r="AA6" s="98">
        <f t="shared" si="1"/>
        <v>37781.120000000003</v>
      </c>
      <c r="AB6" s="98">
        <f t="shared" si="1"/>
        <v>34800.120000000003</v>
      </c>
      <c r="AC6" s="98">
        <f t="shared" si="1"/>
        <v>29481.25</v>
      </c>
      <c r="AD6" s="98">
        <f t="shared" si="1"/>
        <v>31002.1</v>
      </c>
      <c r="AE6" s="98">
        <f t="shared" si="1"/>
        <v>39034.199999999997</v>
      </c>
      <c r="AF6" s="98">
        <f t="shared" si="1"/>
        <v>34565.199999999997</v>
      </c>
      <c r="AG6" s="98">
        <f t="shared" si="1"/>
        <v>31184.31</v>
      </c>
      <c r="AH6" s="98">
        <f t="shared" si="1"/>
        <v>31157.66</v>
      </c>
      <c r="AI6" s="98">
        <f t="shared" si="1"/>
        <v>41409</v>
      </c>
      <c r="AJ6" s="98">
        <f t="shared" si="1"/>
        <v>36073</v>
      </c>
      <c r="AK6" s="98">
        <f t="shared" si="1"/>
        <v>30785.16</v>
      </c>
      <c r="AL6" s="98">
        <f t="shared" si="1"/>
        <v>32435.07</v>
      </c>
      <c r="AM6" s="98">
        <f t="shared" si="1"/>
        <v>40293</v>
      </c>
      <c r="AN6" s="98">
        <f t="shared" si="1"/>
        <v>37635</v>
      </c>
      <c r="AO6" s="98">
        <f t="shared" si="1"/>
        <v>30932.19</v>
      </c>
      <c r="AP6" s="98">
        <f t="shared" si="1"/>
        <v>34478</v>
      </c>
      <c r="AQ6" s="98">
        <f t="shared" si="1"/>
        <v>39905.85</v>
      </c>
      <c r="AR6" s="98">
        <f t="shared" si="1"/>
        <v>38151.550000000003</v>
      </c>
      <c r="AS6" s="98">
        <f t="shared" si="1"/>
        <v>30858.7</v>
      </c>
      <c r="AT6" s="98">
        <f t="shared" si="1"/>
        <v>32914.550000000003</v>
      </c>
      <c r="AU6" s="98">
        <f t="shared" si="1"/>
        <v>38128.449999999997</v>
      </c>
      <c r="AV6" s="98">
        <f t="shared" si="1"/>
        <v>36929.550000000003</v>
      </c>
      <c r="AW6" s="98">
        <f t="shared" si="1"/>
        <v>32750.71</v>
      </c>
      <c r="AX6" s="98">
        <f t="shared" si="1"/>
        <v>33701.71</v>
      </c>
      <c r="AY6" s="98">
        <f t="shared" si="1"/>
        <v>38604.25</v>
      </c>
      <c r="AZ6" s="98">
        <f t="shared" si="1"/>
        <v>37268.25</v>
      </c>
      <c r="BA6" s="98">
        <f t="shared" ref="BA6:BH6" si="2">SUM(BA7:BA8)</f>
        <v>32062.47</v>
      </c>
      <c r="BB6" s="98">
        <f t="shared" si="2"/>
        <v>32770.945</v>
      </c>
      <c r="BC6" s="98">
        <f t="shared" si="2"/>
        <v>39714.945</v>
      </c>
      <c r="BD6" s="98">
        <f t="shared" si="2"/>
        <v>37340.014999999999</v>
      </c>
      <c r="BE6" s="98">
        <f t="shared" si="2"/>
        <v>31713.084999999999</v>
      </c>
      <c r="BF6" s="98">
        <f t="shared" si="2"/>
        <v>31038.548999999999</v>
      </c>
      <c r="BG6" s="98">
        <f t="shared" si="2"/>
        <v>37488.706999999995</v>
      </c>
      <c r="BH6" s="98">
        <f t="shared" si="2"/>
        <v>35913.912000000004</v>
      </c>
      <c r="BI6" s="98">
        <f t="shared" ref="BI6:BN6" si="3">SUM(BI7:BI8)</f>
        <v>31070.332000000002</v>
      </c>
      <c r="BJ6" s="98">
        <f t="shared" si="3"/>
        <v>33329.499000000003</v>
      </c>
      <c r="BK6" s="98">
        <f t="shared" si="3"/>
        <v>37764.414000000004</v>
      </c>
      <c r="BL6" s="98">
        <f t="shared" si="3"/>
        <v>37265.066999999995</v>
      </c>
      <c r="BM6" s="98">
        <f t="shared" si="3"/>
        <v>32638.091</v>
      </c>
      <c r="BN6" s="98">
        <f t="shared" si="3"/>
        <v>33555.631000000001</v>
      </c>
      <c r="BO6" s="98">
        <f t="shared" ref="BO6:BX6" si="4">SUM(BO7:BO8)</f>
        <v>39771.731</v>
      </c>
      <c r="BP6" s="98">
        <f t="shared" si="4"/>
        <v>36432.430999999997</v>
      </c>
      <c r="BQ6" s="98">
        <f t="shared" si="4"/>
        <v>31514.277000000002</v>
      </c>
      <c r="BR6" s="98">
        <f t="shared" si="4"/>
        <v>31662.756999999998</v>
      </c>
      <c r="BS6" s="98">
        <f t="shared" si="4"/>
        <v>40326.081000000006</v>
      </c>
      <c r="BT6" s="98">
        <f t="shared" ref="BT6:BW6" si="5">SUM(BT7:BT8)</f>
        <v>35922.947999999997</v>
      </c>
      <c r="BU6" s="98">
        <f t="shared" si="5"/>
        <v>30603.974000000002</v>
      </c>
      <c r="BV6" s="98">
        <f t="shared" si="5"/>
        <v>32895.767999999996</v>
      </c>
      <c r="BW6" s="98">
        <f t="shared" si="5"/>
        <v>40645.49</v>
      </c>
      <c r="BX6" s="98">
        <f t="shared" si="4"/>
        <v>36227.189158640191</v>
      </c>
      <c r="BY6" s="98">
        <f t="shared" ref="BY6" si="6">SUM(BY7:BY8)</f>
        <v>32721.634578099271</v>
      </c>
    </row>
    <row r="7" spans="1:77">
      <c r="A7" s="3" t="s">
        <v>1</v>
      </c>
      <c r="B7" s="121">
        <v>5062.1000000000004</v>
      </c>
      <c r="C7" s="122">
        <v>7356.02</v>
      </c>
      <c r="D7" s="122">
        <v>7888</v>
      </c>
      <c r="E7" s="122">
        <v>6099</v>
      </c>
      <c r="F7" s="122">
        <v>5558.1</v>
      </c>
      <c r="G7" s="122">
        <v>12384.12</v>
      </c>
      <c r="H7" s="122">
        <v>8868.1</v>
      </c>
      <c r="I7" s="122">
        <v>5932.03</v>
      </c>
      <c r="J7" s="122">
        <v>6137.03</v>
      </c>
      <c r="K7" s="122">
        <v>12139</v>
      </c>
      <c r="L7" s="122">
        <v>8805</v>
      </c>
      <c r="M7" s="122">
        <v>5956</v>
      </c>
      <c r="N7" s="122">
        <v>5940</v>
      </c>
      <c r="O7" s="122">
        <v>11721.07</v>
      </c>
      <c r="P7" s="122">
        <v>8501</v>
      </c>
      <c r="Q7" s="122">
        <v>5124</v>
      </c>
      <c r="R7" s="122">
        <v>6517.96</v>
      </c>
      <c r="S7" s="122">
        <v>12954.96</v>
      </c>
      <c r="T7" s="122">
        <v>9061.2199999999993</v>
      </c>
      <c r="U7" s="122">
        <v>4691.67</v>
      </c>
      <c r="V7" s="122">
        <v>5537.12</v>
      </c>
      <c r="W7" s="122">
        <v>11101.1</v>
      </c>
      <c r="X7" s="122">
        <v>12376.1</v>
      </c>
      <c r="Y7" s="122">
        <v>5773.1</v>
      </c>
      <c r="Z7" s="122">
        <v>6153.1</v>
      </c>
      <c r="AA7" s="122">
        <v>12832.12</v>
      </c>
      <c r="AB7" s="122">
        <v>9836.1200000000008</v>
      </c>
      <c r="AC7" s="122">
        <v>4818.1000000000004</v>
      </c>
      <c r="AD7" s="122">
        <v>6730</v>
      </c>
      <c r="AE7" s="122">
        <v>14095</v>
      </c>
      <c r="AF7" s="122">
        <v>9261</v>
      </c>
      <c r="AG7" s="122">
        <v>5740</v>
      </c>
      <c r="AH7" s="122">
        <v>6181</v>
      </c>
      <c r="AI7" s="122">
        <v>15590</v>
      </c>
      <c r="AJ7" s="122">
        <v>9732</v>
      </c>
      <c r="AK7" s="122">
        <v>4567</v>
      </c>
      <c r="AL7" s="122">
        <v>6217</v>
      </c>
      <c r="AM7" s="122">
        <v>14145</v>
      </c>
      <c r="AN7" s="122">
        <v>10694</v>
      </c>
      <c r="AO7" s="122">
        <v>5324</v>
      </c>
      <c r="AP7" s="122">
        <v>7163.8</v>
      </c>
      <c r="AQ7" s="122">
        <v>13125.8</v>
      </c>
      <c r="AR7" s="122">
        <v>11715.8</v>
      </c>
      <c r="AS7" s="122">
        <v>5396.8</v>
      </c>
      <c r="AT7" s="122">
        <v>7085.25</v>
      </c>
      <c r="AU7" s="122">
        <v>11987.2</v>
      </c>
      <c r="AV7" s="122">
        <v>10591.3</v>
      </c>
      <c r="AW7" s="122">
        <v>5695.25</v>
      </c>
      <c r="AX7" s="122">
        <v>7315.25</v>
      </c>
      <c r="AY7" s="122">
        <v>12354.25</v>
      </c>
      <c r="AZ7" s="122">
        <v>10809.25</v>
      </c>
      <c r="BA7" s="122">
        <v>5822.25</v>
      </c>
      <c r="BB7" s="122">
        <v>8703.25</v>
      </c>
      <c r="BC7" s="122">
        <v>14401.25</v>
      </c>
      <c r="BD7" s="122">
        <v>12449.25</v>
      </c>
      <c r="BE7" s="122">
        <v>6589.39</v>
      </c>
      <c r="BF7" s="122">
        <v>8535.4249999999993</v>
      </c>
      <c r="BG7" s="122">
        <v>13896.321</v>
      </c>
      <c r="BH7" s="122">
        <v>12114.781000000001</v>
      </c>
      <c r="BI7" s="122">
        <v>6907.6130000000003</v>
      </c>
      <c r="BJ7" s="122">
        <v>8686.1530000000002</v>
      </c>
      <c r="BK7" s="122">
        <v>14243.173000000001</v>
      </c>
      <c r="BL7" s="122">
        <v>11909.646000000001</v>
      </c>
      <c r="BM7" s="122">
        <v>6774.9279999999999</v>
      </c>
      <c r="BN7" s="122">
        <v>8524.77</v>
      </c>
      <c r="BO7" s="122">
        <v>14163.233</v>
      </c>
      <c r="BP7" s="122">
        <v>12022.433999999999</v>
      </c>
      <c r="BQ7" s="122">
        <v>6876.4129999999996</v>
      </c>
      <c r="BR7" s="122">
        <v>8978.1029999999992</v>
      </c>
      <c r="BS7" s="122">
        <v>15041.18</v>
      </c>
      <c r="BT7" s="122">
        <v>11691.575999999999</v>
      </c>
      <c r="BU7" s="122">
        <v>6722.5820000000003</v>
      </c>
      <c r="BV7" s="122">
        <v>9415</v>
      </c>
      <c r="BW7" s="122">
        <v>16059.28</v>
      </c>
      <c r="BX7" s="122">
        <v>11347</v>
      </c>
      <c r="BY7" s="122">
        <v>6592.86</v>
      </c>
    </row>
    <row r="8" spans="1:77">
      <c r="A8" s="170" t="s">
        <v>2</v>
      </c>
      <c r="B8" s="123">
        <v>25196.7</v>
      </c>
      <c r="C8" s="124">
        <v>25021.8</v>
      </c>
      <c r="D8" s="124">
        <v>25405.89</v>
      </c>
      <c r="E8" s="124">
        <v>25177.16</v>
      </c>
      <c r="F8" s="124">
        <v>24906.98</v>
      </c>
      <c r="G8" s="124">
        <v>24737</v>
      </c>
      <c r="H8" s="124">
        <v>25181</v>
      </c>
      <c r="I8" s="124">
        <v>25170.16</v>
      </c>
      <c r="J8" s="124">
        <v>24808.9</v>
      </c>
      <c r="K8" s="124">
        <v>25306</v>
      </c>
      <c r="L8" s="124">
        <v>25838</v>
      </c>
      <c r="M8" s="124">
        <v>25742.16</v>
      </c>
      <c r="N8" s="124">
        <v>25391.1</v>
      </c>
      <c r="O8" s="124">
        <v>25393.1</v>
      </c>
      <c r="P8" s="124">
        <v>25469</v>
      </c>
      <c r="Q8" s="124">
        <v>25340.16</v>
      </c>
      <c r="R8" s="124">
        <v>24818.9</v>
      </c>
      <c r="S8" s="124">
        <v>24945</v>
      </c>
      <c r="T8" s="124">
        <v>25190</v>
      </c>
      <c r="U8" s="124">
        <v>25217.16</v>
      </c>
      <c r="V8" s="124">
        <v>24545.02</v>
      </c>
      <c r="W8" s="124">
        <v>24844</v>
      </c>
      <c r="X8" s="124">
        <v>24830</v>
      </c>
      <c r="Y8" s="124">
        <v>24850.15</v>
      </c>
      <c r="Z8" s="124">
        <v>24393.95</v>
      </c>
      <c r="AA8" s="124">
        <v>24949</v>
      </c>
      <c r="AB8" s="124">
        <v>24964</v>
      </c>
      <c r="AC8" s="124">
        <v>24663.15</v>
      </c>
      <c r="AD8" s="124">
        <v>24272.1</v>
      </c>
      <c r="AE8" s="124">
        <v>24939.200000000001</v>
      </c>
      <c r="AF8" s="124">
        <v>25304.2</v>
      </c>
      <c r="AG8" s="124">
        <v>25444.31</v>
      </c>
      <c r="AH8" s="124">
        <v>24976.66</v>
      </c>
      <c r="AI8" s="124">
        <v>25819</v>
      </c>
      <c r="AJ8" s="124">
        <v>26341</v>
      </c>
      <c r="AK8" s="124">
        <v>26218.16</v>
      </c>
      <c r="AL8" s="124">
        <v>26218.07</v>
      </c>
      <c r="AM8" s="124">
        <v>26148</v>
      </c>
      <c r="AN8" s="124">
        <v>26941</v>
      </c>
      <c r="AO8" s="124">
        <v>25608.19</v>
      </c>
      <c r="AP8" s="124">
        <v>27314.2</v>
      </c>
      <c r="AQ8" s="124">
        <v>26780.05</v>
      </c>
      <c r="AR8" s="124">
        <v>26435.75</v>
      </c>
      <c r="AS8" s="124">
        <v>25461.9</v>
      </c>
      <c r="AT8" s="124">
        <v>25829.3</v>
      </c>
      <c r="AU8" s="124">
        <v>26141.25</v>
      </c>
      <c r="AV8" s="124">
        <v>26338.25</v>
      </c>
      <c r="AW8" s="124">
        <v>27055.46</v>
      </c>
      <c r="AX8" s="124">
        <v>26386.46</v>
      </c>
      <c r="AY8" s="124">
        <v>26250</v>
      </c>
      <c r="AZ8" s="124">
        <v>26459</v>
      </c>
      <c r="BA8" s="124">
        <v>26240.22</v>
      </c>
      <c r="BB8" s="124">
        <v>24067.695</v>
      </c>
      <c r="BC8" s="124">
        <v>25313.695</v>
      </c>
      <c r="BD8" s="124">
        <v>24890.764999999999</v>
      </c>
      <c r="BE8" s="124">
        <v>25123.695</v>
      </c>
      <c r="BF8" s="122">
        <v>22503.124</v>
      </c>
      <c r="BG8" s="122">
        <v>23592.385999999999</v>
      </c>
      <c r="BH8" s="122">
        <v>23799.131000000001</v>
      </c>
      <c r="BI8" s="122">
        <v>24162.719000000001</v>
      </c>
      <c r="BJ8" s="122">
        <v>24643.346000000001</v>
      </c>
      <c r="BK8" s="122">
        <v>23521.241000000002</v>
      </c>
      <c r="BL8" s="122">
        <v>25355.420999999998</v>
      </c>
      <c r="BM8" s="122">
        <v>25863.163</v>
      </c>
      <c r="BN8" s="122">
        <v>25030.861000000001</v>
      </c>
      <c r="BO8" s="122">
        <v>25608.498</v>
      </c>
      <c r="BP8" s="122">
        <v>24409.996999999999</v>
      </c>
      <c r="BQ8" s="122">
        <v>24637.864000000001</v>
      </c>
      <c r="BR8" s="122">
        <v>22684.653999999999</v>
      </c>
      <c r="BS8" s="122">
        <v>25284.901000000002</v>
      </c>
      <c r="BT8" s="122">
        <v>24231.371999999999</v>
      </c>
      <c r="BU8" s="122">
        <v>23881.392</v>
      </c>
      <c r="BV8" s="122">
        <v>23480.768</v>
      </c>
      <c r="BW8" s="122">
        <v>24586.21</v>
      </c>
      <c r="BX8" s="122">
        <v>24880.189158640187</v>
      </c>
      <c r="BY8" s="122">
        <v>26128.77457809927</v>
      </c>
    </row>
    <row r="9" spans="1:77">
      <c r="A9" s="2" t="s">
        <v>3</v>
      </c>
      <c r="B9" s="115">
        <f t="shared" ref="B9:Z9" si="7">SUM(B10:B12)</f>
        <v>59838.294000000002</v>
      </c>
      <c r="C9" s="116">
        <f t="shared" si="7"/>
        <v>60951.914000000004</v>
      </c>
      <c r="D9" s="116">
        <f t="shared" si="7"/>
        <v>64373.853999999999</v>
      </c>
      <c r="E9" s="116">
        <f t="shared" si="7"/>
        <v>63132.141000000003</v>
      </c>
      <c r="F9" s="116">
        <f t="shared" si="7"/>
        <v>61155.881999999998</v>
      </c>
      <c r="G9" s="116">
        <f t="shared" si="7"/>
        <v>62054.544999999998</v>
      </c>
      <c r="H9" s="116">
        <f t="shared" si="7"/>
        <v>65627.743000000002</v>
      </c>
      <c r="I9" s="116">
        <f t="shared" si="7"/>
        <v>65520.632999999994</v>
      </c>
      <c r="J9" s="116">
        <f t="shared" si="7"/>
        <v>62798.915999999997</v>
      </c>
      <c r="K9" s="116">
        <f t="shared" si="7"/>
        <v>64786.43</v>
      </c>
      <c r="L9" s="116">
        <f t="shared" si="7"/>
        <v>67252.09</v>
      </c>
      <c r="M9" s="116">
        <f t="shared" si="7"/>
        <v>66926.021999999997</v>
      </c>
      <c r="N9" s="116">
        <f t="shared" si="7"/>
        <v>63171.845000000001</v>
      </c>
      <c r="O9" s="116">
        <f t="shared" si="7"/>
        <v>64028.756000000001</v>
      </c>
      <c r="P9" s="116">
        <f t="shared" si="7"/>
        <v>65448.487999999998</v>
      </c>
      <c r="Q9" s="116">
        <f t="shared" si="7"/>
        <v>65242.561000000002</v>
      </c>
      <c r="R9" s="116">
        <f t="shared" si="7"/>
        <v>61588.364000000009</v>
      </c>
      <c r="S9" s="116">
        <f t="shared" si="7"/>
        <v>63206.788999999997</v>
      </c>
      <c r="T9" s="116">
        <f t="shared" si="7"/>
        <v>66166.592999999993</v>
      </c>
      <c r="U9" s="116">
        <f t="shared" si="7"/>
        <v>67674.581999999995</v>
      </c>
      <c r="V9" s="116">
        <f t="shared" si="7"/>
        <v>65408.455999999991</v>
      </c>
      <c r="W9" s="116">
        <f t="shared" si="7"/>
        <v>67751.743999999992</v>
      </c>
      <c r="X9" s="116">
        <f t="shared" si="7"/>
        <v>71377.164000000004</v>
      </c>
      <c r="Y9" s="116">
        <f t="shared" si="7"/>
        <v>73048.995999999999</v>
      </c>
      <c r="Z9" s="116">
        <f t="shared" si="7"/>
        <v>69119.534</v>
      </c>
      <c r="AA9" s="116">
        <f t="shared" ref="AA9:AZ9" si="8">SUM(AA10:AA12)</f>
        <v>70475.822</v>
      </c>
      <c r="AB9" s="116">
        <f t="shared" si="8"/>
        <v>72198.953999999998</v>
      </c>
      <c r="AC9" s="116">
        <f t="shared" si="8"/>
        <v>73157.345000000001</v>
      </c>
      <c r="AD9" s="116">
        <f t="shared" si="8"/>
        <v>69786</v>
      </c>
      <c r="AE9" s="116">
        <f t="shared" si="8"/>
        <v>72265.399999999994</v>
      </c>
      <c r="AF9" s="116">
        <f t="shared" si="8"/>
        <v>75740.800000000003</v>
      </c>
      <c r="AG9" s="116">
        <f t="shared" si="8"/>
        <v>76164.800000000003</v>
      </c>
      <c r="AH9" s="116">
        <f t="shared" si="8"/>
        <v>71665</v>
      </c>
      <c r="AI9" s="116">
        <f t="shared" si="8"/>
        <v>72133</v>
      </c>
      <c r="AJ9" s="116">
        <f t="shared" si="8"/>
        <v>75000</v>
      </c>
      <c r="AK9" s="116">
        <f t="shared" si="8"/>
        <v>74702</v>
      </c>
      <c r="AL9" s="116">
        <f t="shared" si="8"/>
        <v>73661.399999999994</v>
      </c>
      <c r="AM9" s="116">
        <f t="shared" si="8"/>
        <v>75788.600000000006</v>
      </c>
      <c r="AN9" s="116">
        <f t="shared" si="8"/>
        <v>80100</v>
      </c>
      <c r="AO9" s="116">
        <f t="shared" si="8"/>
        <v>80201</v>
      </c>
      <c r="AP9" s="116">
        <f t="shared" si="8"/>
        <v>77114</v>
      </c>
      <c r="AQ9" s="116">
        <f t="shared" si="8"/>
        <v>81514.100000000006</v>
      </c>
      <c r="AR9" s="116">
        <f t="shared" si="8"/>
        <v>85916.1</v>
      </c>
      <c r="AS9" s="116">
        <f t="shared" si="8"/>
        <v>86125</v>
      </c>
      <c r="AT9" s="116">
        <f t="shared" si="8"/>
        <v>82501.599999999991</v>
      </c>
      <c r="AU9" s="116">
        <f t="shared" si="8"/>
        <v>86253.599999999991</v>
      </c>
      <c r="AV9" s="116">
        <f t="shared" si="8"/>
        <v>91005.2</v>
      </c>
      <c r="AW9" s="116">
        <f t="shared" si="8"/>
        <v>92743</v>
      </c>
      <c r="AX9" s="116">
        <f t="shared" si="8"/>
        <v>88832.25</v>
      </c>
      <c r="AY9" s="116">
        <f t="shared" si="8"/>
        <v>91727.25</v>
      </c>
      <c r="AZ9" s="116">
        <f t="shared" si="8"/>
        <v>95241.25</v>
      </c>
      <c r="BA9" s="116">
        <f t="shared" ref="BA9:BH9" si="9">SUM(BA10:BA12)</f>
        <v>98710.25</v>
      </c>
      <c r="BB9" s="116">
        <f t="shared" si="9"/>
        <v>91729</v>
      </c>
      <c r="BC9" s="116">
        <f t="shared" si="9"/>
        <v>97380.099999999991</v>
      </c>
      <c r="BD9" s="116">
        <f t="shared" si="9"/>
        <v>99916.017999999996</v>
      </c>
      <c r="BE9" s="116">
        <f t="shared" si="9"/>
        <v>96204.47</v>
      </c>
      <c r="BF9" s="100">
        <f t="shared" si="9"/>
        <v>85670.344000000012</v>
      </c>
      <c r="BG9" s="100">
        <f t="shared" si="9"/>
        <v>87130.831000000006</v>
      </c>
      <c r="BH9" s="100">
        <f t="shared" si="9"/>
        <v>92160.993000000017</v>
      </c>
      <c r="BI9" s="100">
        <f t="shared" ref="BI9:BN9" si="10">SUM(BI10:BI12)</f>
        <v>93750.831000000006</v>
      </c>
      <c r="BJ9" s="100">
        <f t="shared" si="10"/>
        <v>88838.894</v>
      </c>
      <c r="BK9" s="100">
        <f t="shared" si="10"/>
        <v>93250.834999999992</v>
      </c>
      <c r="BL9" s="100">
        <f t="shared" si="10"/>
        <v>95996.134999999995</v>
      </c>
      <c r="BM9" s="100">
        <f t="shared" si="10"/>
        <v>96667.896999999997</v>
      </c>
      <c r="BN9" s="100">
        <f t="shared" si="10"/>
        <v>92856.688999999998</v>
      </c>
      <c r="BO9" s="100">
        <f t="shared" ref="BO9:BX9" si="11">SUM(BO10:BO12)</f>
        <v>94826.848000000013</v>
      </c>
      <c r="BP9" s="100">
        <f t="shared" si="11"/>
        <v>97918.668000000005</v>
      </c>
      <c r="BQ9" s="100">
        <f t="shared" si="11"/>
        <v>99101.455000000002</v>
      </c>
      <c r="BR9" s="100">
        <f t="shared" si="11"/>
        <v>93454.602000000014</v>
      </c>
      <c r="BS9" s="100">
        <f t="shared" si="11"/>
        <v>96306.866999999998</v>
      </c>
      <c r="BT9" s="100">
        <f t="shared" ref="BT9:BW9" si="12">SUM(BT10:BT12)</f>
        <v>99802.276000000013</v>
      </c>
      <c r="BU9" s="100">
        <f t="shared" si="12"/>
        <v>101927.245</v>
      </c>
      <c r="BV9" s="100">
        <f t="shared" si="12"/>
        <v>93317.158285290323</v>
      </c>
      <c r="BW9" s="100">
        <f t="shared" si="12"/>
        <v>98508.706761944355</v>
      </c>
      <c r="BX9" s="100">
        <f t="shared" si="11"/>
        <v>99966.381722340986</v>
      </c>
      <c r="BY9" s="100">
        <f t="shared" ref="BY9" si="13">SUM(BY10:BY12)</f>
        <v>103470.03540497563</v>
      </c>
    </row>
    <row r="10" spans="1:77">
      <c r="A10" s="3" t="s">
        <v>4</v>
      </c>
      <c r="B10" s="121">
        <v>47012.75</v>
      </c>
      <c r="C10" s="122">
        <v>47913.75</v>
      </c>
      <c r="D10" s="122">
        <v>51302.75</v>
      </c>
      <c r="E10" s="122">
        <v>50705</v>
      </c>
      <c r="F10" s="122">
        <v>48082.77</v>
      </c>
      <c r="G10" s="122">
        <v>48476.78</v>
      </c>
      <c r="H10" s="122">
        <v>51529</v>
      </c>
      <c r="I10" s="122">
        <v>51602.78</v>
      </c>
      <c r="J10" s="122">
        <v>48886</v>
      </c>
      <c r="K10" s="122">
        <v>50565</v>
      </c>
      <c r="L10" s="122">
        <v>53014</v>
      </c>
      <c r="M10" s="122">
        <v>52618</v>
      </c>
      <c r="N10" s="122">
        <v>49839.83</v>
      </c>
      <c r="O10" s="122">
        <v>50694</v>
      </c>
      <c r="P10" s="122">
        <v>52238</v>
      </c>
      <c r="Q10" s="122">
        <v>51901</v>
      </c>
      <c r="R10" s="122">
        <v>48787.87</v>
      </c>
      <c r="S10" s="122">
        <v>50065</v>
      </c>
      <c r="T10" s="122">
        <v>52918</v>
      </c>
      <c r="U10" s="122">
        <v>54130</v>
      </c>
      <c r="V10" s="122">
        <v>52235.839999999997</v>
      </c>
      <c r="W10" s="122">
        <v>54092</v>
      </c>
      <c r="X10" s="122">
        <v>57401</v>
      </c>
      <c r="Y10" s="122">
        <v>58850</v>
      </c>
      <c r="Z10" s="122">
        <v>55589.68</v>
      </c>
      <c r="AA10" s="122">
        <v>56707.68</v>
      </c>
      <c r="AB10" s="122">
        <v>58319</v>
      </c>
      <c r="AC10" s="122">
        <v>59085</v>
      </c>
      <c r="AD10" s="122">
        <v>55853</v>
      </c>
      <c r="AE10" s="122">
        <v>57999</v>
      </c>
      <c r="AF10" s="122">
        <v>61089.4</v>
      </c>
      <c r="AG10" s="122">
        <v>61191.6</v>
      </c>
      <c r="AH10" s="122">
        <v>56905</v>
      </c>
      <c r="AI10" s="122">
        <v>57095</v>
      </c>
      <c r="AJ10" s="122">
        <v>59577</v>
      </c>
      <c r="AK10" s="122">
        <v>59004</v>
      </c>
      <c r="AL10" s="122">
        <v>57990</v>
      </c>
      <c r="AM10" s="122">
        <v>59585</v>
      </c>
      <c r="AN10" s="122">
        <v>63263</v>
      </c>
      <c r="AO10" s="122">
        <v>63127</v>
      </c>
      <c r="AP10" s="122">
        <v>60082.8</v>
      </c>
      <c r="AQ10" s="122">
        <v>63866.1</v>
      </c>
      <c r="AR10" s="122">
        <v>67716.100000000006</v>
      </c>
      <c r="AS10" s="122">
        <v>67436</v>
      </c>
      <c r="AT10" s="122">
        <v>64270.2</v>
      </c>
      <c r="AU10" s="122">
        <v>67358.2</v>
      </c>
      <c r="AV10" s="122">
        <v>71460</v>
      </c>
      <c r="AW10" s="122">
        <v>72694</v>
      </c>
      <c r="AX10" s="122">
        <v>68753</v>
      </c>
      <c r="AY10" s="122">
        <v>71153</v>
      </c>
      <c r="AZ10" s="122">
        <v>74004</v>
      </c>
      <c r="BA10" s="122">
        <v>76336</v>
      </c>
      <c r="BB10" s="122">
        <v>70732.399999999994</v>
      </c>
      <c r="BC10" s="122">
        <v>75966.399999999994</v>
      </c>
      <c r="BD10" s="122">
        <v>77526.437999999995</v>
      </c>
      <c r="BE10" s="122">
        <v>73663.33</v>
      </c>
      <c r="BF10" s="122">
        <v>63676.25</v>
      </c>
      <c r="BG10" s="122">
        <v>64777.98</v>
      </c>
      <c r="BH10" s="122">
        <v>69106.157000000007</v>
      </c>
      <c r="BI10" s="122">
        <v>70162.182000000001</v>
      </c>
      <c r="BJ10" s="122">
        <v>66216.615999999995</v>
      </c>
      <c r="BK10" s="122">
        <v>70464.498999999996</v>
      </c>
      <c r="BL10" s="122">
        <v>72845.894</v>
      </c>
      <c r="BM10" s="122">
        <v>72981.701000000001</v>
      </c>
      <c r="BN10" s="122">
        <v>70096.903999999995</v>
      </c>
      <c r="BO10" s="122">
        <v>71797.959000000003</v>
      </c>
      <c r="BP10" s="122">
        <v>74585.281000000003</v>
      </c>
      <c r="BQ10" s="122">
        <v>75304.995999999999</v>
      </c>
      <c r="BR10" s="122">
        <v>70547.963000000003</v>
      </c>
      <c r="BS10" s="122">
        <v>73218.038</v>
      </c>
      <c r="BT10" s="122">
        <v>76219.576000000001</v>
      </c>
      <c r="BU10" s="122">
        <v>77822.733999999997</v>
      </c>
      <c r="BV10" s="122">
        <v>70339.520285290317</v>
      </c>
      <c r="BW10" s="122">
        <v>75088.638761944356</v>
      </c>
      <c r="BX10" s="122">
        <v>75946.736318516283</v>
      </c>
      <c r="BY10" s="122">
        <v>78675.531442275285</v>
      </c>
    </row>
    <row r="11" spans="1:77">
      <c r="A11" s="3" t="s">
        <v>5</v>
      </c>
      <c r="B11" s="121">
        <v>6403</v>
      </c>
      <c r="C11" s="122">
        <v>6528.26</v>
      </c>
      <c r="D11" s="122">
        <v>6634</v>
      </c>
      <c r="E11" s="122">
        <v>6278</v>
      </c>
      <c r="F11" s="122">
        <v>6526</v>
      </c>
      <c r="G11" s="122">
        <v>6953</v>
      </c>
      <c r="H11" s="122">
        <v>7530.6</v>
      </c>
      <c r="I11" s="122">
        <v>7624.73</v>
      </c>
      <c r="J11" s="122">
        <v>7238</v>
      </c>
      <c r="K11" s="122">
        <v>7506.07</v>
      </c>
      <c r="L11" s="122">
        <v>7602</v>
      </c>
      <c r="M11" s="122">
        <v>7405</v>
      </c>
      <c r="N11" s="122">
        <v>6851.4</v>
      </c>
      <c r="O11" s="122">
        <v>7016.75</v>
      </c>
      <c r="P11" s="122">
        <v>7067.6</v>
      </c>
      <c r="Q11" s="122">
        <v>6941</v>
      </c>
      <c r="R11" s="122">
        <v>6573.8</v>
      </c>
      <c r="S11" s="122">
        <v>6922.6</v>
      </c>
      <c r="T11" s="122">
        <v>7126.97</v>
      </c>
      <c r="U11" s="122">
        <v>7114</v>
      </c>
      <c r="V11" s="122">
        <v>6839.6</v>
      </c>
      <c r="W11" s="122">
        <v>7181.63</v>
      </c>
      <c r="X11" s="122">
        <v>7423</v>
      </c>
      <c r="Y11" s="122">
        <v>7153</v>
      </c>
      <c r="Z11" s="122">
        <v>6694</v>
      </c>
      <c r="AA11" s="122">
        <v>6876</v>
      </c>
      <c r="AB11" s="122">
        <v>7089.13</v>
      </c>
      <c r="AC11" s="122">
        <v>6880</v>
      </c>
      <c r="AD11" s="122">
        <v>6798</v>
      </c>
      <c r="AE11" s="122">
        <v>7124.4</v>
      </c>
      <c r="AF11" s="122">
        <v>7366.4</v>
      </c>
      <c r="AG11" s="122">
        <v>7214.2</v>
      </c>
      <c r="AH11" s="122">
        <v>7042</v>
      </c>
      <c r="AI11" s="122">
        <v>7319</v>
      </c>
      <c r="AJ11" s="122">
        <v>7563</v>
      </c>
      <c r="AK11" s="122">
        <v>7420</v>
      </c>
      <c r="AL11" s="122">
        <v>7468.4</v>
      </c>
      <c r="AM11" s="122">
        <v>7812.6</v>
      </c>
      <c r="AN11" s="122">
        <v>8128</v>
      </c>
      <c r="AO11" s="122">
        <v>7926</v>
      </c>
      <c r="AP11" s="122">
        <v>7862.2</v>
      </c>
      <c r="AQ11" s="122">
        <v>8221</v>
      </c>
      <c r="AR11" s="122">
        <v>8445</v>
      </c>
      <c r="AS11" s="122">
        <v>8482</v>
      </c>
      <c r="AT11" s="122">
        <v>8082.4</v>
      </c>
      <c r="AU11" s="122">
        <v>8492.4</v>
      </c>
      <c r="AV11" s="122">
        <v>8775.2000000000007</v>
      </c>
      <c r="AW11" s="122">
        <v>8789</v>
      </c>
      <c r="AX11" s="122">
        <v>8373.25</v>
      </c>
      <c r="AY11" s="122">
        <v>8739.25</v>
      </c>
      <c r="AZ11" s="122">
        <v>9126.25</v>
      </c>
      <c r="BA11" s="122">
        <v>9055.25</v>
      </c>
      <c r="BB11" s="122">
        <v>8136.5</v>
      </c>
      <c r="BC11" s="122">
        <v>8396.5</v>
      </c>
      <c r="BD11" s="122">
        <v>9045.5</v>
      </c>
      <c r="BE11" s="122">
        <v>8617.14</v>
      </c>
      <c r="BF11" s="122">
        <v>7969.2139999999999</v>
      </c>
      <c r="BG11" s="122">
        <v>8305.9709999999995</v>
      </c>
      <c r="BH11" s="122">
        <v>8754.9560000000001</v>
      </c>
      <c r="BI11" s="122">
        <v>8681.7690000000002</v>
      </c>
      <c r="BJ11" s="122">
        <v>8204.2780000000002</v>
      </c>
      <c r="BK11" s="122">
        <v>8525.3359999999993</v>
      </c>
      <c r="BL11" s="122">
        <v>8909.241</v>
      </c>
      <c r="BM11" s="122">
        <v>8899.2960000000003</v>
      </c>
      <c r="BN11" s="122">
        <v>8377.6849999999995</v>
      </c>
      <c r="BO11" s="122">
        <v>8714.7890000000007</v>
      </c>
      <c r="BP11" s="122">
        <v>9011.2870000000003</v>
      </c>
      <c r="BQ11" s="122">
        <v>8945.2990000000009</v>
      </c>
      <c r="BR11" s="122">
        <v>8339.5390000000007</v>
      </c>
      <c r="BS11" s="122">
        <v>8539.7289999999994</v>
      </c>
      <c r="BT11" s="122">
        <v>8874.6</v>
      </c>
      <c r="BU11" s="122">
        <v>8722.4509999999991</v>
      </c>
      <c r="BV11" s="122">
        <v>8112.6379999999999</v>
      </c>
      <c r="BW11" s="122">
        <v>8544.0679999999993</v>
      </c>
      <c r="BX11" s="122">
        <v>8954.6454038246975</v>
      </c>
      <c r="BY11" s="122">
        <v>8721.503962700348</v>
      </c>
    </row>
    <row r="12" spans="1:77">
      <c r="A12" s="170" t="s">
        <v>6</v>
      </c>
      <c r="B12" s="123">
        <v>6422.5439999999999</v>
      </c>
      <c r="C12" s="124">
        <v>6509.9040000000005</v>
      </c>
      <c r="D12" s="124">
        <v>6437.1040000000003</v>
      </c>
      <c r="E12" s="124">
        <v>6149.1409999999996</v>
      </c>
      <c r="F12" s="124">
        <v>6547.1120000000001</v>
      </c>
      <c r="G12" s="124">
        <v>6624.7650000000003</v>
      </c>
      <c r="H12" s="124">
        <v>6568.143</v>
      </c>
      <c r="I12" s="124">
        <v>6293.1229999999996</v>
      </c>
      <c r="J12" s="124">
        <v>6674.9160000000002</v>
      </c>
      <c r="K12" s="124">
        <v>6715.36</v>
      </c>
      <c r="L12" s="124">
        <v>6636.09</v>
      </c>
      <c r="M12" s="124">
        <v>6903.0219999999999</v>
      </c>
      <c r="N12" s="124">
        <v>6480.6149999999998</v>
      </c>
      <c r="O12" s="124">
        <v>6318.0060000000003</v>
      </c>
      <c r="P12" s="124">
        <v>6142.8879999999999</v>
      </c>
      <c r="Q12" s="124">
        <v>6400.5609999999997</v>
      </c>
      <c r="R12" s="124">
        <v>6226.6940000000004</v>
      </c>
      <c r="S12" s="124">
        <v>6219.1890000000003</v>
      </c>
      <c r="T12" s="124">
        <v>6121.6229999999996</v>
      </c>
      <c r="U12" s="124">
        <v>6430.5820000000003</v>
      </c>
      <c r="V12" s="124">
        <v>6333.0159999999996</v>
      </c>
      <c r="W12" s="124">
        <v>6478.1139999999996</v>
      </c>
      <c r="X12" s="124">
        <v>6553.1639999999998</v>
      </c>
      <c r="Y12" s="124">
        <v>7045.9960000000001</v>
      </c>
      <c r="Z12" s="124">
        <v>6835.8540000000003</v>
      </c>
      <c r="AA12" s="124">
        <v>6892.1419999999998</v>
      </c>
      <c r="AB12" s="124">
        <v>6790.8239999999996</v>
      </c>
      <c r="AC12" s="124">
        <v>7192.3450000000003</v>
      </c>
      <c r="AD12" s="124">
        <v>7135</v>
      </c>
      <c r="AE12" s="124">
        <v>7142</v>
      </c>
      <c r="AF12" s="124">
        <v>7285</v>
      </c>
      <c r="AG12" s="124">
        <v>7759</v>
      </c>
      <c r="AH12" s="124">
        <v>7718</v>
      </c>
      <c r="AI12" s="124">
        <v>7719</v>
      </c>
      <c r="AJ12" s="124">
        <v>7860</v>
      </c>
      <c r="AK12" s="124">
        <v>8278</v>
      </c>
      <c r="AL12" s="124">
        <v>8203</v>
      </c>
      <c r="AM12" s="124">
        <v>8391</v>
      </c>
      <c r="AN12" s="124">
        <v>8709</v>
      </c>
      <c r="AO12" s="124">
        <v>9148</v>
      </c>
      <c r="AP12" s="124">
        <v>9169</v>
      </c>
      <c r="AQ12" s="124">
        <v>9427</v>
      </c>
      <c r="AR12" s="124">
        <v>9755</v>
      </c>
      <c r="AS12" s="124">
        <v>10207</v>
      </c>
      <c r="AT12" s="124">
        <v>10149</v>
      </c>
      <c r="AU12" s="124">
        <v>10403</v>
      </c>
      <c r="AV12" s="124">
        <v>10770</v>
      </c>
      <c r="AW12" s="124">
        <v>11260</v>
      </c>
      <c r="AX12" s="124">
        <v>11706</v>
      </c>
      <c r="AY12" s="124">
        <v>11835</v>
      </c>
      <c r="AZ12" s="124">
        <v>12111</v>
      </c>
      <c r="BA12" s="124">
        <v>13319</v>
      </c>
      <c r="BB12" s="124">
        <v>12860.1</v>
      </c>
      <c r="BC12" s="124">
        <v>13017.2</v>
      </c>
      <c r="BD12" s="124">
        <v>13344.08</v>
      </c>
      <c r="BE12" s="124">
        <v>13924</v>
      </c>
      <c r="BF12" s="124">
        <v>14024.88</v>
      </c>
      <c r="BG12" s="124">
        <v>14046.88</v>
      </c>
      <c r="BH12" s="124">
        <v>14299.88</v>
      </c>
      <c r="BI12" s="124">
        <v>14906.88</v>
      </c>
      <c r="BJ12" s="124">
        <v>14418</v>
      </c>
      <c r="BK12" s="124">
        <v>14261</v>
      </c>
      <c r="BL12" s="124">
        <v>14241</v>
      </c>
      <c r="BM12" s="124">
        <v>14786.9</v>
      </c>
      <c r="BN12" s="124">
        <v>14382.1</v>
      </c>
      <c r="BO12" s="124">
        <v>14314.1</v>
      </c>
      <c r="BP12" s="124">
        <v>14322.1</v>
      </c>
      <c r="BQ12" s="124">
        <v>14851.16</v>
      </c>
      <c r="BR12" s="124">
        <v>14567.1</v>
      </c>
      <c r="BS12" s="124">
        <v>14549.1</v>
      </c>
      <c r="BT12" s="124">
        <v>14708.1</v>
      </c>
      <c r="BU12" s="124">
        <v>15382.06</v>
      </c>
      <c r="BV12" s="124">
        <v>14865</v>
      </c>
      <c r="BW12" s="124">
        <v>14876</v>
      </c>
      <c r="BX12" s="124">
        <v>15065</v>
      </c>
      <c r="BY12" s="124">
        <v>16073</v>
      </c>
    </row>
    <row r="13" spans="1:77">
      <c r="A13" s="2" t="s">
        <v>7</v>
      </c>
      <c r="B13" s="115">
        <f t="shared" ref="B13:Y13" si="14">SUM(B14:B18)</f>
        <v>153604.76650278727</v>
      </c>
      <c r="C13" s="116">
        <f t="shared" si="14"/>
        <v>155355.69773215224</v>
      </c>
      <c r="D13" s="116">
        <f t="shared" si="14"/>
        <v>160579.76154511998</v>
      </c>
      <c r="E13" s="116">
        <f t="shared" si="14"/>
        <v>166652.98621494416</v>
      </c>
      <c r="F13" s="116">
        <f t="shared" si="14"/>
        <v>160373.10834630486</v>
      </c>
      <c r="G13" s="116">
        <f t="shared" si="14"/>
        <v>162200.91995333263</v>
      </c>
      <c r="H13" s="116">
        <f t="shared" si="14"/>
        <v>167002.94911266986</v>
      </c>
      <c r="I13" s="116">
        <f t="shared" si="14"/>
        <v>173302.30521314434</v>
      </c>
      <c r="J13" s="116">
        <f t="shared" si="14"/>
        <v>166150.45985293773</v>
      </c>
      <c r="K13" s="116">
        <f t="shared" si="14"/>
        <v>167526.24603767553</v>
      </c>
      <c r="L13" s="116">
        <f t="shared" si="14"/>
        <v>170800.90286300899</v>
      </c>
      <c r="M13" s="116">
        <f t="shared" si="14"/>
        <v>175287.94230526686</v>
      </c>
      <c r="N13" s="116">
        <f t="shared" si="14"/>
        <v>168460.10402567091</v>
      </c>
      <c r="O13" s="116">
        <f t="shared" si="14"/>
        <v>171186.6310910944</v>
      </c>
      <c r="P13" s="116">
        <f t="shared" si="14"/>
        <v>174420.31553977082</v>
      </c>
      <c r="Q13" s="116">
        <f t="shared" si="14"/>
        <v>179283.9183222935</v>
      </c>
      <c r="R13" s="116">
        <f t="shared" si="14"/>
        <v>173481.66075077446</v>
      </c>
      <c r="S13" s="116">
        <f t="shared" si="14"/>
        <v>176849.83041923973</v>
      </c>
      <c r="T13" s="116">
        <f t="shared" si="14"/>
        <v>181476.02641001318</v>
      </c>
      <c r="U13" s="116">
        <f t="shared" si="14"/>
        <v>188034.40451514471</v>
      </c>
      <c r="V13" s="116">
        <f t="shared" si="14"/>
        <v>180772.49</v>
      </c>
      <c r="W13" s="116">
        <f t="shared" si="14"/>
        <v>184004.64</v>
      </c>
      <c r="X13" s="116">
        <f t="shared" si="14"/>
        <v>188360.44</v>
      </c>
      <c r="Y13" s="116">
        <f t="shared" si="14"/>
        <v>195062.93692017961</v>
      </c>
      <c r="Z13" s="116">
        <f t="shared" ref="Z13:AZ13" si="15">SUM(Z14:Z18)</f>
        <v>187443.74156036985</v>
      </c>
      <c r="AA13" s="116">
        <f t="shared" si="15"/>
        <v>190629.40731865572</v>
      </c>
      <c r="AB13" s="116">
        <f t="shared" si="15"/>
        <v>194753.0285010293</v>
      </c>
      <c r="AC13" s="116">
        <f t="shared" si="15"/>
        <v>202130.1175487093</v>
      </c>
      <c r="AD13" s="116">
        <f t="shared" si="15"/>
        <v>196235.49043095892</v>
      </c>
      <c r="AE13" s="116">
        <f t="shared" si="15"/>
        <v>198592.72913722796</v>
      </c>
      <c r="AF13" s="116">
        <f t="shared" si="15"/>
        <v>202072.6698929659</v>
      </c>
      <c r="AG13" s="116">
        <f t="shared" si="15"/>
        <v>209626.31053884723</v>
      </c>
      <c r="AH13" s="116">
        <f t="shared" si="15"/>
        <v>203857.1</v>
      </c>
      <c r="AI13" s="116">
        <f t="shared" si="15"/>
        <v>206324.1</v>
      </c>
      <c r="AJ13" s="116">
        <f t="shared" si="15"/>
        <v>211058</v>
      </c>
      <c r="AK13" s="116">
        <f t="shared" si="15"/>
        <v>218965</v>
      </c>
      <c r="AL13" s="116">
        <f t="shared" si="15"/>
        <v>212221.6</v>
      </c>
      <c r="AM13" s="116">
        <f t="shared" si="15"/>
        <v>215391.4</v>
      </c>
      <c r="AN13" s="116">
        <f t="shared" si="15"/>
        <v>220243</v>
      </c>
      <c r="AO13" s="116">
        <f t="shared" si="15"/>
        <v>231488</v>
      </c>
      <c r="AP13" s="116">
        <f t="shared" si="15"/>
        <v>224032.80000000002</v>
      </c>
      <c r="AQ13" s="116">
        <f t="shared" si="15"/>
        <v>227213.7</v>
      </c>
      <c r="AR13" s="116">
        <f t="shared" si="15"/>
        <v>232518.1</v>
      </c>
      <c r="AS13" s="116">
        <f t="shared" si="15"/>
        <v>243239</v>
      </c>
      <c r="AT13" s="116">
        <f t="shared" si="15"/>
        <v>237219</v>
      </c>
      <c r="AU13" s="116">
        <f t="shared" si="15"/>
        <v>241177</v>
      </c>
      <c r="AV13" s="116">
        <f t="shared" si="15"/>
        <v>247350</v>
      </c>
      <c r="AW13" s="116">
        <f t="shared" si="15"/>
        <v>259519</v>
      </c>
      <c r="AX13" s="116">
        <f t="shared" si="15"/>
        <v>253201</v>
      </c>
      <c r="AY13" s="116">
        <f t="shared" si="15"/>
        <v>255558</v>
      </c>
      <c r="AZ13" s="116">
        <f t="shared" si="15"/>
        <v>261768</v>
      </c>
      <c r="BA13" s="116">
        <f t="shared" ref="BA13:BH13" si="16">SUM(BA14:BA18)</f>
        <v>274401</v>
      </c>
      <c r="BB13" s="116">
        <f t="shared" si="16"/>
        <v>265594.36300000001</v>
      </c>
      <c r="BC13" s="116">
        <f t="shared" si="16"/>
        <v>268847.875</v>
      </c>
      <c r="BD13" s="116">
        <f t="shared" si="16"/>
        <v>273492.53899999999</v>
      </c>
      <c r="BE13" s="116">
        <f t="shared" si="16"/>
        <v>285099.25199999998</v>
      </c>
      <c r="BF13" s="100">
        <f t="shared" si="16"/>
        <v>270474.19699999999</v>
      </c>
      <c r="BG13" s="100">
        <f t="shared" si="16"/>
        <v>271563.5199999999</v>
      </c>
      <c r="BH13" s="100">
        <f t="shared" si="16"/>
        <v>275478.58400000003</v>
      </c>
      <c r="BI13" s="100">
        <f t="shared" ref="BI13:BN13" si="17">SUM(BI14:BI18)</f>
        <v>286318.97899999999</v>
      </c>
      <c r="BJ13" s="100">
        <f t="shared" si="17"/>
        <v>274182.70799999998</v>
      </c>
      <c r="BK13" s="100">
        <f t="shared" si="17"/>
        <v>278177.02300000004</v>
      </c>
      <c r="BL13" s="100">
        <f t="shared" si="17"/>
        <v>283367.96499999997</v>
      </c>
      <c r="BM13" s="100">
        <f t="shared" si="17"/>
        <v>295796.79399999999</v>
      </c>
      <c r="BN13" s="100">
        <f t="shared" si="17"/>
        <v>284658.505</v>
      </c>
      <c r="BO13" s="100">
        <f t="shared" ref="BO13:BX13" si="18">SUM(BO14:BO18)</f>
        <v>288883.77299999999</v>
      </c>
      <c r="BP13" s="100">
        <f t="shared" si="18"/>
        <v>295112.23699999996</v>
      </c>
      <c r="BQ13" s="100">
        <f t="shared" si="18"/>
        <v>309169.10499999998</v>
      </c>
      <c r="BR13" s="100">
        <f t="shared" si="18"/>
        <v>296309.038</v>
      </c>
      <c r="BS13" s="100">
        <f t="shared" si="18"/>
        <v>299061.77600000001</v>
      </c>
      <c r="BT13" s="100">
        <f t="shared" ref="BT13:BW13" si="19">SUM(BT14:BT18)</f>
        <v>303349.97100000002</v>
      </c>
      <c r="BU13" s="100">
        <f t="shared" si="19"/>
        <v>316625.04599999997</v>
      </c>
      <c r="BV13" s="100">
        <f t="shared" si="19"/>
        <v>302064.95999999996</v>
      </c>
      <c r="BW13" s="100">
        <f t="shared" si="19"/>
        <v>306535.50300000003</v>
      </c>
      <c r="BX13" s="100">
        <f t="shared" si="18"/>
        <v>310144.34957125987</v>
      </c>
      <c r="BY13" s="100">
        <f t="shared" ref="BY13" si="20">SUM(BY14:BY18)</f>
        <v>321456.48762302403</v>
      </c>
    </row>
    <row r="14" spans="1:77">
      <c r="A14" s="3" t="s">
        <v>8</v>
      </c>
      <c r="B14" s="121">
        <v>30073.34</v>
      </c>
      <c r="C14" s="122">
        <v>30851</v>
      </c>
      <c r="D14" s="122">
        <v>32904</v>
      </c>
      <c r="E14" s="122">
        <v>37822</v>
      </c>
      <c r="F14" s="122">
        <v>31777.41</v>
      </c>
      <c r="G14" s="122">
        <v>32290</v>
      </c>
      <c r="H14" s="122">
        <v>33855</v>
      </c>
      <c r="I14" s="122">
        <v>38599</v>
      </c>
      <c r="J14" s="122">
        <v>32449.872500000001</v>
      </c>
      <c r="K14" s="122">
        <v>32660.872500000001</v>
      </c>
      <c r="L14" s="122">
        <v>33914.872499999998</v>
      </c>
      <c r="M14" s="122">
        <v>38041.872499999998</v>
      </c>
      <c r="N14" s="122">
        <v>32465.37</v>
      </c>
      <c r="O14" s="122">
        <v>33179</v>
      </c>
      <c r="P14" s="122">
        <v>34404</v>
      </c>
      <c r="Q14" s="122">
        <v>38801</v>
      </c>
      <c r="R14" s="122">
        <v>33899.919999999998</v>
      </c>
      <c r="S14" s="122">
        <v>35209</v>
      </c>
      <c r="T14" s="122">
        <v>37235</v>
      </c>
      <c r="U14" s="122">
        <v>43058</v>
      </c>
      <c r="V14" s="122">
        <v>37121.14</v>
      </c>
      <c r="W14" s="122">
        <v>38512.14</v>
      </c>
      <c r="X14" s="122">
        <v>40140.199999999997</v>
      </c>
      <c r="Y14" s="122">
        <v>45730</v>
      </c>
      <c r="Z14" s="122">
        <v>38628.26</v>
      </c>
      <c r="AA14" s="122">
        <v>39421.26</v>
      </c>
      <c r="AB14" s="122">
        <v>40506.26</v>
      </c>
      <c r="AC14" s="122">
        <v>46016.26</v>
      </c>
      <c r="AD14" s="122">
        <v>39112.800000000003</v>
      </c>
      <c r="AE14" s="122">
        <v>40078.800000000003</v>
      </c>
      <c r="AF14" s="122">
        <v>41609.800000000003</v>
      </c>
      <c r="AG14" s="122">
        <v>47555.8</v>
      </c>
      <c r="AH14" s="122">
        <v>39758.1</v>
      </c>
      <c r="AI14" s="122">
        <v>40820.1</v>
      </c>
      <c r="AJ14" s="122">
        <v>43057</v>
      </c>
      <c r="AK14" s="122">
        <v>49210</v>
      </c>
      <c r="AL14" s="122">
        <v>41559</v>
      </c>
      <c r="AM14" s="122">
        <v>42792</v>
      </c>
      <c r="AN14" s="122">
        <v>44739</v>
      </c>
      <c r="AO14" s="122">
        <v>53085</v>
      </c>
      <c r="AP14" s="122">
        <v>44713.599999999999</v>
      </c>
      <c r="AQ14" s="122">
        <v>45740.6</v>
      </c>
      <c r="AR14" s="122">
        <v>47897</v>
      </c>
      <c r="AS14" s="122">
        <v>56661</v>
      </c>
      <c r="AT14" s="122">
        <v>47122</v>
      </c>
      <c r="AU14" s="122">
        <v>48496</v>
      </c>
      <c r="AV14" s="122">
        <v>50913</v>
      </c>
      <c r="AW14" s="122">
        <v>60105</v>
      </c>
      <c r="AX14" s="122">
        <v>50059</v>
      </c>
      <c r="AY14" s="122">
        <v>51313</v>
      </c>
      <c r="AZ14" s="122">
        <v>53701</v>
      </c>
      <c r="BA14" s="122">
        <v>62534</v>
      </c>
      <c r="BB14" s="122">
        <v>52156.609000000004</v>
      </c>
      <c r="BC14" s="122">
        <v>52318.118999999999</v>
      </c>
      <c r="BD14" s="122">
        <v>53124.548999999999</v>
      </c>
      <c r="BE14" s="122">
        <v>62149.862999999998</v>
      </c>
      <c r="BF14" s="122">
        <v>51506.209000000003</v>
      </c>
      <c r="BG14" s="122">
        <v>51223.483999999997</v>
      </c>
      <c r="BH14" s="122">
        <v>53059.02</v>
      </c>
      <c r="BI14" s="122">
        <v>61285.207000000002</v>
      </c>
      <c r="BJ14" s="122">
        <v>52037.182000000001</v>
      </c>
      <c r="BK14" s="122">
        <v>53120.19</v>
      </c>
      <c r="BL14" s="122">
        <v>55521.891000000003</v>
      </c>
      <c r="BM14" s="122">
        <v>64658.296999999999</v>
      </c>
      <c r="BN14" s="122">
        <v>54224.273999999998</v>
      </c>
      <c r="BO14" s="122">
        <v>55200.271999999997</v>
      </c>
      <c r="BP14" s="122">
        <v>57967.38</v>
      </c>
      <c r="BQ14" s="122">
        <v>67902.623999999996</v>
      </c>
      <c r="BR14" s="122">
        <v>56782.36</v>
      </c>
      <c r="BS14" s="122">
        <v>57493.337</v>
      </c>
      <c r="BT14" s="122">
        <v>59979.42</v>
      </c>
      <c r="BU14" s="122">
        <v>70023.023000000001</v>
      </c>
      <c r="BV14" s="122">
        <v>58054.917999999998</v>
      </c>
      <c r="BW14" s="122">
        <v>58890.277000000002</v>
      </c>
      <c r="BX14" s="122">
        <v>61193.732124606293</v>
      </c>
      <c r="BY14" s="122">
        <v>71467.867139400027</v>
      </c>
    </row>
    <row r="15" spans="1:77">
      <c r="A15" s="3" t="s">
        <v>9</v>
      </c>
      <c r="B15" s="121">
        <v>17874.599999999999</v>
      </c>
      <c r="C15" s="122">
        <v>17916.650000000001</v>
      </c>
      <c r="D15" s="122">
        <v>19388</v>
      </c>
      <c r="E15" s="122">
        <v>19790</v>
      </c>
      <c r="F15" s="122">
        <v>19268</v>
      </c>
      <c r="G15" s="122">
        <v>19181</v>
      </c>
      <c r="H15" s="122">
        <v>20490.38</v>
      </c>
      <c r="I15" s="122">
        <v>20603</v>
      </c>
      <c r="J15" s="122">
        <v>20408</v>
      </c>
      <c r="K15" s="122">
        <v>20599.599999999999</v>
      </c>
      <c r="L15" s="122">
        <v>22022</v>
      </c>
      <c r="M15" s="122">
        <v>22558</v>
      </c>
      <c r="N15" s="122">
        <v>22050.799999999999</v>
      </c>
      <c r="O15" s="122">
        <v>22140</v>
      </c>
      <c r="P15" s="122">
        <v>22920.12</v>
      </c>
      <c r="Q15" s="122">
        <v>23184</v>
      </c>
      <c r="R15" s="122">
        <v>22545</v>
      </c>
      <c r="S15" s="122">
        <v>23058.6</v>
      </c>
      <c r="T15" s="122">
        <v>24412.65</v>
      </c>
      <c r="U15" s="122">
        <v>24974</v>
      </c>
      <c r="V15" s="122">
        <v>24539</v>
      </c>
      <c r="W15" s="122">
        <v>25166.6</v>
      </c>
      <c r="X15" s="122">
        <v>26411.84</v>
      </c>
      <c r="Y15" s="122">
        <v>26757</v>
      </c>
      <c r="Z15" s="122">
        <v>25921.040000000001</v>
      </c>
      <c r="AA15" s="122">
        <v>26414</v>
      </c>
      <c r="AB15" s="122">
        <v>27868</v>
      </c>
      <c r="AC15" s="122">
        <v>28741</v>
      </c>
      <c r="AD15" s="122">
        <v>28219</v>
      </c>
      <c r="AE15" s="122">
        <v>28976.6</v>
      </c>
      <c r="AF15" s="122">
        <v>30425.599999999999</v>
      </c>
      <c r="AG15" s="122">
        <v>31127.8</v>
      </c>
      <c r="AH15" s="122">
        <v>30280</v>
      </c>
      <c r="AI15" s="122">
        <v>30872</v>
      </c>
      <c r="AJ15" s="122">
        <v>32080</v>
      </c>
      <c r="AK15" s="122">
        <v>33055</v>
      </c>
      <c r="AL15" s="122">
        <v>31536</v>
      </c>
      <c r="AM15" s="122">
        <v>32203</v>
      </c>
      <c r="AN15" s="122">
        <v>33963</v>
      </c>
      <c r="AO15" s="122">
        <v>34757</v>
      </c>
      <c r="AP15" s="122">
        <v>33324.9</v>
      </c>
      <c r="AQ15" s="122">
        <v>34034.9</v>
      </c>
      <c r="AR15" s="122">
        <v>35687</v>
      </c>
      <c r="AS15" s="122">
        <v>36425</v>
      </c>
      <c r="AT15" s="122">
        <v>34860</v>
      </c>
      <c r="AU15" s="122">
        <v>35709</v>
      </c>
      <c r="AV15" s="122">
        <v>37790</v>
      </c>
      <c r="AW15" s="122">
        <v>38248</v>
      </c>
      <c r="AX15" s="122">
        <v>37390</v>
      </c>
      <c r="AY15" s="122">
        <v>38228</v>
      </c>
      <c r="AZ15" s="122">
        <v>40002</v>
      </c>
      <c r="BA15" s="122">
        <v>40669</v>
      </c>
      <c r="BB15" s="122">
        <v>39017.254000000001</v>
      </c>
      <c r="BC15" s="122">
        <v>39778.156000000003</v>
      </c>
      <c r="BD15" s="122">
        <v>41545.39</v>
      </c>
      <c r="BE15" s="122">
        <v>42181.239000000001</v>
      </c>
      <c r="BF15" s="122">
        <v>39881.660000000003</v>
      </c>
      <c r="BG15" s="122">
        <v>40081.722999999904</v>
      </c>
      <c r="BH15" s="122">
        <v>41692.247000000003</v>
      </c>
      <c r="BI15" s="122">
        <v>42343.81</v>
      </c>
      <c r="BJ15" s="122">
        <v>40141.228000000003</v>
      </c>
      <c r="BK15" s="122">
        <v>40893.445</v>
      </c>
      <c r="BL15" s="122">
        <v>42756.826999999997</v>
      </c>
      <c r="BM15" s="122">
        <v>43521.919999999998</v>
      </c>
      <c r="BN15" s="122">
        <v>41353.794000000002</v>
      </c>
      <c r="BO15" s="122">
        <v>42233.84</v>
      </c>
      <c r="BP15" s="122">
        <v>44032.83</v>
      </c>
      <c r="BQ15" s="122">
        <v>44909.656000000003</v>
      </c>
      <c r="BR15" s="122">
        <v>42585.497000000003</v>
      </c>
      <c r="BS15" s="122">
        <v>43356.485000000001</v>
      </c>
      <c r="BT15" s="122">
        <v>44995.332999999999</v>
      </c>
      <c r="BU15" s="122">
        <v>45762.144999999997</v>
      </c>
      <c r="BV15" s="122">
        <v>43369.447999999997</v>
      </c>
      <c r="BW15" s="122">
        <v>44124.116999999998</v>
      </c>
      <c r="BX15" s="122">
        <v>45926.782446653575</v>
      </c>
      <c r="BY15" s="122">
        <v>46688.111705445132</v>
      </c>
    </row>
    <row r="16" spans="1:77">
      <c r="A16" s="3" t="s">
        <v>10</v>
      </c>
      <c r="B16" s="121">
        <v>42556.1</v>
      </c>
      <c r="C16" s="122">
        <v>42973</v>
      </c>
      <c r="D16" s="122">
        <v>44240.3</v>
      </c>
      <c r="E16" s="122">
        <v>44950.6</v>
      </c>
      <c r="F16" s="122">
        <v>44425</v>
      </c>
      <c r="G16" s="122">
        <v>45833.1</v>
      </c>
      <c r="H16" s="122">
        <v>47500.3</v>
      </c>
      <c r="I16" s="122">
        <v>48817</v>
      </c>
      <c r="J16" s="122">
        <v>48114.8</v>
      </c>
      <c r="K16" s="122">
        <v>48886.8</v>
      </c>
      <c r="L16" s="122">
        <v>49171.8</v>
      </c>
      <c r="M16" s="122">
        <v>49182.400000000001</v>
      </c>
      <c r="N16" s="122">
        <v>48536.6</v>
      </c>
      <c r="O16" s="122">
        <v>49922.3</v>
      </c>
      <c r="P16" s="122">
        <v>50635.3</v>
      </c>
      <c r="Q16" s="122">
        <v>50758.8</v>
      </c>
      <c r="R16" s="122">
        <v>51054.2</v>
      </c>
      <c r="S16" s="122">
        <v>52293</v>
      </c>
      <c r="T16" s="122">
        <v>53176.6</v>
      </c>
      <c r="U16" s="122">
        <v>53542.8</v>
      </c>
      <c r="V16" s="122">
        <v>52888.1</v>
      </c>
      <c r="W16" s="122">
        <v>53699.6</v>
      </c>
      <c r="X16" s="122">
        <v>54622</v>
      </c>
      <c r="Y16" s="122">
        <v>55537.5</v>
      </c>
      <c r="Z16" s="122">
        <v>56218.6</v>
      </c>
      <c r="AA16" s="122">
        <v>58088.5</v>
      </c>
      <c r="AB16" s="122">
        <v>59463.3</v>
      </c>
      <c r="AC16" s="122">
        <v>60679.7</v>
      </c>
      <c r="AD16" s="122">
        <v>62383</v>
      </c>
      <c r="AE16" s="122">
        <v>62225</v>
      </c>
      <c r="AF16" s="122">
        <v>61925</v>
      </c>
      <c r="AG16" s="122">
        <v>62632</v>
      </c>
      <c r="AH16" s="122">
        <v>65193</v>
      </c>
      <c r="AI16" s="122">
        <v>64824</v>
      </c>
      <c r="AJ16" s="122">
        <v>65121</v>
      </c>
      <c r="AK16" s="122">
        <v>65985</v>
      </c>
      <c r="AL16" s="122">
        <v>69261</v>
      </c>
      <c r="AM16" s="122">
        <v>69354</v>
      </c>
      <c r="AN16" s="122">
        <v>69721</v>
      </c>
      <c r="AO16" s="122">
        <v>71208</v>
      </c>
      <c r="AP16" s="122">
        <v>73169.100000000006</v>
      </c>
      <c r="AQ16" s="122">
        <v>73288</v>
      </c>
      <c r="AR16" s="122">
        <v>73956</v>
      </c>
      <c r="AS16" s="122">
        <v>75091</v>
      </c>
      <c r="AT16" s="122">
        <v>79305</v>
      </c>
      <c r="AU16" s="122">
        <v>80254</v>
      </c>
      <c r="AV16" s="122">
        <v>81374</v>
      </c>
      <c r="AW16" s="122">
        <v>83069</v>
      </c>
      <c r="AX16" s="122">
        <v>86091</v>
      </c>
      <c r="AY16" s="122">
        <v>85714</v>
      </c>
      <c r="AZ16" s="122">
        <v>87185</v>
      </c>
      <c r="BA16" s="122">
        <v>90511</v>
      </c>
      <c r="BB16" s="122">
        <v>91562</v>
      </c>
      <c r="BC16" s="122">
        <v>92840</v>
      </c>
      <c r="BD16" s="122">
        <v>94186</v>
      </c>
      <c r="BE16" s="122">
        <v>96653</v>
      </c>
      <c r="BF16" s="122">
        <v>94300.9</v>
      </c>
      <c r="BG16" s="122">
        <v>94221.91</v>
      </c>
      <c r="BH16" s="122">
        <v>94319</v>
      </c>
      <c r="BI16" s="122">
        <v>96145</v>
      </c>
      <c r="BJ16" s="122">
        <v>95658.6</v>
      </c>
      <c r="BK16" s="122">
        <v>96321.06</v>
      </c>
      <c r="BL16" s="122">
        <v>96651</v>
      </c>
      <c r="BM16" s="122">
        <v>98558</v>
      </c>
      <c r="BN16" s="122">
        <v>99559.1</v>
      </c>
      <c r="BO16" s="122">
        <v>100356.1</v>
      </c>
      <c r="BP16" s="122">
        <v>101565.02</v>
      </c>
      <c r="BQ16" s="122">
        <v>103999</v>
      </c>
      <c r="BR16" s="122">
        <v>105061.1</v>
      </c>
      <c r="BS16" s="122">
        <v>104615.1</v>
      </c>
      <c r="BT16" s="122">
        <v>104333.1</v>
      </c>
      <c r="BU16" s="122">
        <v>106464.07</v>
      </c>
      <c r="BV16" s="122">
        <v>106799</v>
      </c>
      <c r="BW16" s="122">
        <v>108365</v>
      </c>
      <c r="BX16" s="122">
        <v>107820</v>
      </c>
      <c r="BY16" s="122">
        <v>107613</v>
      </c>
    </row>
    <row r="17" spans="1:77">
      <c r="A17" s="285" t="s">
        <v>11</v>
      </c>
      <c r="B17" s="121">
        <v>15489.026502787265</v>
      </c>
      <c r="C17" s="122">
        <v>15927.34773215224</v>
      </c>
      <c r="D17" s="122">
        <v>16210.661545119983</v>
      </c>
      <c r="E17" s="122">
        <v>16192.586214944169</v>
      </c>
      <c r="F17" s="122">
        <v>16382.948346304871</v>
      </c>
      <c r="G17" s="122">
        <v>16318.069953332624</v>
      </c>
      <c r="H17" s="122">
        <v>16403.519112669845</v>
      </c>
      <c r="I17" s="122">
        <v>16411.555213144322</v>
      </c>
      <c r="J17" s="122">
        <v>16232.787352937741</v>
      </c>
      <c r="K17" s="122">
        <v>16416.973537675538</v>
      </c>
      <c r="L17" s="122">
        <v>16551.230363008985</v>
      </c>
      <c r="M17" s="122">
        <v>16293.669805266863</v>
      </c>
      <c r="N17" s="122">
        <v>16752.634025670923</v>
      </c>
      <c r="O17" s="122">
        <v>17240.631091094383</v>
      </c>
      <c r="P17" s="122">
        <v>17763.095539770828</v>
      </c>
      <c r="Q17" s="122">
        <v>17806.3183222935</v>
      </c>
      <c r="R17" s="122">
        <v>17715.540750774471</v>
      </c>
      <c r="S17" s="122">
        <v>17942.230419239728</v>
      </c>
      <c r="T17" s="122">
        <v>18331.776410013172</v>
      </c>
      <c r="U17" s="122">
        <v>18264.604515144689</v>
      </c>
      <c r="V17" s="122">
        <v>18400</v>
      </c>
      <c r="W17" s="122">
        <v>18733</v>
      </c>
      <c r="X17" s="122">
        <v>19313.099999999999</v>
      </c>
      <c r="Y17" s="122">
        <v>19289.286920179624</v>
      </c>
      <c r="Z17" s="122">
        <v>19142.091560369838</v>
      </c>
      <c r="AA17" s="122">
        <v>19234.897318655723</v>
      </c>
      <c r="AB17" s="122">
        <v>19611.718501029285</v>
      </c>
      <c r="AC17" s="122">
        <v>19449.407548709267</v>
      </c>
      <c r="AD17" s="122">
        <v>19376.690430958923</v>
      </c>
      <c r="AE17" s="122">
        <v>19614.329137227956</v>
      </c>
      <c r="AF17" s="122">
        <v>20157.269892965905</v>
      </c>
      <c r="AG17" s="122">
        <v>20197.710538847212</v>
      </c>
      <c r="AH17" s="122">
        <v>20362</v>
      </c>
      <c r="AI17" s="122">
        <v>20836</v>
      </c>
      <c r="AJ17" s="122">
        <v>21469</v>
      </c>
      <c r="AK17" s="122">
        <v>21089</v>
      </c>
      <c r="AL17" s="122">
        <v>20771.599999999999</v>
      </c>
      <c r="AM17" s="122">
        <v>21194.400000000001</v>
      </c>
      <c r="AN17" s="122">
        <v>21649</v>
      </c>
      <c r="AO17" s="122">
        <v>21604</v>
      </c>
      <c r="AP17" s="122">
        <v>21793.200000000001</v>
      </c>
      <c r="AQ17" s="122">
        <v>22005.200000000001</v>
      </c>
      <c r="AR17" s="122">
        <v>22373.200000000001</v>
      </c>
      <c r="AS17" s="122">
        <v>22283.1</v>
      </c>
      <c r="AT17" s="122">
        <v>23051</v>
      </c>
      <c r="AU17" s="122">
        <v>23178</v>
      </c>
      <c r="AV17" s="122">
        <v>23381</v>
      </c>
      <c r="AW17" s="122">
        <v>23463</v>
      </c>
      <c r="AX17" s="122">
        <v>24555</v>
      </c>
      <c r="AY17" s="122">
        <v>24843</v>
      </c>
      <c r="AZ17" s="122">
        <v>24839</v>
      </c>
      <c r="BA17" s="122">
        <v>24010</v>
      </c>
      <c r="BB17" s="122">
        <v>25606.5</v>
      </c>
      <c r="BC17" s="122">
        <v>26011.599999999999</v>
      </c>
      <c r="BD17" s="122">
        <v>25841.599999999999</v>
      </c>
      <c r="BE17" s="122">
        <v>24646.15</v>
      </c>
      <c r="BF17" s="122">
        <v>25224.428</v>
      </c>
      <c r="BG17" s="122">
        <v>25428.402999999998</v>
      </c>
      <c r="BH17" s="122">
        <v>25450.316999999999</v>
      </c>
      <c r="BI17" s="122">
        <v>25129.962</v>
      </c>
      <c r="BJ17" s="122">
        <v>25128.698</v>
      </c>
      <c r="BK17" s="122">
        <v>25503.328000000001</v>
      </c>
      <c r="BL17" s="122">
        <v>25636.246999999999</v>
      </c>
      <c r="BM17" s="122">
        <v>25402.576999999997</v>
      </c>
      <c r="BN17" s="122">
        <v>26010.337</v>
      </c>
      <c r="BO17" s="122">
        <v>26168.561000000002</v>
      </c>
      <c r="BP17" s="122">
        <v>26052.007000000001</v>
      </c>
      <c r="BQ17" s="122">
        <v>25794.825000000001</v>
      </c>
      <c r="BR17" s="122">
        <v>26428.080999999998</v>
      </c>
      <c r="BS17" s="122">
        <v>26953.853999999999</v>
      </c>
      <c r="BT17" s="122">
        <v>26792.117999999999</v>
      </c>
      <c r="BU17" s="122">
        <v>26006.808000000001</v>
      </c>
      <c r="BV17" s="122">
        <v>26937.594000000001</v>
      </c>
      <c r="BW17" s="122">
        <v>27350.109</v>
      </c>
      <c r="BX17" s="122">
        <v>27264.834999999999</v>
      </c>
      <c r="BY17" s="122">
        <v>26492.508778178904</v>
      </c>
    </row>
    <row r="18" spans="1:77">
      <c r="A18" s="170" t="s">
        <v>12</v>
      </c>
      <c r="B18" s="123">
        <v>47611.7</v>
      </c>
      <c r="C18" s="124">
        <v>47687.7</v>
      </c>
      <c r="D18" s="124">
        <v>47836.800000000003</v>
      </c>
      <c r="E18" s="124">
        <v>47897.8</v>
      </c>
      <c r="F18" s="124">
        <v>48519.75</v>
      </c>
      <c r="G18" s="124">
        <v>48578.75</v>
      </c>
      <c r="H18" s="124">
        <v>48753.75</v>
      </c>
      <c r="I18" s="124">
        <v>48871.75</v>
      </c>
      <c r="J18" s="124">
        <v>48945</v>
      </c>
      <c r="K18" s="124">
        <v>48962</v>
      </c>
      <c r="L18" s="124">
        <v>49141</v>
      </c>
      <c r="M18" s="124">
        <v>49212</v>
      </c>
      <c r="N18" s="124">
        <v>48654.7</v>
      </c>
      <c r="O18" s="124">
        <v>48704.7</v>
      </c>
      <c r="P18" s="124">
        <v>48697.8</v>
      </c>
      <c r="Q18" s="124">
        <v>48733.8</v>
      </c>
      <c r="R18" s="124">
        <v>48267</v>
      </c>
      <c r="S18" s="124">
        <v>48347</v>
      </c>
      <c r="T18" s="124">
        <v>48320</v>
      </c>
      <c r="U18" s="124">
        <v>48195</v>
      </c>
      <c r="V18" s="124">
        <v>47824.25</v>
      </c>
      <c r="W18" s="124">
        <v>47893.3</v>
      </c>
      <c r="X18" s="124">
        <v>47873.3</v>
      </c>
      <c r="Y18" s="124">
        <v>47749.15</v>
      </c>
      <c r="Z18" s="124">
        <v>47533.75</v>
      </c>
      <c r="AA18" s="124">
        <v>47470.75</v>
      </c>
      <c r="AB18" s="124">
        <v>47303.75</v>
      </c>
      <c r="AC18" s="124">
        <v>47243.75</v>
      </c>
      <c r="AD18" s="124">
        <v>47144</v>
      </c>
      <c r="AE18" s="124">
        <v>47698</v>
      </c>
      <c r="AF18" s="124">
        <v>47955</v>
      </c>
      <c r="AG18" s="124">
        <v>48113</v>
      </c>
      <c r="AH18" s="124">
        <v>48264</v>
      </c>
      <c r="AI18" s="124">
        <v>48972</v>
      </c>
      <c r="AJ18" s="124">
        <v>49331</v>
      </c>
      <c r="AK18" s="124">
        <v>49626</v>
      </c>
      <c r="AL18" s="124">
        <v>49094</v>
      </c>
      <c r="AM18" s="124">
        <v>49848</v>
      </c>
      <c r="AN18" s="124">
        <v>50171</v>
      </c>
      <c r="AO18" s="124">
        <v>50834</v>
      </c>
      <c r="AP18" s="124">
        <v>51032</v>
      </c>
      <c r="AQ18" s="124">
        <v>52145</v>
      </c>
      <c r="AR18" s="124">
        <v>52604.9</v>
      </c>
      <c r="AS18" s="124">
        <v>52778.9</v>
      </c>
      <c r="AT18" s="124">
        <v>52881</v>
      </c>
      <c r="AU18" s="124">
        <v>53540</v>
      </c>
      <c r="AV18" s="124">
        <v>53892</v>
      </c>
      <c r="AW18" s="124">
        <v>54634</v>
      </c>
      <c r="AX18" s="124">
        <v>55106</v>
      </c>
      <c r="AY18" s="124">
        <v>55460</v>
      </c>
      <c r="AZ18" s="124">
        <v>56041</v>
      </c>
      <c r="BA18" s="124">
        <v>56677</v>
      </c>
      <c r="BB18" s="124">
        <v>57252</v>
      </c>
      <c r="BC18" s="124">
        <v>57900</v>
      </c>
      <c r="BD18" s="124">
        <v>58795</v>
      </c>
      <c r="BE18" s="124">
        <v>59469</v>
      </c>
      <c r="BF18" s="124">
        <v>59561</v>
      </c>
      <c r="BG18" s="124">
        <v>60608</v>
      </c>
      <c r="BH18" s="124">
        <v>60958</v>
      </c>
      <c r="BI18" s="124">
        <v>61415</v>
      </c>
      <c r="BJ18" s="124">
        <v>61217</v>
      </c>
      <c r="BK18" s="124">
        <v>62339</v>
      </c>
      <c r="BL18" s="124">
        <v>62802</v>
      </c>
      <c r="BM18" s="124">
        <v>63656</v>
      </c>
      <c r="BN18" s="124">
        <v>63511</v>
      </c>
      <c r="BO18" s="124">
        <v>64925</v>
      </c>
      <c r="BP18" s="124">
        <v>65495</v>
      </c>
      <c r="BQ18" s="124">
        <v>66563</v>
      </c>
      <c r="BR18" s="124">
        <v>65452</v>
      </c>
      <c r="BS18" s="124">
        <v>66643</v>
      </c>
      <c r="BT18" s="124">
        <v>67250</v>
      </c>
      <c r="BU18" s="124">
        <v>68369</v>
      </c>
      <c r="BV18" s="124">
        <v>66904</v>
      </c>
      <c r="BW18" s="124">
        <v>67806</v>
      </c>
      <c r="BX18" s="124">
        <v>67939</v>
      </c>
      <c r="BY18" s="124">
        <v>69195</v>
      </c>
    </row>
    <row r="19" spans="1:77">
      <c r="A19" s="2" t="s">
        <v>13</v>
      </c>
      <c r="B19" s="115">
        <f t="shared" ref="B19:Y19" si="21">B13+B9+B6</f>
        <v>243701.86050278728</v>
      </c>
      <c r="C19" s="116">
        <f t="shared" si="21"/>
        <v>248685.43173215224</v>
      </c>
      <c r="D19" s="116">
        <f t="shared" si="21"/>
        <v>258247.50554511999</v>
      </c>
      <c r="E19" s="116">
        <f t="shared" si="21"/>
        <v>261061.28721494417</v>
      </c>
      <c r="F19" s="116">
        <f t="shared" si="21"/>
        <v>251994.07034630486</v>
      </c>
      <c r="G19" s="116">
        <f t="shared" si="21"/>
        <v>261376.58495333261</v>
      </c>
      <c r="H19" s="116">
        <f t="shared" si="21"/>
        <v>266679.79211266985</v>
      </c>
      <c r="I19" s="116">
        <f t="shared" si="21"/>
        <v>269925.12821314431</v>
      </c>
      <c r="J19" s="116">
        <f t="shared" si="21"/>
        <v>259895.30585293772</v>
      </c>
      <c r="K19" s="116">
        <f t="shared" si="21"/>
        <v>269757.67603767553</v>
      </c>
      <c r="L19" s="116">
        <f t="shared" si="21"/>
        <v>272695.99286300899</v>
      </c>
      <c r="M19" s="116">
        <f t="shared" si="21"/>
        <v>273912.12430526683</v>
      </c>
      <c r="N19" s="116">
        <f t="shared" si="21"/>
        <v>262963.04902567092</v>
      </c>
      <c r="O19" s="116">
        <f t="shared" si="21"/>
        <v>272329.55709109438</v>
      </c>
      <c r="P19" s="116">
        <f t="shared" si="21"/>
        <v>273838.80353977083</v>
      </c>
      <c r="Q19" s="116">
        <f t="shared" si="21"/>
        <v>274990.63932229346</v>
      </c>
      <c r="R19" s="116">
        <f t="shared" si="21"/>
        <v>266406.88475077448</v>
      </c>
      <c r="S19" s="116">
        <f t="shared" si="21"/>
        <v>277956.57941923972</v>
      </c>
      <c r="T19" s="116">
        <f t="shared" si="21"/>
        <v>281893.83941001317</v>
      </c>
      <c r="U19" s="116">
        <f t="shared" si="21"/>
        <v>285617.81651514472</v>
      </c>
      <c r="V19" s="116">
        <f t="shared" si="21"/>
        <v>276263.08600000001</v>
      </c>
      <c r="W19" s="116">
        <f t="shared" si="21"/>
        <v>287701.484</v>
      </c>
      <c r="X19" s="116">
        <f t="shared" si="21"/>
        <v>296943.70399999997</v>
      </c>
      <c r="Y19" s="116">
        <f t="shared" si="21"/>
        <v>298735.18292017962</v>
      </c>
      <c r="Z19" s="116">
        <f t="shared" ref="Z19:AZ19" si="22">Z13+Z9+Z6</f>
        <v>287110.32556036982</v>
      </c>
      <c r="AA19" s="116">
        <f t="shared" si="22"/>
        <v>298886.34931865573</v>
      </c>
      <c r="AB19" s="116">
        <f t="shared" si="22"/>
        <v>301752.10250102927</v>
      </c>
      <c r="AC19" s="116">
        <f t="shared" si="22"/>
        <v>304768.7125487093</v>
      </c>
      <c r="AD19" s="116">
        <f t="shared" si="22"/>
        <v>297023.5904309589</v>
      </c>
      <c r="AE19" s="116">
        <f t="shared" si="22"/>
        <v>309892.32913722796</v>
      </c>
      <c r="AF19" s="116">
        <f t="shared" si="22"/>
        <v>312378.66989296593</v>
      </c>
      <c r="AG19" s="116">
        <f t="shared" si="22"/>
        <v>316975.42053884722</v>
      </c>
      <c r="AH19" s="116">
        <f t="shared" si="22"/>
        <v>306679.75999999995</v>
      </c>
      <c r="AI19" s="116">
        <f t="shared" si="22"/>
        <v>319866.09999999998</v>
      </c>
      <c r="AJ19" s="116">
        <f t="shared" si="22"/>
        <v>322131</v>
      </c>
      <c r="AK19" s="116">
        <f t="shared" si="22"/>
        <v>324452.15999999997</v>
      </c>
      <c r="AL19" s="116">
        <f t="shared" si="22"/>
        <v>318318.07</v>
      </c>
      <c r="AM19" s="116">
        <f t="shared" si="22"/>
        <v>331473</v>
      </c>
      <c r="AN19" s="116">
        <f t="shared" si="22"/>
        <v>337978</v>
      </c>
      <c r="AO19" s="116">
        <f t="shared" si="22"/>
        <v>342621.19</v>
      </c>
      <c r="AP19" s="116">
        <f t="shared" si="22"/>
        <v>335624.80000000005</v>
      </c>
      <c r="AQ19" s="116">
        <f t="shared" si="22"/>
        <v>348633.65</v>
      </c>
      <c r="AR19" s="116">
        <f t="shared" si="22"/>
        <v>356585.75</v>
      </c>
      <c r="AS19" s="116">
        <f t="shared" si="22"/>
        <v>360222.7</v>
      </c>
      <c r="AT19" s="116">
        <f t="shared" si="22"/>
        <v>352635.14999999997</v>
      </c>
      <c r="AU19" s="116">
        <f t="shared" si="22"/>
        <v>365559.05</v>
      </c>
      <c r="AV19" s="116">
        <f t="shared" si="22"/>
        <v>375284.75</v>
      </c>
      <c r="AW19" s="116">
        <f t="shared" si="22"/>
        <v>385012.71</v>
      </c>
      <c r="AX19" s="116">
        <f t="shared" si="22"/>
        <v>375734.96</v>
      </c>
      <c r="AY19" s="116">
        <f t="shared" si="22"/>
        <v>385889.5</v>
      </c>
      <c r="AZ19" s="116">
        <f t="shared" si="22"/>
        <v>394277.5</v>
      </c>
      <c r="BA19" s="116">
        <f t="shared" ref="BA19:BH19" si="23">BA13+BA9+BA6</f>
        <v>405173.72</v>
      </c>
      <c r="BB19" s="116">
        <f t="shared" si="23"/>
        <v>390094.30800000002</v>
      </c>
      <c r="BC19" s="116">
        <f t="shared" si="23"/>
        <v>405942.92</v>
      </c>
      <c r="BD19" s="116">
        <f t="shared" si="23"/>
        <v>410748.57199999999</v>
      </c>
      <c r="BE19" s="116">
        <f t="shared" si="23"/>
        <v>413016.80699999997</v>
      </c>
      <c r="BF19" s="100">
        <f t="shared" si="23"/>
        <v>387183.08999999997</v>
      </c>
      <c r="BG19" s="100">
        <f t="shared" si="23"/>
        <v>396183.0579999999</v>
      </c>
      <c r="BH19" s="100">
        <f t="shared" si="23"/>
        <v>403553.48900000006</v>
      </c>
      <c r="BI19" s="100">
        <f t="shared" ref="BI19:BN19" si="24">BI13+BI9+BI6</f>
        <v>411140.14199999999</v>
      </c>
      <c r="BJ19" s="100">
        <f t="shared" si="24"/>
        <v>396351.10099999997</v>
      </c>
      <c r="BK19" s="100">
        <f t="shared" si="24"/>
        <v>409192.272</v>
      </c>
      <c r="BL19" s="100">
        <f t="shared" si="24"/>
        <v>416629.16699999996</v>
      </c>
      <c r="BM19" s="100">
        <f t="shared" si="24"/>
        <v>425102.78200000001</v>
      </c>
      <c r="BN19" s="100">
        <f t="shared" si="24"/>
        <v>411070.82500000001</v>
      </c>
      <c r="BO19" s="100">
        <f t="shared" ref="BO19:BX19" si="25">BO13+BO9+BO6</f>
        <v>423482.35199999996</v>
      </c>
      <c r="BP19" s="100">
        <f t="shared" si="25"/>
        <v>429463.33599999995</v>
      </c>
      <c r="BQ19" s="100">
        <f t="shared" si="25"/>
        <v>439784.837</v>
      </c>
      <c r="BR19" s="100">
        <f t="shared" si="25"/>
        <v>421426.397</v>
      </c>
      <c r="BS19" s="100">
        <f t="shared" si="25"/>
        <v>435694.72400000005</v>
      </c>
      <c r="BT19" s="100">
        <f t="shared" ref="BT19:BW19" si="26">BT13+BT9+BT6</f>
        <v>439075.19500000001</v>
      </c>
      <c r="BU19" s="100">
        <f t="shared" si="26"/>
        <v>449156.26499999996</v>
      </c>
      <c r="BV19" s="100">
        <f t="shared" si="26"/>
        <v>428277.8862852903</v>
      </c>
      <c r="BW19" s="100">
        <f t="shared" si="26"/>
        <v>445689.69976194436</v>
      </c>
      <c r="BX19" s="100">
        <f t="shared" si="25"/>
        <v>446337.92045224109</v>
      </c>
      <c r="BY19" s="100">
        <f t="shared" ref="BY19" si="27">BY13+BY9+BY6</f>
        <v>457648.15760609892</v>
      </c>
    </row>
    <row r="20" spans="1:77">
      <c r="A20" s="3" t="s">
        <v>14</v>
      </c>
      <c r="B20" s="121">
        <v>33235.870699999999</v>
      </c>
      <c r="C20" s="122">
        <v>33241.522300000004</v>
      </c>
      <c r="D20" s="122">
        <v>33531.924299999999</v>
      </c>
      <c r="E20" s="122">
        <v>33667.398200000003</v>
      </c>
      <c r="F20" s="122">
        <v>34509.038</v>
      </c>
      <c r="G20" s="122">
        <v>34878.721599999997</v>
      </c>
      <c r="H20" s="122">
        <v>35196.078800000003</v>
      </c>
      <c r="I20" s="122">
        <v>35625.0141</v>
      </c>
      <c r="J20" s="122">
        <v>35904.119899999998</v>
      </c>
      <c r="K20" s="122">
        <v>36008.798699999999</v>
      </c>
      <c r="L20" s="122">
        <v>36166.786200000002</v>
      </c>
      <c r="M20" s="122">
        <v>36225.119200000001</v>
      </c>
      <c r="N20" s="122">
        <v>35451.6299</v>
      </c>
      <c r="O20" s="122">
        <v>35103.333200000001</v>
      </c>
      <c r="P20" s="122">
        <v>35807.524599999997</v>
      </c>
      <c r="Q20" s="122">
        <v>36298.649400000002</v>
      </c>
      <c r="R20" s="122">
        <v>34779.414899999996</v>
      </c>
      <c r="S20" s="122">
        <v>34720.163</v>
      </c>
      <c r="T20" s="122">
        <v>35829.061600000001</v>
      </c>
      <c r="U20" s="122">
        <v>36561.294600000001</v>
      </c>
      <c r="V20" s="122">
        <v>35228.342799999999</v>
      </c>
      <c r="W20" s="122">
        <v>35286.009899999997</v>
      </c>
      <c r="X20" s="122">
        <v>36444.758800000003</v>
      </c>
      <c r="Y20" s="122">
        <v>37170.049300000006</v>
      </c>
      <c r="Z20" s="122">
        <v>35800.584500000004</v>
      </c>
      <c r="AA20" s="122">
        <v>35833.763500000001</v>
      </c>
      <c r="AB20" s="122">
        <v>36888.875999999997</v>
      </c>
      <c r="AC20" s="122">
        <v>37677.955800000003</v>
      </c>
      <c r="AD20" s="122">
        <v>36282</v>
      </c>
      <c r="AE20" s="122">
        <v>37312</v>
      </c>
      <c r="AF20" s="122">
        <v>38018</v>
      </c>
      <c r="AG20" s="122">
        <v>38553</v>
      </c>
      <c r="AH20" s="122">
        <v>37315</v>
      </c>
      <c r="AI20" s="122">
        <v>38479</v>
      </c>
      <c r="AJ20" s="122">
        <v>38792</v>
      </c>
      <c r="AK20" s="122">
        <v>39607</v>
      </c>
      <c r="AL20" s="122">
        <v>38569</v>
      </c>
      <c r="AM20" s="122">
        <v>40241</v>
      </c>
      <c r="AN20" s="122">
        <v>41066</v>
      </c>
      <c r="AO20" s="122">
        <v>42064</v>
      </c>
      <c r="AP20" s="122">
        <v>40702</v>
      </c>
      <c r="AQ20" s="122">
        <v>42368</v>
      </c>
      <c r="AR20" s="122">
        <v>43136</v>
      </c>
      <c r="AS20" s="122">
        <v>43809</v>
      </c>
      <c r="AT20" s="122">
        <v>42815</v>
      </c>
      <c r="AU20" s="122">
        <v>44740</v>
      </c>
      <c r="AV20" s="122">
        <v>45411</v>
      </c>
      <c r="AW20" s="122">
        <v>47664</v>
      </c>
      <c r="AX20" s="122">
        <v>46050</v>
      </c>
      <c r="AY20" s="122">
        <v>47125</v>
      </c>
      <c r="AZ20" s="122">
        <v>47919</v>
      </c>
      <c r="BA20" s="122">
        <v>48995</v>
      </c>
      <c r="BB20" s="122">
        <v>47583</v>
      </c>
      <c r="BC20" s="122">
        <v>48943</v>
      </c>
      <c r="BD20" s="122">
        <v>48901</v>
      </c>
      <c r="BE20" s="122">
        <v>49365</v>
      </c>
      <c r="BF20" s="122">
        <v>46615</v>
      </c>
      <c r="BG20" s="122">
        <v>46591</v>
      </c>
      <c r="BH20" s="122">
        <v>46949</v>
      </c>
      <c r="BI20" s="122">
        <v>48684</v>
      </c>
      <c r="BJ20" s="122">
        <v>47586</v>
      </c>
      <c r="BK20" s="122">
        <v>48541</v>
      </c>
      <c r="BL20" s="122">
        <v>49189</v>
      </c>
      <c r="BM20" s="122">
        <v>50417</v>
      </c>
      <c r="BN20" s="122">
        <v>49792</v>
      </c>
      <c r="BO20" s="122">
        <v>50892</v>
      </c>
      <c r="BP20" s="122">
        <v>51570</v>
      </c>
      <c r="BQ20" s="122">
        <v>53288</v>
      </c>
      <c r="BR20" s="122">
        <v>51858</v>
      </c>
      <c r="BS20" s="122">
        <v>52599</v>
      </c>
      <c r="BT20" s="122">
        <v>52442</v>
      </c>
      <c r="BU20" s="122">
        <v>54192</v>
      </c>
      <c r="BV20" s="122">
        <v>52616</v>
      </c>
      <c r="BW20" s="122">
        <v>53795</v>
      </c>
      <c r="BX20" s="122">
        <v>53437</v>
      </c>
      <c r="BY20" s="122">
        <v>55631</v>
      </c>
    </row>
    <row r="21" spans="1:77" ht="13.5" thickBot="1">
      <c r="A21" s="164" t="s">
        <v>283</v>
      </c>
      <c r="B21" s="106">
        <f t="shared" ref="B21:U21" si="28">B19+B20</f>
        <v>276937.73120278725</v>
      </c>
      <c r="C21" s="107">
        <f t="shared" si="28"/>
        <v>281926.95403215225</v>
      </c>
      <c r="D21" s="107">
        <f t="shared" si="28"/>
        <v>291779.42984512</v>
      </c>
      <c r="E21" s="107">
        <f t="shared" si="28"/>
        <v>294728.68541494419</v>
      </c>
      <c r="F21" s="107">
        <f t="shared" si="28"/>
        <v>286503.10834630486</v>
      </c>
      <c r="G21" s="107">
        <f t="shared" si="28"/>
        <v>296255.3065533326</v>
      </c>
      <c r="H21" s="107">
        <f t="shared" si="28"/>
        <v>301875.87091266987</v>
      </c>
      <c r="I21" s="107">
        <f t="shared" si="28"/>
        <v>305550.14231314429</v>
      </c>
      <c r="J21" s="107">
        <f t="shared" si="28"/>
        <v>295799.42575293774</v>
      </c>
      <c r="K21" s="107">
        <f t="shared" si="28"/>
        <v>305766.47473767551</v>
      </c>
      <c r="L21" s="107">
        <f t="shared" si="28"/>
        <v>308862.77906300896</v>
      </c>
      <c r="M21" s="107">
        <f t="shared" si="28"/>
        <v>310137.24350526684</v>
      </c>
      <c r="N21" s="107">
        <f t="shared" si="28"/>
        <v>298414.67892567092</v>
      </c>
      <c r="O21" s="107">
        <f t="shared" si="28"/>
        <v>307432.89029109437</v>
      </c>
      <c r="P21" s="107">
        <f t="shared" si="28"/>
        <v>309646.32813977083</v>
      </c>
      <c r="Q21" s="107">
        <f t="shared" si="28"/>
        <v>311289.28872229345</v>
      </c>
      <c r="R21" s="107">
        <f t="shared" si="28"/>
        <v>301186.29965077445</v>
      </c>
      <c r="S21" s="107">
        <f t="shared" si="28"/>
        <v>312676.74241923972</v>
      </c>
      <c r="T21" s="107">
        <f t="shared" si="28"/>
        <v>317722.90101001319</v>
      </c>
      <c r="U21" s="107">
        <f t="shared" si="28"/>
        <v>322179.11111514474</v>
      </c>
      <c r="V21" s="107">
        <f t="shared" ref="V21:AA21" si="29">V19+V20</f>
        <v>311491.42879999999</v>
      </c>
      <c r="W21" s="107">
        <f t="shared" si="29"/>
        <v>322987.4939</v>
      </c>
      <c r="X21" s="107">
        <f t="shared" si="29"/>
        <v>333388.46279999998</v>
      </c>
      <c r="Y21" s="107">
        <f t="shared" si="29"/>
        <v>335905.23222017963</v>
      </c>
      <c r="Z21" s="107">
        <f t="shared" si="29"/>
        <v>322910.91006036982</v>
      </c>
      <c r="AA21" s="107">
        <f t="shared" si="29"/>
        <v>334720.11281865573</v>
      </c>
      <c r="AB21" s="107">
        <f t="shared" ref="AB21:BH21" si="30">AB19+AB20</f>
        <v>338640.97850102925</v>
      </c>
      <c r="AC21" s="107">
        <f t="shared" si="30"/>
        <v>342446.6683487093</v>
      </c>
      <c r="AD21" s="107">
        <f t="shared" si="30"/>
        <v>333305.5904309589</v>
      </c>
      <c r="AE21" s="107">
        <f t="shared" si="30"/>
        <v>347204.32913722796</v>
      </c>
      <c r="AF21" s="107">
        <f t="shared" si="30"/>
        <v>350396.66989296593</v>
      </c>
      <c r="AG21" s="107">
        <f t="shared" si="30"/>
        <v>355528.42053884722</v>
      </c>
      <c r="AH21" s="107">
        <f t="shared" si="30"/>
        <v>343994.75999999995</v>
      </c>
      <c r="AI21" s="107">
        <f t="shared" si="30"/>
        <v>358345.1</v>
      </c>
      <c r="AJ21" s="107">
        <f t="shared" si="30"/>
        <v>360923</v>
      </c>
      <c r="AK21" s="107">
        <f t="shared" si="30"/>
        <v>364059.16</v>
      </c>
      <c r="AL21" s="107">
        <f t="shared" si="30"/>
        <v>356887.07</v>
      </c>
      <c r="AM21" s="107">
        <f t="shared" si="30"/>
        <v>371714</v>
      </c>
      <c r="AN21" s="107">
        <f t="shared" si="30"/>
        <v>379044</v>
      </c>
      <c r="AO21" s="107">
        <f t="shared" si="30"/>
        <v>384685.19</v>
      </c>
      <c r="AP21" s="107">
        <f t="shared" si="30"/>
        <v>376326.80000000005</v>
      </c>
      <c r="AQ21" s="107">
        <f t="shared" si="30"/>
        <v>391001.65</v>
      </c>
      <c r="AR21" s="107">
        <f t="shared" si="30"/>
        <v>399721.75</v>
      </c>
      <c r="AS21" s="107">
        <f t="shared" si="30"/>
        <v>404031.7</v>
      </c>
      <c r="AT21" s="107">
        <f t="shared" si="30"/>
        <v>395450.14999999997</v>
      </c>
      <c r="AU21" s="107">
        <f t="shared" si="30"/>
        <v>410299.05</v>
      </c>
      <c r="AV21" s="107">
        <f t="shared" si="30"/>
        <v>420695.75</v>
      </c>
      <c r="AW21" s="107">
        <f t="shared" si="30"/>
        <v>432676.71</v>
      </c>
      <c r="AX21" s="107">
        <f t="shared" si="30"/>
        <v>421784.96</v>
      </c>
      <c r="AY21" s="107">
        <f t="shared" si="30"/>
        <v>433014.5</v>
      </c>
      <c r="AZ21" s="107">
        <f t="shared" si="30"/>
        <v>442196.5</v>
      </c>
      <c r="BA21" s="107">
        <f t="shared" si="30"/>
        <v>454168.72</v>
      </c>
      <c r="BB21" s="107">
        <f t="shared" si="30"/>
        <v>437677.30800000002</v>
      </c>
      <c r="BC21" s="107">
        <f t="shared" si="30"/>
        <v>454885.92</v>
      </c>
      <c r="BD21" s="107">
        <f t="shared" si="30"/>
        <v>459649.57199999999</v>
      </c>
      <c r="BE21" s="107">
        <f t="shared" si="30"/>
        <v>462381.80699999997</v>
      </c>
      <c r="BF21" s="107">
        <f t="shared" si="30"/>
        <v>433798.08999999997</v>
      </c>
      <c r="BG21" s="107">
        <f t="shared" si="30"/>
        <v>442774.0579999999</v>
      </c>
      <c r="BH21" s="107">
        <f t="shared" si="30"/>
        <v>450502.48900000006</v>
      </c>
      <c r="BI21" s="107">
        <f t="shared" ref="BI21:BN21" si="31">BI19+BI20</f>
        <v>459824.14199999999</v>
      </c>
      <c r="BJ21" s="107">
        <f t="shared" si="31"/>
        <v>443937.10099999997</v>
      </c>
      <c r="BK21" s="107">
        <f t="shared" si="31"/>
        <v>457733.272</v>
      </c>
      <c r="BL21" s="107">
        <f t="shared" si="31"/>
        <v>465818.16699999996</v>
      </c>
      <c r="BM21" s="107">
        <f t="shared" si="31"/>
        <v>475519.78200000001</v>
      </c>
      <c r="BN21" s="107">
        <f t="shared" si="31"/>
        <v>460862.82500000001</v>
      </c>
      <c r="BO21" s="107">
        <f t="shared" ref="BO21:BX21" si="32">BO19+BO20</f>
        <v>474374.35199999996</v>
      </c>
      <c r="BP21" s="107">
        <f t="shared" si="32"/>
        <v>481033.33599999995</v>
      </c>
      <c r="BQ21" s="107">
        <f t="shared" si="32"/>
        <v>493072.837</v>
      </c>
      <c r="BR21" s="107">
        <f t="shared" si="32"/>
        <v>473284.397</v>
      </c>
      <c r="BS21" s="107">
        <f t="shared" si="32"/>
        <v>488293.72400000005</v>
      </c>
      <c r="BT21" s="107">
        <f t="shared" ref="BT21:BW21" si="33">BT19+BT20</f>
        <v>491517.19500000001</v>
      </c>
      <c r="BU21" s="107">
        <f t="shared" si="33"/>
        <v>503348.26499999996</v>
      </c>
      <c r="BV21" s="107">
        <f t="shared" si="33"/>
        <v>480893.8862852903</v>
      </c>
      <c r="BW21" s="107">
        <f t="shared" si="33"/>
        <v>499484.69976194436</v>
      </c>
      <c r="BX21" s="107">
        <f t="shared" si="32"/>
        <v>499774.92045224109</v>
      </c>
      <c r="BY21" s="107">
        <f t="shared" ref="BY21" si="34">BY19+BY20</f>
        <v>513279.15760609892</v>
      </c>
    </row>
    <row r="23" spans="1:77" ht="18">
      <c r="A23" s="407" t="s">
        <v>168</v>
      </c>
      <c r="B23" s="407"/>
      <c r="C23" s="407"/>
      <c r="D23" s="407"/>
      <c r="E23" s="407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  <c r="R23" s="407"/>
      <c r="S23" s="407"/>
      <c r="T23" s="407"/>
      <c r="U23" s="407"/>
      <c r="V23" s="407"/>
      <c r="W23" s="407"/>
      <c r="X23" s="407"/>
      <c r="Y23" s="407"/>
      <c r="Z23" s="408"/>
      <c r="AA23" s="408"/>
      <c r="AB23" s="408"/>
      <c r="AC23" s="408"/>
      <c r="AD23" s="408"/>
      <c r="AE23" s="408"/>
      <c r="AF23" s="408"/>
      <c r="AG23" s="408"/>
      <c r="AH23" s="408"/>
      <c r="AI23" s="408"/>
      <c r="AJ23" s="408"/>
      <c r="AK23" s="408"/>
      <c r="AL23" s="408"/>
      <c r="AM23" s="408"/>
      <c r="AN23" s="408"/>
      <c r="AO23" s="408"/>
      <c r="AP23" s="408"/>
      <c r="AQ23" s="408"/>
      <c r="AR23" s="408"/>
      <c r="AS23" s="408"/>
      <c r="AT23" s="408"/>
      <c r="AU23" s="408"/>
      <c r="AV23" s="408"/>
      <c r="AW23" s="408"/>
      <c r="AX23" s="408"/>
      <c r="AY23" s="408"/>
      <c r="AZ23" s="408"/>
      <c r="BA23" s="408"/>
      <c r="BB23" s="408"/>
      <c r="BC23" s="408"/>
      <c r="BD23" s="408"/>
      <c r="BE23" s="408"/>
      <c r="BF23" s="408"/>
      <c r="BG23" s="408"/>
      <c r="BH23" s="408"/>
    </row>
    <row r="24" spans="1:77" ht="13.5" thickBot="1">
      <c r="A24" s="1" t="s">
        <v>281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77" ht="13.5" thickBot="1">
      <c r="A25" s="144" t="s">
        <v>167</v>
      </c>
      <c r="B25" s="249" t="str">
        <f>B5</f>
        <v>1995q1</v>
      </c>
      <c r="C25" s="248" t="str">
        <f t="shared" ref="C25:AG25" si="35">C5</f>
        <v>1995q2</v>
      </c>
      <c r="D25" s="248" t="str">
        <f t="shared" si="35"/>
        <v>1995q3</v>
      </c>
      <c r="E25" s="248" t="str">
        <f t="shared" si="35"/>
        <v>1995q4</v>
      </c>
      <c r="F25" s="248" t="str">
        <f t="shared" si="35"/>
        <v>1996q1</v>
      </c>
      <c r="G25" s="248" t="str">
        <f t="shared" si="35"/>
        <v>1996q2</v>
      </c>
      <c r="H25" s="248" t="str">
        <f t="shared" si="35"/>
        <v>1996q3</v>
      </c>
      <c r="I25" s="248" t="str">
        <f t="shared" si="35"/>
        <v>1996q4</v>
      </c>
      <c r="J25" s="248" t="str">
        <f t="shared" si="35"/>
        <v>1997q1</v>
      </c>
      <c r="K25" s="248" t="str">
        <f t="shared" si="35"/>
        <v>1997q2</v>
      </c>
      <c r="L25" s="248" t="str">
        <f t="shared" si="35"/>
        <v>1997q3</v>
      </c>
      <c r="M25" s="248" t="str">
        <f t="shared" si="35"/>
        <v>1997q4</v>
      </c>
      <c r="N25" s="248" t="str">
        <f t="shared" si="35"/>
        <v>1998q1</v>
      </c>
      <c r="O25" s="248" t="str">
        <f t="shared" si="35"/>
        <v>1998q2</v>
      </c>
      <c r="P25" s="248" t="str">
        <f t="shared" si="35"/>
        <v>1998q3</v>
      </c>
      <c r="Q25" s="248" t="str">
        <f t="shared" si="35"/>
        <v>1998q4</v>
      </c>
      <c r="R25" s="248" t="str">
        <f t="shared" si="35"/>
        <v>1999q1</v>
      </c>
      <c r="S25" s="248" t="str">
        <f t="shared" si="35"/>
        <v>1999q2</v>
      </c>
      <c r="T25" s="248" t="str">
        <f t="shared" si="35"/>
        <v>1999q3</v>
      </c>
      <c r="U25" s="248" t="str">
        <f t="shared" si="35"/>
        <v>1999q4</v>
      </c>
      <c r="V25" s="248" t="str">
        <f>V5</f>
        <v>2000q1</v>
      </c>
      <c r="W25" s="248" t="str">
        <f>W5</f>
        <v>2000q2</v>
      </c>
      <c r="X25" s="248" t="str">
        <f>X5</f>
        <v>2000q3</v>
      </c>
      <c r="Y25" s="248" t="str">
        <f>Y5</f>
        <v>2000q4</v>
      </c>
      <c r="Z25" s="248" t="str">
        <f t="shared" si="35"/>
        <v>2001q1</v>
      </c>
      <c r="AA25" s="248" t="str">
        <f t="shared" si="35"/>
        <v>2001q2</v>
      </c>
      <c r="AB25" s="248" t="str">
        <f t="shared" si="35"/>
        <v>2001q3</v>
      </c>
      <c r="AC25" s="248" t="str">
        <f t="shared" si="35"/>
        <v>2001q4</v>
      </c>
      <c r="AD25" s="248" t="str">
        <f t="shared" si="35"/>
        <v>2002q1</v>
      </c>
      <c r="AE25" s="248" t="str">
        <f t="shared" si="35"/>
        <v>2002q2</v>
      </c>
      <c r="AF25" s="248" t="str">
        <f t="shared" si="35"/>
        <v>2002q3</v>
      </c>
      <c r="AG25" s="248" t="str">
        <f t="shared" si="35"/>
        <v>2002q4</v>
      </c>
      <c r="AH25" s="248" t="str">
        <f t="shared" ref="AH25:BQ25" si="36">AH5</f>
        <v>2003q1</v>
      </c>
      <c r="AI25" s="248" t="str">
        <f t="shared" si="36"/>
        <v>2003q2</v>
      </c>
      <c r="AJ25" s="248" t="str">
        <f t="shared" si="36"/>
        <v>2003q3</v>
      </c>
      <c r="AK25" s="248" t="str">
        <f t="shared" si="36"/>
        <v>2003q4</v>
      </c>
      <c r="AL25" s="248" t="str">
        <f t="shared" si="36"/>
        <v>2004q1</v>
      </c>
      <c r="AM25" s="248" t="str">
        <f t="shared" si="36"/>
        <v>2004q2</v>
      </c>
      <c r="AN25" s="248" t="str">
        <f t="shared" si="36"/>
        <v>2004q3</v>
      </c>
      <c r="AO25" s="248" t="str">
        <f t="shared" si="36"/>
        <v>2004q4</v>
      </c>
      <c r="AP25" s="248" t="str">
        <f t="shared" si="36"/>
        <v>2005q1</v>
      </c>
      <c r="AQ25" s="248" t="str">
        <f t="shared" si="36"/>
        <v>2005q2</v>
      </c>
      <c r="AR25" s="248" t="str">
        <f t="shared" si="36"/>
        <v>2005q3</v>
      </c>
      <c r="AS25" s="248" t="str">
        <f t="shared" si="36"/>
        <v>2005q4</v>
      </c>
      <c r="AT25" s="248" t="str">
        <f t="shared" si="36"/>
        <v>2006q1</v>
      </c>
      <c r="AU25" s="248" t="str">
        <f t="shared" si="36"/>
        <v>2006q2</v>
      </c>
      <c r="AV25" s="248" t="str">
        <f t="shared" si="36"/>
        <v>2006q3</v>
      </c>
      <c r="AW25" s="248" t="str">
        <f t="shared" si="36"/>
        <v>2006q4</v>
      </c>
      <c r="AX25" s="248" t="str">
        <f t="shared" si="36"/>
        <v>2007q1</v>
      </c>
      <c r="AY25" s="248" t="str">
        <f t="shared" si="36"/>
        <v>2007q2</v>
      </c>
      <c r="AZ25" s="248" t="str">
        <f t="shared" si="36"/>
        <v>2007q3</v>
      </c>
      <c r="BA25" s="248" t="str">
        <f t="shared" si="36"/>
        <v>2007q4</v>
      </c>
      <c r="BB25" s="248" t="str">
        <f t="shared" si="36"/>
        <v>2008q1</v>
      </c>
      <c r="BC25" s="248" t="str">
        <f t="shared" si="36"/>
        <v>2008q2</v>
      </c>
      <c r="BD25" s="248" t="str">
        <f t="shared" si="36"/>
        <v>2008q3</v>
      </c>
      <c r="BE25" s="248" t="str">
        <f t="shared" si="36"/>
        <v>2008q4</v>
      </c>
      <c r="BF25" s="248" t="str">
        <f t="shared" si="36"/>
        <v>2009q1</v>
      </c>
      <c r="BG25" s="248" t="str">
        <f t="shared" si="36"/>
        <v>2009q2</v>
      </c>
      <c r="BH25" s="248" t="str">
        <f t="shared" si="36"/>
        <v>2009q3</v>
      </c>
      <c r="BI25" s="248" t="str">
        <f t="shared" si="36"/>
        <v>2009q4</v>
      </c>
      <c r="BJ25" s="248" t="str">
        <f t="shared" si="36"/>
        <v>2010q1</v>
      </c>
      <c r="BK25" s="248" t="str">
        <f t="shared" si="36"/>
        <v>2010q2</v>
      </c>
      <c r="BL25" s="248" t="str">
        <f t="shared" si="36"/>
        <v>2010q3</v>
      </c>
      <c r="BM25" s="248" t="str">
        <f t="shared" si="36"/>
        <v>2010q4</v>
      </c>
      <c r="BN25" s="248" t="str">
        <f t="shared" si="36"/>
        <v>2011q1</v>
      </c>
      <c r="BO25" s="248" t="str">
        <f t="shared" si="36"/>
        <v>2011q2</v>
      </c>
      <c r="BP25" s="248" t="str">
        <f t="shared" si="36"/>
        <v>2011q3</v>
      </c>
      <c r="BQ25" s="248" t="str">
        <f t="shared" si="36"/>
        <v>2011q4</v>
      </c>
      <c r="BR25" s="248" t="str">
        <f t="shared" ref="BR25:BX25" si="37">BR5</f>
        <v>2012q1</v>
      </c>
      <c r="BS25" s="248" t="str">
        <f t="shared" si="37"/>
        <v>2012q2</v>
      </c>
      <c r="BT25" s="248" t="str">
        <f t="shared" si="37"/>
        <v>2012q3</v>
      </c>
      <c r="BU25" s="248" t="str">
        <f t="shared" si="37"/>
        <v>2012q4</v>
      </c>
      <c r="BV25" s="248" t="str">
        <f t="shared" si="37"/>
        <v>2013q1</v>
      </c>
      <c r="BW25" s="248" t="str">
        <f t="shared" ref="BW25" si="38">BW5</f>
        <v>2013q2</v>
      </c>
      <c r="BX25" s="248" t="str">
        <f t="shared" si="37"/>
        <v>2013q3</v>
      </c>
      <c r="BY25" s="248" t="str">
        <f t="shared" ref="BY25" si="39">BY5</f>
        <v>2013q4</v>
      </c>
    </row>
    <row r="26" spans="1:77" ht="13.5" thickTop="1">
      <c r="A26" s="145" t="s">
        <v>0</v>
      </c>
      <c r="B26" s="104">
        <f t="shared" ref="B26:U26" si="40">SUM(B27:B28)</f>
        <v>2681.1665068964376</v>
      </c>
      <c r="C26" s="98">
        <f t="shared" si="40"/>
        <v>3389.6847278104497</v>
      </c>
      <c r="D26" s="98">
        <f t="shared" si="40"/>
        <v>3572.5482640995392</v>
      </c>
      <c r="E26" s="98">
        <f t="shared" si="40"/>
        <v>3004.031840200284</v>
      </c>
      <c r="F26" s="98">
        <f t="shared" si="40"/>
        <v>3155.8355549246799</v>
      </c>
      <c r="G26" s="98">
        <f t="shared" si="40"/>
        <v>5144.7248671961206</v>
      </c>
      <c r="H26" s="98">
        <f t="shared" si="40"/>
        <v>4142.1319842872481</v>
      </c>
      <c r="I26" s="98">
        <f t="shared" si="40"/>
        <v>3281.5027521429579</v>
      </c>
      <c r="J26" s="98">
        <f t="shared" si="40"/>
        <v>3288.0704912675451</v>
      </c>
      <c r="K26" s="98">
        <f t="shared" si="40"/>
        <v>5054.4276484491538</v>
      </c>
      <c r="L26" s="98">
        <f t="shared" si="40"/>
        <v>4122.5276522206204</v>
      </c>
      <c r="M26" s="98">
        <f t="shared" si="40"/>
        <v>3292.6229955345402</v>
      </c>
      <c r="N26" s="98">
        <f t="shared" si="40"/>
        <v>3359.7997234283475</v>
      </c>
      <c r="O26" s="98">
        <f t="shared" si="40"/>
        <v>5141.6628831787166</v>
      </c>
      <c r="P26" s="98">
        <f t="shared" si="40"/>
        <v>4153.7986359069637</v>
      </c>
      <c r="Q26" s="98">
        <f t="shared" si="40"/>
        <v>3105.2384802958809</v>
      </c>
      <c r="R26" s="98">
        <f t="shared" si="40"/>
        <v>2940.1395424720881</v>
      </c>
      <c r="S26" s="98">
        <f t="shared" si="40"/>
        <v>4764.6739285996364</v>
      </c>
      <c r="T26" s="98">
        <f t="shared" si="40"/>
        <v>3675.2309194171767</v>
      </c>
      <c r="U26" s="98">
        <f t="shared" si="40"/>
        <v>2441.6944596328681</v>
      </c>
      <c r="V26" s="98">
        <f t="shared" ref="V26:BH26" si="41">SUM(V27:V28)</f>
        <v>2620.4673923633936</v>
      </c>
      <c r="W26" s="98">
        <f t="shared" si="41"/>
        <v>4191.5540098157835</v>
      </c>
      <c r="X26" s="98">
        <f t="shared" si="41"/>
        <v>4547.9756985738823</v>
      </c>
      <c r="Y26" s="98">
        <f t="shared" si="41"/>
        <v>2699.8485425990502</v>
      </c>
      <c r="Z26" s="98">
        <f t="shared" si="41"/>
        <v>2785.5077036071202</v>
      </c>
      <c r="AA26" s="126">
        <f t="shared" si="41"/>
        <v>4735.7402996797273</v>
      </c>
      <c r="AB26" s="126">
        <f t="shared" si="41"/>
        <v>3871.8566064870602</v>
      </c>
      <c r="AC26" s="126">
        <f t="shared" si="41"/>
        <v>2411.4354768600783</v>
      </c>
      <c r="AD26" s="126">
        <f t="shared" si="41"/>
        <v>2797.1999006793912</v>
      </c>
      <c r="AE26" s="126">
        <f t="shared" si="41"/>
        <v>4909.9789064949036</v>
      </c>
      <c r="AF26" s="126">
        <f t="shared" si="41"/>
        <v>3552.6638949138196</v>
      </c>
      <c r="AG26" s="126">
        <f t="shared" si="41"/>
        <v>2559.4144066955887</v>
      </c>
      <c r="AH26" s="126">
        <f t="shared" si="41"/>
        <v>2767.5679819380557</v>
      </c>
      <c r="AI26" s="126">
        <f t="shared" si="41"/>
        <v>5586.3238822035037</v>
      </c>
      <c r="AJ26" s="126">
        <f t="shared" si="41"/>
        <v>3870.6202037522585</v>
      </c>
      <c r="AK26" s="98">
        <f t="shared" si="41"/>
        <v>2336.018437205581</v>
      </c>
      <c r="AL26" s="98">
        <f t="shared" si="41"/>
        <v>2819.3725898878079</v>
      </c>
      <c r="AM26" s="98">
        <f t="shared" si="41"/>
        <v>5152.2015282228322</v>
      </c>
      <c r="AN26" s="98">
        <f t="shared" si="41"/>
        <v>4165.4704388743994</v>
      </c>
      <c r="AO26" s="98">
        <f t="shared" si="41"/>
        <v>2533.3270142258762</v>
      </c>
      <c r="AP26" s="98">
        <f t="shared" si="41"/>
        <v>2887.9019931744183</v>
      </c>
      <c r="AQ26" s="98">
        <f t="shared" si="41"/>
        <v>4477.8330400693858</v>
      </c>
      <c r="AR26" s="98">
        <f t="shared" si="41"/>
        <v>4085.3624734806217</v>
      </c>
      <c r="AS26" s="98">
        <f t="shared" si="41"/>
        <v>2346.3822531587589</v>
      </c>
      <c r="AT26" s="98">
        <f t="shared" si="41"/>
        <v>2910.9773248347788</v>
      </c>
      <c r="AU26" s="98">
        <f t="shared" si="41"/>
        <v>4328.0116485169838</v>
      </c>
      <c r="AV26" s="98">
        <f t="shared" si="41"/>
        <v>3934.2085647166978</v>
      </c>
      <c r="AW26" s="98">
        <f t="shared" si="41"/>
        <v>2553.8559581170098</v>
      </c>
      <c r="AX26" s="98">
        <f t="shared" si="41"/>
        <v>3047.5870848665318</v>
      </c>
      <c r="AY26" s="98">
        <f t="shared" si="41"/>
        <v>4508.60561523663</v>
      </c>
      <c r="AZ26" s="98">
        <f t="shared" si="41"/>
        <v>4066.4712432042647</v>
      </c>
      <c r="BA26" s="98">
        <f t="shared" si="41"/>
        <v>2608.1971266889286</v>
      </c>
      <c r="BB26" s="126">
        <f t="shared" si="41"/>
        <v>3328.7094816565477</v>
      </c>
      <c r="BC26" s="126">
        <f t="shared" si="41"/>
        <v>5007.0446201084087</v>
      </c>
      <c r="BD26" s="126">
        <f t="shared" si="41"/>
        <v>4432.2220407466666</v>
      </c>
      <c r="BE26" s="126">
        <f t="shared" si="41"/>
        <v>2758.4902076856238</v>
      </c>
      <c r="BF26" s="98">
        <f t="shared" si="41"/>
        <v>3187.1119339587231</v>
      </c>
      <c r="BG26" s="98">
        <f t="shared" si="41"/>
        <v>4743.4053175534236</v>
      </c>
      <c r="BH26" s="98">
        <f t="shared" si="41"/>
        <v>4245.6374897522792</v>
      </c>
      <c r="BI26" s="98">
        <f t="shared" ref="BI26:BN26" si="42">SUM(BI27:BI28)</f>
        <v>2782.5189679161435</v>
      </c>
      <c r="BJ26" s="98">
        <f t="shared" si="42"/>
        <v>3381.1506037605973</v>
      </c>
      <c r="BK26" s="98">
        <f t="shared" si="42"/>
        <v>4947.0535331113524</v>
      </c>
      <c r="BL26" s="98">
        <f t="shared" si="42"/>
        <v>4337.6925031181254</v>
      </c>
      <c r="BM26" s="98">
        <f t="shared" si="42"/>
        <v>2872.0789875646906</v>
      </c>
      <c r="BN26" s="98">
        <f t="shared" si="42"/>
        <v>3360.6372899973112</v>
      </c>
      <c r="BO26" s="98">
        <f t="shared" ref="BO26:BQ26" si="43">SUM(BO27:BO28)</f>
        <v>5027.8934853457577</v>
      </c>
      <c r="BP26" s="98">
        <f t="shared" si="43"/>
        <v>4360.8286730019418</v>
      </c>
      <c r="BQ26" s="98">
        <f t="shared" si="43"/>
        <v>2865.4363983659591</v>
      </c>
      <c r="BR26" s="98">
        <f t="shared" ref="BR26:BX26" si="44">SUM(BR27:BR28)</f>
        <v>3469.4224231824533</v>
      </c>
      <c r="BS26" s="98">
        <f t="shared" si="44"/>
        <v>5344.6967772602929</v>
      </c>
      <c r="BT26" s="98">
        <f t="shared" si="44"/>
        <v>4322.7670236826398</v>
      </c>
      <c r="BU26" s="98">
        <f t="shared" ref="BU26:BW26" si="45">SUM(BU27:BU28)</f>
        <v>2851.3765898275497</v>
      </c>
      <c r="BV26" s="98">
        <f t="shared" si="45"/>
        <v>3643.120168086451</v>
      </c>
      <c r="BW26" s="98">
        <f t="shared" si="45"/>
        <v>5654.6476684347963</v>
      </c>
      <c r="BX26" s="98">
        <f t="shared" si="44"/>
        <v>4267.0219025221677</v>
      </c>
      <c r="BY26" s="98">
        <f t="shared" ref="BY26" si="46">SUM(BY27:BY28)</f>
        <v>2901.5087863631857</v>
      </c>
    </row>
    <row r="27" spans="1:77">
      <c r="A27" s="146" t="s">
        <v>1</v>
      </c>
      <c r="B27" s="147">
        <f>B7*Annual!$B46/100</f>
        <v>1580.3818107219763</v>
      </c>
      <c r="C27" s="148">
        <f>C7*Annual!$B46/100</f>
        <v>2296.5410022139176</v>
      </c>
      <c r="D27" s="148">
        <f>D7*Annual!$B46/100</f>
        <v>2462.6245477124016</v>
      </c>
      <c r="E27" s="148">
        <f>E7*Annual!$B46/100</f>
        <v>1904.1008007730652</v>
      </c>
      <c r="F27" s="148">
        <f>F7*Annual!$C46/100</f>
        <v>1627.9473529924755</v>
      </c>
      <c r="G27" s="148">
        <f>G7*Annual!$C46/100</f>
        <v>3627.2638803082305</v>
      </c>
      <c r="H27" s="148">
        <f>H7*Annual!$C46/100</f>
        <v>2597.4343608557911</v>
      </c>
      <c r="I27" s="148">
        <f>I7*Annual!$C46/100</f>
        <v>1737.4700952433302</v>
      </c>
      <c r="J27" s="148">
        <f>J7*Annual!$D46/100</f>
        <v>1775.107133448711</v>
      </c>
      <c r="K27" s="148">
        <f>K7*Annual!$D46/100</f>
        <v>3511.1487955792795</v>
      </c>
      <c r="L27" s="148">
        <f>L7*Annual!$D46/100</f>
        <v>2546.8049382218924</v>
      </c>
      <c r="M27" s="148">
        <f>M7*Annual!$D46/100</f>
        <v>1722.7450553151157</v>
      </c>
      <c r="N27" s="148">
        <f>N7*Annual!$E46/100</f>
        <v>1830.7254098111132</v>
      </c>
      <c r="O27" s="148">
        <f>O7*Annual!$E46/100</f>
        <v>3612.4681278071962</v>
      </c>
      <c r="P27" s="148">
        <f>P7*Annual!$E46/100</f>
        <v>2620.0331159603152</v>
      </c>
      <c r="Q27" s="148">
        <f>Q7*Annual!$E46/100</f>
        <v>1579.2318181602936</v>
      </c>
      <c r="R27" s="148">
        <f>R7*Annual!$F46/100</f>
        <v>1841.8316060169589</v>
      </c>
      <c r="S27" s="148">
        <f>S7*Annual!$F46/100</f>
        <v>3660.7857033006426</v>
      </c>
      <c r="T27" s="148">
        <f>T7*Annual!$F46/100</f>
        <v>2560.5007372050436</v>
      </c>
      <c r="U27" s="148">
        <f>U7*Annual!$F46/100</f>
        <v>1325.7623690543644</v>
      </c>
      <c r="V27" s="148">
        <f>V7*Annual!$G46/100</f>
        <v>1550.5323918632487</v>
      </c>
      <c r="W27" s="148">
        <f>W7*Annual!$G46/100</f>
        <v>3108.5862569915612</v>
      </c>
      <c r="X27" s="148">
        <f>X7*Annual!$G46/100</f>
        <v>3465.6182157762073</v>
      </c>
      <c r="Y27" s="148">
        <f>Y7*Annual!$G46/100</f>
        <v>1616.6127068703086</v>
      </c>
      <c r="Z27" s="148">
        <f>Z7*Annual!H46/100</f>
        <v>1775.4953993786633</v>
      </c>
      <c r="AA27" s="148">
        <f>AA7*Annual!H46/100</f>
        <v>3702.7465869683469</v>
      </c>
      <c r="AB27" s="148">
        <f>AB7*Annual!H46/100</f>
        <v>2838.2418305791321</v>
      </c>
      <c r="AC27" s="148">
        <f>AC7*Annual!H46/100</f>
        <v>1390.2771584642437</v>
      </c>
      <c r="AD27" s="148">
        <f>AD7*Annual!$I46/100</f>
        <v>1908.2936484472136</v>
      </c>
      <c r="AE27" s="148">
        <f>AE7*Annual!$I46/100</f>
        <v>3996.6417496082431</v>
      </c>
      <c r="AF27" s="148">
        <f>AF7*Annual!$I46/100</f>
        <v>2625.9595064293676</v>
      </c>
      <c r="AG27" s="148">
        <f>AG7*Annual!$I46/100</f>
        <v>1627.5788324052014</v>
      </c>
      <c r="AH27" s="148">
        <f>AH7*Annual!$J46/100</f>
        <v>1830.9586079273911</v>
      </c>
      <c r="AI27" s="148">
        <f>AI7*Annual!$J46/100</f>
        <v>4618.1272767493974</v>
      </c>
      <c r="AJ27" s="148">
        <f>AJ7*Annual!$J46/100</f>
        <v>2882.8489196488226</v>
      </c>
      <c r="AK27" s="148">
        <f>AK7*Annual!$J46/100</f>
        <v>1352.8535774800832</v>
      </c>
      <c r="AL27" s="148">
        <f>AL7*Annual!$K46/100</f>
        <v>1831.4344793003204</v>
      </c>
      <c r="AM27" s="148">
        <f>AM7*Annual!$K46/100</f>
        <v>4166.9037654339763</v>
      </c>
      <c r="AN27" s="148">
        <f>AN7*Annual!$K46/100</f>
        <v>3150.2911889396214</v>
      </c>
      <c r="AO27" s="148">
        <f>AO7*Annual!$K46/100</f>
        <v>1568.3701411926822</v>
      </c>
      <c r="AP27" s="148">
        <f>AP7*Annual!$L46/100</f>
        <v>1932.8652367897876</v>
      </c>
      <c r="AQ27" s="148">
        <f>AQ7*Annual!$L46/100</f>
        <v>3541.4727553889547</v>
      </c>
      <c r="AR27" s="148">
        <f>AR7*Annual!$L46/100</f>
        <v>3161.0405847709026</v>
      </c>
      <c r="AS27" s="148">
        <f>AS7*Annual!$L46/100</f>
        <v>1456.1108782918461</v>
      </c>
      <c r="AT27" s="148">
        <f>AT7*Annual!$M46/100</f>
        <v>2032.8439770152131</v>
      </c>
      <c r="AU27" s="148">
        <f>AU7*Annual!$M46/100</f>
        <v>3439.2727597864246</v>
      </c>
      <c r="AV27" s="148">
        <f>AV7*Annual!$M46/100</f>
        <v>3038.7721553595461</v>
      </c>
      <c r="AW27" s="148">
        <f>AW7*Annual!$M46/100</f>
        <v>1634.0361539953979</v>
      </c>
      <c r="AX27" s="148">
        <f>AX7*Annual!$N46/100</f>
        <v>2127.9041037730526</v>
      </c>
      <c r="AY27" s="148">
        <f>AY7*Annual!$N46/100</f>
        <v>3593.6788591009517</v>
      </c>
      <c r="AZ27" s="148">
        <f>AZ7*Annual!$N46/100</f>
        <v>3144.2599273721157</v>
      </c>
      <c r="BA27" s="148">
        <f>BA7*Annual!$N46/100</f>
        <v>1693.6112461218218</v>
      </c>
      <c r="BB27" s="148">
        <f>BB7*Annual!$O46/100</f>
        <v>2497.8229932305503</v>
      </c>
      <c r="BC27" s="148">
        <f>BC7*Annual!$O46/100</f>
        <v>4133.1426054935182</v>
      </c>
      <c r="BD27" s="148">
        <f>BD7*Annual!$O46/100</f>
        <v>3572.9207937811084</v>
      </c>
      <c r="BE27" s="148">
        <f>BE7*Annual!$O46/100</f>
        <v>1891.1475429711263</v>
      </c>
      <c r="BF27" s="148">
        <f>BF7*Annual!P46/100</f>
        <v>2418.6498436952156</v>
      </c>
      <c r="BG27" s="148">
        <f>BG7*Annual!P46/100</f>
        <v>3937.7458784522792</v>
      </c>
      <c r="BH27" s="148">
        <f>BH7*Annual!P46/100</f>
        <v>3432.9178889219661</v>
      </c>
      <c r="BI27" s="148">
        <f>BI7*Annual!P46/100</f>
        <v>1957.3831534759011</v>
      </c>
      <c r="BJ27" s="148">
        <f>BJ7*Annual!Q46/100</f>
        <v>2509.6814869888212</v>
      </c>
      <c r="BK27" s="148">
        <f>BK7*Annual!Q46/100</f>
        <v>4115.2657101571931</v>
      </c>
      <c r="BL27" s="148">
        <f>BL7*Annual!Q46/100</f>
        <v>3441.0420911064389</v>
      </c>
      <c r="BM27" s="148">
        <f>BM7*Annual!Q46/100</f>
        <v>1957.4731618568312</v>
      </c>
      <c r="BN27" s="148">
        <f>BN7*Annual!$R46/100</f>
        <v>2490.3538734002304</v>
      </c>
      <c r="BO27" s="148">
        <f>BO7*Annual!$R46/100</f>
        <v>4137.5265445777386</v>
      </c>
      <c r="BP27" s="148">
        <f>BP7*Annual!$R46/100</f>
        <v>3512.1317149434676</v>
      </c>
      <c r="BQ27" s="148">
        <f>BQ7*Annual!$R46/100</f>
        <v>2008.8168653992657</v>
      </c>
      <c r="BR27" s="148">
        <f>BR7*Annual!$S46/100</f>
        <v>2635.2931311476832</v>
      </c>
      <c r="BS27" s="148">
        <f>BS7*Annual!$S46/100</f>
        <v>4414.9547335729949</v>
      </c>
      <c r="BT27" s="148">
        <f>BT7*Annual!$S46/100</f>
        <v>3431.763917733078</v>
      </c>
      <c r="BU27" s="148">
        <f>BU7*Annual!$S46/100</f>
        <v>1973.2424731791398</v>
      </c>
      <c r="BV27" s="148">
        <f>BV7*Annual!$T46/100</f>
        <v>2793.6846821914596</v>
      </c>
      <c r="BW27" s="148">
        <f>BW7*Annual!$T46/100</f>
        <v>4765.2219376551948</v>
      </c>
      <c r="BX27" s="148">
        <f>BX7*Annual!$T46/100</f>
        <v>3366.9612415110446</v>
      </c>
      <c r="BY27" s="148">
        <f>BY7*Annual!$U46/100</f>
        <v>1956.2795532483042</v>
      </c>
    </row>
    <row r="28" spans="1:77">
      <c r="A28" s="149" t="s">
        <v>2</v>
      </c>
      <c r="B28" s="150">
        <f>B8*Annual!$B47/100</f>
        <v>1100.7846961744615</v>
      </c>
      <c r="C28" s="151">
        <f>C8*Annual!$B47/100</f>
        <v>1093.143725596532</v>
      </c>
      <c r="D28" s="151">
        <f>D8*Annual!$B47/100</f>
        <v>1109.9237163871376</v>
      </c>
      <c r="E28" s="151">
        <f>E8*Annual!$B47/100</f>
        <v>1099.9310394272188</v>
      </c>
      <c r="F28" s="151">
        <f>F8*Annual!$C47/100</f>
        <v>1527.8882019322043</v>
      </c>
      <c r="G28" s="151">
        <f>G8*Annual!$C47/100</f>
        <v>1517.4609868878899</v>
      </c>
      <c r="H28" s="151">
        <f>H8*Annual!$C47/100</f>
        <v>1544.6976234314573</v>
      </c>
      <c r="I28" s="151">
        <f>I8*Annual!$C47/100</f>
        <v>1544.0326568996277</v>
      </c>
      <c r="J28" s="151">
        <f>J8*Annual!$D47/100</f>
        <v>1512.9633578188341</v>
      </c>
      <c r="K28" s="151">
        <f>K8*Annual!$D47/100</f>
        <v>1543.2788528698741</v>
      </c>
      <c r="L28" s="151">
        <f>L8*Annual!$D47/100</f>
        <v>1575.7227139987278</v>
      </c>
      <c r="M28" s="151">
        <f>M8*Annual!$D47/100</f>
        <v>1569.8779402194245</v>
      </c>
      <c r="N28" s="151">
        <f>N8*Annual!$E47/100</f>
        <v>1529.0743136172346</v>
      </c>
      <c r="O28" s="151">
        <f>O8*Annual!$E47/100</f>
        <v>1529.1947553715199</v>
      </c>
      <c r="P28" s="151">
        <f>P8*Annual!$E47/100</f>
        <v>1533.7655199466485</v>
      </c>
      <c r="Q28" s="151">
        <f>Q8*Annual!$E47/100</f>
        <v>1526.0066621355872</v>
      </c>
      <c r="R28" s="151">
        <f>R8*Annual!$F47/100</f>
        <v>1098.3079364551293</v>
      </c>
      <c r="S28" s="151">
        <f>S8*Annual!$F47/100</f>
        <v>1103.8882252989938</v>
      </c>
      <c r="T28" s="151">
        <f>T8*Annual!$F47/100</f>
        <v>1114.7301822121328</v>
      </c>
      <c r="U28" s="151">
        <f>U8*Annual!$F47/100</f>
        <v>1115.9320905785037</v>
      </c>
      <c r="V28" s="151">
        <f>V8*Annual!$G47/100</f>
        <v>1069.9350005001447</v>
      </c>
      <c r="W28" s="151">
        <f>W8*Annual!$G47/100</f>
        <v>1082.9677528242223</v>
      </c>
      <c r="X28" s="151">
        <f>X8*Annual!$G47/100</f>
        <v>1082.3574827976752</v>
      </c>
      <c r="Y28" s="151">
        <f>Y8*Annual!$G47/100</f>
        <v>1083.2358357287414</v>
      </c>
      <c r="Z28" s="151">
        <f>Z8*Annual!H47/100</f>
        <v>1010.0123042284571</v>
      </c>
      <c r="AA28" s="151">
        <f>AA8*Annual!H47/100</f>
        <v>1032.9937127113801</v>
      </c>
      <c r="AB28" s="151">
        <f>AB8*Annual!H47/100</f>
        <v>1033.6147759079279</v>
      </c>
      <c r="AC28" s="151">
        <f>AC8*Annual!H47/100</f>
        <v>1021.1583183958346</v>
      </c>
      <c r="AD28" s="151">
        <f>AD8*Annual!$I47/100</f>
        <v>888.90625223217739</v>
      </c>
      <c r="AE28" s="151">
        <f>AE8*Annual!$I47/100</f>
        <v>913.33715688666086</v>
      </c>
      <c r="AF28" s="151">
        <f>AF8*Annual!$I47/100</f>
        <v>926.7043884844519</v>
      </c>
      <c r="AG28" s="151">
        <f>AG8*Annual!$I47/100</f>
        <v>931.8355742903874</v>
      </c>
      <c r="AH28" s="151">
        <f>AH8*Annual!$J47/100</f>
        <v>936.60937401066474</v>
      </c>
      <c r="AI28" s="151">
        <f>AI8*Annual!$J47/100</f>
        <v>968.19660545410602</v>
      </c>
      <c r="AJ28" s="151">
        <f>AJ8*Annual!$J47/100</f>
        <v>987.77128410343573</v>
      </c>
      <c r="AK28" s="151">
        <f>AK8*Annual!$J47/100</f>
        <v>983.16485972549765</v>
      </c>
      <c r="AL28" s="151">
        <f>AL8*Annual!$K47/100</f>
        <v>987.93811058748747</v>
      </c>
      <c r="AM28" s="151">
        <f>AM8*Annual!$K47/100</f>
        <v>985.29776278885606</v>
      </c>
      <c r="AN28" s="151">
        <f>AN8*Annual!$K47/100</f>
        <v>1015.1792499347779</v>
      </c>
      <c r="AO28" s="151">
        <f>AO8*Annual!$K47/100</f>
        <v>964.95687303319403</v>
      </c>
      <c r="AP28" s="151">
        <f>AP8*Annual!$L47/100</f>
        <v>955.03675638463085</v>
      </c>
      <c r="AQ28" s="151">
        <f>AQ8*Annual!$L47/100</f>
        <v>936.36028468043105</v>
      </c>
      <c r="AR28" s="151">
        <f>AR8*Annual!$L47/100</f>
        <v>924.32188870971891</v>
      </c>
      <c r="AS28" s="151">
        <f>AS8*Annual!$L47/100</f>
        <v>890.27137486691277</v>
      </c>
      <c r="AT28" s="151">
        <f>AT8*Annual!$M47/100</f>
        <v>878.13334781956564</v>
      </c>
      <c r="AU28" s="151">
        <f>AU8*Annual!$M47/100</f>
        <v>888.73888873055887</v>
      </c>
      <c r="AV28" s="151">
        <f>AV8*Annual!$M47/100</f>
        <v>895.43640935715166</v>
      </c>
      <c r="AW28" s="151">
        <f>AW8*Annual!$M47/100</f>
        <v>919.81980412161181</v>
      </c>
      <c r="AX28" s="151">
        <f>AX8*Annual!$N47/100</f>
        <v>919.68298109347927</v>
      </c>
      <c r="AY28" s="151">
        <f>AY8*Annual!$N47/100</f>
        <v>914.92675613567849</v>
      </c>
      <c r="AZ28" s="151">
        <f>AZ8*Annual!$N47/100</f>
        <v>922.21131583214913</v>
      </c>
      <c r="BA28" s="151">
        <f>BA8*Annual!$N47/100</f>
        <v>914.58588056710676</v>
      </c>
      <c r="BB28" s="151">
        <f>BB8*Annual!$O47/100</f>
        <v>830.88648842599741</v>
      </c>
      <c r="BC28" s="151">
        <f>BC8*Annual!$O47/100</f>
        <v>873.9020146148905</v>
      </c>
      <c r="BD28" s="151">
        <f>BD8*Annual!$O47/100</f>
        <v>859.30124696555777</v>
      </c>
      <c r="BE28" s="151">
        <f>BE8*Annual!$O47/100</f>
        <v>867.34266471449746</v>
      </c>
      <c r="BF28" s="377">
        <f>BF8*Annual!P47/100</f>
        <v>768.46209026350755</v>
      </c>
      <c r="BG28" s="151">
        <f>BG8*Annual!P47/100</f>
        <v>805.65943910114481</v>
      </c>
      <c r="BH28" s="151">
        <f>BH8*Annual!P47/100</f>
        <v>812.71960083031331</v>
      </c>
      <c r="BI28" s="151">
        <f>BI8*Annual!P47/100</f>
        <v>825.13581444024248</v>
      </c>
      <c r="BJ28" s="151">
        <f>BJ8*Annual!Q47/100</f>
        <v>871.46911677177616</v>
      </c>
      <c r="BK28" s="151">
        <f>BK8*Annual!Q47/100</f>
        <v>831.78782295415931</v>
      </c>
      <c r="BL28" s="151">
        <f>BL8*Annual!Q47/100</f>
        <v>896.6504120116864</v>
      </c>
      <c r="BM28" s="151">
        <f>BM8*Annual!Q47/100</f>
        <v>914.60582570785959</v>
      </c>
      <c r="BN28" s="377">
        <f>BN8*Annual!$R47/100</f>
        <v>870.28341659708099</v>
      </c>
      <c r="BO28" s="377">
        <f>BO8*Annual!$R47/100</f>
        <v>890.36694076801882</v>
      </c>
      <c r="BP28" s="377">
        <f>BP8*Annual!$R47/100</f>
        <v>848.69695805847402</v>
      </c>
      <c r="BQ28" s="377">
        <f>BQ8*Annual!$R47/100</f>
        <v>856.61953296669355</v>
      </c>
      <c r="BR28" s="148">
        <f>BR8*Annual!$S47/100</f>
        <v>834.12929203476995</v>
      </c>
      <c r="BS28" s="148">
        <f>BS8*Annual!$S47/100</f>
        <v>929.74204368729841</v>
      </c>
      <c r="BT28" s="148">
        <f>BT8*Annual!$S47/100</f>
        <v>891.00310594956159</v>
      </c>
      <c r="BU28" s="148">
        <f>BU8*Annual!$S47/100</f>
        <v>878.13411664840987</v>
      </c>
      <c r="BV28" s="148">
        <f>BV8*Annual!$T47/100</f>
        <v>849.4354858949913</v>
      </c>
      <c r="BW28" s="148">
        <f>BW8*Annual!$T47/100</f>
        <v>889.42573077960185</v>
      </c>
      <c r="BX28" s="148">
        <f>BX8*Annual!$T47/100</f>
        <v>900.06066101112287</v>
      </c>
      <c r="BY28" s="148">
        <f>BY8*Annual!$U47/100</f>
        <v>945.22923311488137</v>
      </c>
    </row>
    <row r="29" spans="1:77">
      <c r="A29" s="145" t="s">
        <v>3</v>
      </c>
      <c r="B29" s="125">
        <f t="shared" ref="B29:U29" si="47">SUM(B30:B32)</f>
        <v>12108.139544015654</v>
      </c>
      <c r="C29" s="126">
        <f t="shared" si="47"/>
        <v>12334.196561176108</v>
      </c>
      <c r="D29" s="126">
        <f t="shared" si="47"/>
        <v>13048.585804777384</v>
      </c>
      <c r="E29" s="126">
        <f t="shared" si="47"/>
        <v>12809.694322151754</v>
      </c>
      <c r="F29" s="126">
        <f t="shared" si="47"/>
        <v>12369.880090926777</v>
      </c>
      <c r="G29" s="126">
        <f t="shared" si="47"/>
        <v>12540.54368737157</v>
      </c>
      <c r="H29" s="126">
        <f t="shared" si="47"/>
        <v>13272.272685967178</v>
      </c>
      <c r="I29" s="126">
        <f t="shared" si="47"/>
        <v>13256.43596784416</v>
      </c>
      <c r="J29" s="126">
        <f t="shared" si="47"/>
        <v>12699.915490744599</v>
      </c>
      <c r="K29" s="126">
        <f t="shared" si="47"/>
        <v>13105.981794477477</v>
      </c>
      <c r="L29" s="126">
        <f t="shared" si="47"/>
        <v>13622.515380953349</v>
      </c>
      <c r="M29" s="126">
        <f t="shared" si="47"/>
        <v>13552.56778824882</v>
      </c>
      <c r="N29" s="126">
        <f t="shared" si="47"/>
        <v>12709.183796017414</v>
      </c>
      <c r="O29" s="126">
        <f t="shared" si="47"/>
        <v>12889.547216651858</v>
      </c>
      <c r="P29" s="126">
        <f t="shared" si="47"/>
        <v>13192.303365978025</v>
      </c>
      <c r="Q29" s="126">
        <f t="shared" si="47"/>
        <v>13142.846006640648</v>
      </c>
      <c r="R29" s="126">
        <f t="shared" si="47"/>
        <v>12460.641850979144</v>
      </c>
      <c r="S29" s="126">
        <f t="shared" si="47"/>
        <v>12790.468840496389</v>
      </c>
      <c r="T29" s="126">
        <f t="shared" si="47"/>
        <v>13413.795157943439</v>
      </c>
      <c r="U29" s="126">
        <f t="shared" si="47"/>
        <v>13717.184174206219</v>
      </c>
      <c r="V29" s="126">
        <f t="shared" ref="V29:BH29" si="48">SUM(V30:V32)</f>
        <v>13318.908640353779</v>
      </c>
      <c r="W29" s="126">
        <f t="shared" si="48"/>
        <v>13797.387695610571</v>
      </c>
      <c r="X29" s="126">
        <f t="shared" si="48"/>
        <v>14555.313602786575</v>
      </c>
      <c r="Y29" s="126">
        <f t="shared" si="48"/>
        <v>14892.101930289749</v>
      </c>
      <c r="Z29" s="126">
        <f t="shared" si="48"/>
        <v>14401.995745433496</v>
      </c>
      <c r="AA29" s="126">
        <f t="shared" si="48"/>
        <v>14684.13627936326</v>
      </c>
      <c r="AB29" s="126">
        <f t="shared" si="48"/>
        <v>15044.918512097509</v>
      </c>
      <c r="AC29" s="126">
        <f t="shared" si="48"/>
        <v>15249.05568589768</v>
      </c>
      <c r="AD29" s="126">
        <f t="shared" si="48"/>
        <v>14230.595074935602</v>
      </c>
      <c r="AE29" s="126">
        <f t="shared" si="48"/>
        <v>14750.126217680423</v>
      </c>
      <c r="AF29" s="126">
        <f t="shared" si="48"/>
        <v>15473.232011708644</v>
      </c>
      <c r="AG29" s="126">
        <f t="shared" si="48"/>
        <v>15535.983508346006</v>
      </c>
      <c r="AH29" s="126">
        <f t="shared" si="48"/>
        <v>14433.909439337387</v>
      </c>
      <c r="AI29" s="126">
        <f t="shared" si="48"/>
        <v>14521.496006347617</v>
      </c>
      <c r="AJ29" s="126">
        <f t="shared" si="48"/>
        <v>15111.764893220619</v>
      </c>
      <c r="AK29" s="126">
        <f t="shared" si="48"/>
        <v>15026.595086205592</v>
      </c>
      <c r="AL29" s="126">
        <f t="shared" si="48"/>
        <v>14794.521220401211</v>
      </c>
      <c r="AM29" s="126">
        <f t="shared" si="48"/>
        <v>15219.597864474688</v>
      </c>
      <c r="AN29" s="126">
        <f t="shared" si="48"/>
        <v>16101.326822665749</v>
      </c>
      <c r="AO29" s="126">
        <f t="shared" si="48"/>
        <v>16102.270427893323</v>
      </c>
      <c r="AP29" s="126">
        <f t="shared" si="48"/>
        <v>15477.932944881053</v>
      </c>
      <c r="AQ29" s="126">
        <f t="shared" si="48"/>
        <v>16381.608674277988</v>
      </c>
      <c r="AR29" s="126">
        <f t="shared" si="48"/>
        <v>17286.608888380248</v>
      </c>
      <c r="AS29" s="126">
        <f t="shared" si="48"/>
        <v>17300.654893544423</v>
      </c>
      <c r="AT29" s="126">
        <f t="shared" si="48"/>
        <v>16458.907193224401</v>
      </c>
      <c r="AU29" s="126">
        <f t="shared" si="48"/>
        <v>17219.623296064758</v>
      </c>
      <c r="AV29" s="126">
        <f t="shared" si="48"/>
        <v>18189.28472777985</v>
      </c>
      <c r="AW29" s="126">
        <f t="shared" si="48"/>
        <v>18523.672084596939</v>
      </c>
      <c r="AX29" s="126">
        <f t="shared" si="48"/>
        <v>17681.197877129329</v>
      </c>
      <c r="AY29" s="126">
        <f t="shared" si="48"/>
        <v>18270.820705280741</v>
      </c>
      <c r="AZ29" s="126">
        <f t="shared" si="48"/>
        <v>18980.699468011662</v>
      </c>
      <c r="BA29" s="126">
        <f t="shared" si="48"/>
        <v>19636.106261480767</v>
      </c>
      <c r="BB29" s="126">
        <f t="shared" si="48"/>
        <v>18202.299058595163</v>
      </c>
      <c r="BC29" s="126">
        <f t="shared" si="48"/>
        <v>19376.429941112707</v>
      </c>
      <c r="BD29" s="126">
        <f t="shared" si="48"/>
        <v>19864.183153656126</v>
      </c>
      <c r="BE29" s="126">
        <f t="shared" si="48"/>
        <v>19057.512356504223</v>
      </c>
      <c r="BF29" s="126">
        <f t="shared" si="48"/>
        <v>16851.83486912827</v>
      </c>
      <c r="BG29" s="126">
        <f t="shared" si="48"/>
        <v>17144.484675102616</v>
      </c>
      <c r="BH29" s="126">
        <f t="shared" si="48"/>
        <v>18173.063042724443</v>
      </c>
      <c r="BI29" s="126">
        <f t="shared" ref="BI29:BN29" si="49">SUM(BI30:BI32)</f>
        <v>18472.659937782613</v>
      </c>
      <c r="BJ29" s="126">
        <f t="shared" si="49"/>
        <v>17562.770125509793</v>
      </c>
      <c r="BK29" s="126">
        <f t="shared" si="49"/>
        <v>18497.593416232852</v>
      </c>
      <c r="BL29" s="126">
        <f t="shared" si="49"/>
        <v>19065.075816492663</v>
      </c>
      <c r="BM29" s="126">
        <f t="shared" si="49"/>
        <v>19172.180785341381</v>
      </c>
      <c r="BN29" s="126">
        <f t="shared" si="49"/>
        <v>18410.773449708657</v>
      </c>
      <c r="BO29" s="126">
        <f t="shared" ref="BO29:BQ29" si="50">SUM(BO30:BO32)</f>
        <v>18818.408152186723</v>
      </c>
      <c r="BP29" s="126">
        <f t="shared" si="50"/>
        <v>19461.952079181341</v>
      </c>
      <c r="BQ29" s="126">
        <f t="shared" si="50"/>
        <v>19681.932605795628</v>
      </c>
      <c r="BR29" s="376">
        <f t="shared" ref="BR29:BX29" si="51">SUM(BR30:BR32)</f>
        <v>18517.774682657291</v>
      </c>
      <c r="BS29" s="376">
        <f t="shared" si="51"/>
        <v>19116.542590403886</v>
      </c>
      <c r="BT29" s="376">
        <f t="shared" si="51"/>
        <v>19833.604094724396</v>
      </c>
      <c r="BU29" s="376">
        <f t="shared" ref="BU29:BW29" si="52">SUM(BU30:BU32)</f>
        <v>20249.737727231073</v>
      </c>
      <c r="BV29" s="376">
        <f t="shared" si="52"/>
        <v>18478.77665115444</v>
      </c>
      <c r="BW29" s="376">
        <f t="shared" si="52"/>
        <v>19561.946041230185</v>
      </c>
      <c r="BX29" s="376">
        <f t="shared" si="51"/>
        <v>19838.49519545363</v>
      </c>
      <c r="BY29" s="376">
        <f t="shared" ref="BY29" si="53">SUM(BY30:BY32)</f>
        <v>20530.824375843273</v>
      </c>
    </row>
    <row r="30" spans="1:77">
      <c r="A30" s="146" t="s">
        <v>4</v>
      </c>
      <c r="B30" s="147">
        <f>B10*Annual!$B49/100</f>
        <v>9836.9662094794257</v>
      </c>
      <c r="C30" s="148">
        <f>C10*Annual!$B49/100</f>
        <v>10025.491802105702</v>
      </c>
      <c r="D30" s="148">
        <f>D10*Annual!$B49/100</f>
        <v>10734.607488465801</v>
      </c>
      <c r="E30" s="148">
        <f>E10*Annual!$B49/100</f>
        <v>10609.534044523118</v>
      </c>
      <c r="F30" s="148">
        <f>F10*Annual!$C49/100</f>
        <v>10095.384661662802</v>
      </c>
      <c r="G30" s="148">
        <f>G10*Annual!$C49/100</f>
        <v>10178.110397109029</v>
      </c>
      <c r="H30" s="148">
        <f>H10*Annual!$C49/100</f>
        <v>10818.949828198804</v>
      </c>
      <c r="I30" s="148">
        <f>I10*Annual!$C49/100</f>
        <v>10834.440563868515</v>
      </c>
      <c r="J30" s="148">
        <f>J10*Annual!$D49/100</f>
        <v>10259.130562231561</v>
      </c>
      <c r="K30" s="148">
        <f>K10*Annual!$D49/100</f>
        <v>10611.482569227159</v>
      </c>
      <c r="L30" s="148">
        <f>L10*Annual!$D49/100</f>
        <v>11125.425431128422</v>
      </c>
      <c r="M30" s="148">
        <f>M10*Annual!$D49/100</f>
        <v>11042.321562891222</v>
      </c>
      <c r="N30" s="148">
        <f>N10*Annual!$E49/100</f>
        <v>10433.08196270436</v>
      </c>
      <c r="O30" s="148">
        <f>O10*Annual!$E49/100</f>
        <v>10611.887259995365</v>
      </c>
      <c r="P30" s="148">
        <f>P10*Annual!$E49/100</f>
        <v>10935.096198517336</v>
      </c>
      <c r="Q30" s="148">
        <f>Q10*Annual!$E49/100</f>
        <v>10864.551242376205</v>
      </c>
      <c r="R30" s="148">
        <f>R10*Annual!$F49/100</f>
        <v>10314.718965265145</v>
      </c>
      <c r="S30" s="148">
        <f>S10*Annual!$F49/100</f>
        <v>10584.729462384797</v>
      </c>
      <c r="T30" s="148">
        <f>T10*Annual!$F49/100</f>
        <v>11187.909990821507</v>
      </c>
      <c r="U30" s="148">
        <f>U10*Annual!$F49/100</f>
        <v>11444.150720041729</v>
      </c>
      <c r="V30" s="148">
        <f>V10*Annual!$G49/100</f>
        <v>11093.741985681716</v>
      </c>
      <c r="W30" s="148">
        <f>W10*Annual!$G49/100</f>
        <v>11487.949490033958</v>
      </c>
      <c r="X30" s="148">
        <f>X10*Annual!$G49/100</f>
        <v>12190.708213366843</v>
      </c>
      <c r="Y30" s="148">
        <f>Y10*Annual!$G49/100</f>
        <v>12498.443900918777</v>
      </c>
      <c r="Z30" s="148">
        <f>Z10*Annual!H49/100</f>
        <v>11780.412638037424</v>
      </c>
      <c r="AA30" s="148">
        <f>AA10*Annual!H49/100</f>
        <v>12017.336134077083</v>
      </c>
      <c r="AB30" s="148">
        <f>AB10*Annual!H49/100</f>
        <v>12358.802652537388</v>
      </c>
      <c r="AC30" s="148">
        <f>AC10*Annual!H49/100</f>
        <v>12521.131273258654</v>
      </c>
      <c r="AD30" s="148">
        <f>AD10*Annual!$I49/100</f>
        <v>11817.286513154177</v>
      </c>
      <c r="AE30" s="148">
        <f>AE10*Annual!$I49/100</f>
        <v>12271.333688010118</v>
      </c>
      <c r="AF30" s="148">
        <f>AF10*Annual!$I49/100</f>
        <v>12925.195472341336</v>
      </c>
      <c r="AG30" s="148">
        <f>AG10*Annual!$I49/100</f>
        <v>12946.81878141416</v>
      </c>
      <c r="AH30" s="148">
        <f>AH10*Annual!$J49/100</f>
        <v>12111.764835825259</v>
      </c>
      <c r="AI30" s="148">
        <f>AI10*Annual!$J49/100</f>
        <v>12152.204785193624</v>
      </c>
      <c r="AJ30" s="148">
        <f>AJ10*Annual!$J49/100</f>
        <v>12680.478229047738</v>
      </c>
      <c r="AK30" s="148">
        <f>AK10*Annual!$J49/100</f>
        <v>12558.519855426301</v>
      </c>
      <c r="AL30" s="148">
        <f>AL10*Annual!$K49/100</f>
        <v>12319.816260017607</v>
      </c>
      <c r="AM30" s="148">
        <f>AM10*Annual!$K49/100</f>
        <v>12658.669630162947</v>
      </c>
      <c r="AN30" s="148">
        <f>AN10*Annual!$K49/100</f>
        <v>13440.050630410311</v>
      </c>
      <c r="AO30" s="148">
        <f>AO10*Annual!$K49/100</f>
        <v>13411.157803865002</v>
      </c>
      <c r="AP30" s="148">
        <f>AP10*Annual!$L49/100</f>
        <v>12760.173973580691</v>
      </c>
      <c r="AQ30" s="148">
        <f>AQ10*Annual!$L49/100</f>
        <v>13563.657935617211</v>
      </c>
      <c r="AR30" s="148">
        <f>AR10*Annual!$L49/100</f>
        <v>14381.307409314937</v>
      </c>
      <c r="AS30" s="148">
        <f>AS10*Annual!$L49/100</f>
        <v>14321.820755397344</v>
      </c>
      <c r="AT30" s="148">
        <f>AT10*Annual!$M49/100</f>
        <v>13597.925352449443</v>
      </c>
      <c r="AU30" s="148">
        <f>AU10*Annual!$M49/100</f>
        <v>14251.266924256657</v>
      </c>
      <c r="AV30" s="148">
        <f>AV10*Annual!$M49/100</f>
        <v>15119.102565201871</v>
      </c>
      <c r="AW30" s="148">
        <f>AW10*Annual!$M49/100</f>
        <v>15380.185304712913</v>
      </c>
      <c r="AX30" s="148">
        <f>AX10*Annual!$N49/100</f>
        <v>14553.980240985593</v>
      </c>
      <c r="AY30" s="148">
        <f>AY10*Annual!$N49/100</f>
        <v>15062.024291112357</v>
      </c>
      <c r="AZ30" s="148">
        <f>AZ10*Annual!$N49/100</f>
        <v>15665.538285658777</v>
      </c>
      <c r="BA30" s="148">
        <f>BA10*Annual!$N49/100</f>
        <v>16159.187754365283</v>
      </c>
      <c r="BB30" s="148">
        <f>BB10*Annual!$O49/100</f>
        <v>14962.262632884702</v>
      </c>
      <c r="BC30" s="148">
        <f>BC10*Annual!$O49/100</f>
        <v>16069.428268725116</v>
      </c>
      <c r="BD30" s="148">
        <f>BD10*Annual!$O49/100</f>
        <v>16399.428357415451</v>
      </c>
      <c r="BE30" s="148">
        <f>BE10*Annual!$O49/100</f>
        <v>15582.252120285113</v>
      </c>
      <c r="BF30" s="148">
        <f>BF10*Annual!P49/100</f>
        <v>13495.46850871835</v>
      </c>
      <c r="BG30" s="148">
        <f>BG10*Annual!P49/100</f>
        <v>13728.967851410645</v>
      </c>
      <c r="BH30" s="148">
        <f>BH10*Annual!P49/100</f>
        <v>14646.276524639032</v>
      </c>
      <c r="BI30" s="148">
        <f>BI10*Annual!P49/100</f>
        <v>14870.089204121872</v>
      </c>
      <c r="BJ30" s="148">
        <f>BJ10*Annual!Q49/100</f>
        <v>14108.457062356534</v>
      </c>
      <c r="BK30" s="148">
        <f>BK10*Annual!Q49/100</f>
        <v>15013.533137392056</v>
      </c>
      <c r="BL30" s="148">
        <f>BL10*Annual!Q49/100</f>
        <v>15520.925558442548</v>
      </c>
      <c r="BM30" s="148">
        <f>BM10*Annual!Q49/100</f>
        <v>15549.86130514799</v>
      </c>
      <c r="BN30" s="148">
        <f>BN10*Annual!$R49/100</f>
        <v>14934.2299745746</v>
      </c>
      <c r="BO30" s="148">
        <f>BO10*Annual!$R49/100</f>
        <v>15296.641794779956</v>
      </c>
      <c r="BP30" s="148">
        <f>BP10*Annual!$R49/100</f>
        <v>15890.484110001058</v>
      </c>
      <c r="BQ30" s="148">
        <f>BQ10*Annual!$R49/100</f>
        <v>16043.820259143264</v>
      </c>
      <c r="BR30" s="148">
        <f>BR10*Annual!$S49/100</f>
        <v>15039.168578056629</v>
      </c>
      <c r="BS30" s="148">
        <f>BS10*Annual!$S49/100</f>
        <v>15608.365849437158</v>
      </c>
      <c r="BT30" s="148">
        <f>BT10*Annual!$S49/100</f>
        <v>16248.223246530863</v>
      </c>
      <c r="BU30" s="148">
        <f>BU10*Annual!$S49/100</f>
        <v>16589.97887481541</v>
      </c>
      <c r="BV30" s="148">
        <f>BV10*Annual!$T49/100</f>
        <v>14993.74863283396</v>
      </c>
      <c r="BW30" s="148">
        <f>BW10*Annual!$T49/100</f>
        <v>16006.082643326055</v>
      </c>
      <c r="BX30" s="148">
        <f>BX10*Annual!$T49/100</f>
        <v>16188.996871536667</v>
      </c>
      <c r="BY30" s="148">
        <f>BY10*Annual!$U49/100</f>
        <v>16770.673686934308</v>
      </c>
    </row>
    <row r="31" spans="1:77">
      <c r="A31" s="146" t="s">
        <v>5</v>
      </c>
      <c r="B31" s="147">
        <f>B11*Annual!$B50/100</f>
        <v>1113.7649940139459</v>
      </c>
      <c r="C31" s="148">
        <f>C11*Annual!$B50/100</f>
        <v>1135.553250011164</v>
      </c>
      <c r="D31" s="148">
        <f>D11*Annual!$B50/100</f>
        <v>1153.9461143664714</v>
      </c>
      <c r="E31" s="148">
        <f>E11*Annual!$B50/100</f>
        <v>1092.0219635201549</v>
      </c>
      <c r="F31" s="148">
        <f>F11*Annual!$C50/100</f>
        <v>1137.9679118630045</v>
      </c>
      <c r="G31" s="148">
        <f>G11*Annual!$C50/100</f>
        <v>1212.4258184467469</v>
      </c>
      <c r="H31" s="148">
        <f>H11*Annual!$C50/100</f>
        <v>1313.1445229965589</v>
      </c>
      <c r="I31" s="148">
        <f>I11*Annual!$C50/100</f>
        <v>1329.5583935977943</v>
      </c>
      <c r="J31" s="148">
        <f>J11*Annual!$D50/100</f>
        <v>1256.5730603793761</v>
      </c>
      <c r="K31" s="148">
        <f>K11*Annual!$D50/100</f>
        <v>1303.1120960654632</v>
      </c>
      <c r="L31" s="148">
        <f>L11*Annual!$D50/100</f>
        <v>1319.7662897214725</v>
      </c>
      <c r="M31" s="148">
        <f>M11*Annual!$D50/100</f>
        <v>1285.5655584566566</v>
      </c>
      <c r="N31" s="148">
        <f>N11*Annual!$E50/100</f>
        <v>1191.8484240987698</v>
      </c>
      <c r="O31" s="148">
        <f>O11*Annual!$E50/100</f>
        <v>1220.6122003962755</v>
      </c>
      <c r="P31" s="148">
        <f>P11*Annual!$E50/100</f>
        <v>1229.4579096477312</v>
      </c>
      <c r="Q31" s="148">
        <f>Q11*Annual!$E50/100</f>
        <v>1207.4349639007444</v>
      </c>
      <c r="R31" s="148">
        <f>R11*Annual!$F50/100</f>
        <v>1149.9795870108526</v>
      </c>
      <c r="S31" s="148">
        <f>S11*Annual!$F50/100</f>
        <v>1210.9964843836635</v>
      </c>
      <c r="T31" s="148">
        <f>T11*Annual!$F50/100</f>
        <v>1246.747698019218</v>
      </c>
      <c r="U31" s="148">
        <f>U11*Annual!$F50/100</f>
        <v>1244.478807081932</v>
      </c>
      <c r="V31" s="148">
        <f>V11*Annual!$G50/100</f>
        <v>1228.5953308480575</v>
      </c>
      <c r="W31" s="148">
        <f>W11*Annual!$G50/100</f>
        <v>1290.0340788757142</v>
      </c>
      <c r="X31" s="148">
        <f>X11*Annual!$G50/100</f>
        <v>1333.3913007902697</v>
      </c>
      <c r="Y31" s="148">
        <f>Y11*Annual!$G50/100</f>
        <v>1284.8912804193453</v>
      </c>
      <c r="Z31" s="148">
        <f>Z11*Annual!H50/100</f>
        <v>1246.6998053635723</v>
      </c>
      <c r="AA31" s="148">
        <f>AA11*Annual!H50/100</f>
        <v>1280.5957367313897</v>
      </c>
      <c r="AB31" s="148">
        <f>AB11*Annual!H50/100</f>
        <v>1320.2893622941533</v>
      </c>
      <c r="AC31" s="148">
        <f>AC11*Annual!H50/100</f>
        <v>1281.3407022559572</v>
      </c>
      <c r="AD31" s="148">
        <f>AD11*Annual!$I50/100</f>
        <v>1341.9570068136659</v>
      </c>
      <c r="AE31" s="148">
        <f>AE11*Annual!$I50/100</f>
        <v>1406.3898939898909</v>
      </c>
      <c r="AF31" s="148">
        <f>AF11*Annual!$I50/100</f>
        <v>1454.1618262712839</v>
      </c>
      <c r="AG31" s="148">
        <f>AG11*Annual!$I50/100</f>
        <v>1424.116834150507</v>
      </c>
      <c r="AH31" s="148">
        <f>AH11*Annual!$J50/100</f>
        <v>1194.8662039125331</v>
      </c>
      <c r="AI31" s="148">
        <f>AI11*Annual!$J50/100</f>
        <v>1241.8667631973631</v>
      </c>
      <c r="AJ31" s="148">
        <f>AJ11*Annual!$J50/100</f>
        <v>1283.2679778742529</v>
      </c>
      <c r="AK31" s="148">
        <f>AK11*Annual!$J50/100</f>
        <v>1259.0041512398461</v>
      </c>
      <c r="AL31" s="148">
        <f>AL11*Annual!$K50/100</f>
        <v>1273.5463499393713</v>
      </c>
      <c r="AM31" s="148">
        <f>AM11*Annual!$K50/100</f>
        <v>1332.240936952538</v>
      </c>
      <c r="AN31" s="148">
        <f>AN11*Annual!$K50/100</f>
        <v>1386.0244138379319</v>
      </c>
      <c r="AO31" s="148">
        <f>AO11*Annual!$K50/100</f>
        <v>1351.5784330806409</v>
      </c>
      <c r="AP31" s="148">
        <f>AP11*Annual!$L50/100</f>
        <v>1355.5238927858256</v>
      </c>
      <c r="AQ31" s="148">
        <f>AQ11*Annual!$L50/100</f>
        <v>1417.3846916374898</v>
      </c>
      <c r="AR31" s="148">
        <f>AR11*Annual!$L50/100</f>
        <v>1456.0045883564776</v>
      </c>
      <c r="AS31" s="148">
        <f>AS11*Annual!$L50/100</f>
        <v>1462.3837677252388</v>
      </c>
      <c r="AT31" s="148">
        <f>AT11*Annual!$M50/100</f>
        <v>1391.9024058924419</v>
      </c>
      <c r="AU31" s="148">
        <f>AU11*Annual!$M50/100</f>
        <v>1462.5101444869067</v>
      </c>
      <c r="AV31" s="148">
        <f>AV11*Annual!$M50/100</f>
        <v>1511.2122627174303</v>
      </c>
      <c r="AW31" s="148">
        <f>AW11*Annual!$M50/100</f>
        <v>1513.5888158701221</v>
      </c>
      <c r="AX31" s="148">
        <f>AX11*Annual!$N50/100</f>
        <v>1441.2956427158151</v>
      </c>
      <c r="AY31" s="148">
        <f>AY11*Annual!$N50/100</f>
        <v>1504.2955776555325</v>
      </c>
      <c r="AZ31" s="148">
        <f>AZ11*Annual!$N50/100</f>
        <v>1570.9102629606434</v>
      </c>
      <c r="BA31" s="148">
        <f>BA11*Annual!$N50/100</f>
        <v>1558.6889641062173</v>
      </c>
      <c r="BB31" s="148">
        <f>BB11*Annual!$O50/100</f>
        <v>1387.3616550998877</v>
      </c>
      <c r="BC31" s="148">
        <f>BC11*Annual!$O50/100</f>
        <v>1431.6944800646722</v>
      </c>
      <c r="BD31" s="148">
        <f>BD11*Annual!$O50/100</f>
        <v>1542.3560316113849</v>
      </c>
      <c r="BE31" s="148">
        <f>BE11*Annual!$O50/100</f>
        <v>1469.3159973732495</v>
      </c>
      <c r="BF31" s="148">
        <f>BF11*Annual!P50/100</f>
        <v>1324.3397189527998</v>
      </c>
      <c r="BG31" s="148">
        <f>BG11*Annual!P50/100</f>
        <v>1380.3026621910401</v>
      </c>
      <c r="BH31" s="148">
        <f>BH11*Annual!P50/100</f>
        <v>1454.9158760806436</v>
      </c>
      <c r="BI31" s="148">
        <f>BI11*Annual!P50/100</f>
        <v>1442.7535159017102</v>
      </c>
      <c r="BJ31" s="148">
        <f>BJ11*Annual!Q50/100</f>
        <v>1346.6391384099725</v>
      </c>
      <c r="BK31" s="148">
        <f>BK11*Annual!Q50/100</f>
        <v>1399.337166012112</v>
      </c>
      <c r="BL31" s="148">
        <f>BL11*Annual!Q50/100</f>
        <v>1462.3508155290203</v>
      </c>
      <c r="BM31" s="148">
        <f>BM11*Annual!Q50/100</f>
        <v>1460.7184566265687</v>
      </c>
      <c r="BN31" s="148">
        <f>BN11*Annual!$R50/100</f>
        <v>1371.2526263562352</v>
      </c>
      <c r="BO31" s="148">
        <f>BO11*Annual!$R50/100</f>
        <v>1426.4295332649092</v>
      </c>
      <c r="BP31" s="148">
        <f>BP11*Annual!$R50/100</f>
        <v>1474.9600833165487</v>
      </c>
      <c r="BQ31" s="148">
        <f>BQ11*Annual!$R50/100</f>
        <v>1464.1592214665277</v>
      </c>
      <c r="BR31" s="148">
        <f>BR11*Annual!$S50/100</f>
        <v>1341.8474506215955</v>
      </c>
      <c r="BS31" s="148">
        <f>BS11*Annual!$S50/100</f>
        <v>1374.0583967110538</v>
      </c>
      <c r="BT31" s="148">
        <f>BT11*Annual!$S50/100</f>
        <v>1427.9397680478994</v>
      </c>
      <c r="BU31" s="148">
        <f>BU11*Annual!$S50/100</f>
        <v>1403.4587088712919</v>
      </c>
      <c r="BV31" s="148">
        <f>BV11*Annual!$T50/100</f>
        <v>1301.611132572561</v>
      </c>
      <c r="BW31" s="148">
        <f>BW11*Annual!$T50/100</f>
        <v>1370.8307983490668</v>
      </c>
      <c r="BX31" s="148">
        <f>BX11*Annual!$T50/100</f>
        <v>1436.7048234936581</v>
      </c>
      <c r="BY31" s="148">
        <f>BY11*Annual!$U50/100</f>
        <v>1399.2990505217267</v>
      </c>
    </row>
    <row r="32" spans="1:77">
      <c r="A32" s="149" t="s">
        <v>6</v>
      </c>
      <c r="B32" s="150">
        <f>B12*Annual!$B51/100</f>
        <v>1157.4083405222832</v>
      </c>
      <c r="C32" s="151">
        <f>C12*Annual!$B51/100</f>
        <v>1173.1515090592411</v>
      </c>
      <c r="D32" s="151">
        <f>D12*Annual!$B51/100</f>
        <v>1160.0322019451096</v>
      </c>
      <c r="E32" s="151">
        <f>E12*Annual!$B51/100</f>
        <v>1108.13831410848</v>
      </c>
      <c r="F32" s="151">
        <f>F12*Annual!$C51/100</f>
        <v>1136.5275174009707</v>
      </c>
      <c r="G32" s="151">
        <f>G12*Annual!$C51/100</f>
        <v>1150.0074718157935</v>
      </c>
      <c r="H32" s="151">
        <f>H12*Annual!$C51/100</f>
        <v>1140.1783347718147</v>
      </c>
      <c r="I32" s="151">
        <f>I12*Annual!$C51/100</f>
        <v>1092.4370103778506</v>
      </c>
      <c r="J32" s="151">
        <f>J12*Annual!$D51/100</f>
        <v>1184.2118681336613</v>
      </c>
      <c r="K32" s="151">
        <f>K12*Annual!$D51/100</f>
        <v>1191.3871291848561</v>
      </c>
      <c r="L32" s="151">
        <f>L12*Annual!$D51/100</f>
        <v>1177.3236601034544</v>
      </c>
      <c r="M32" s="151">
        <f>M12*Annual!$D51/100</f>
        <v>1224.6806669009413</v>
      </c>
      <c r="N32" s="151">
        <f>N12*Annual!$E51/100</f>
        <v>1084.2534092142844</v>
      </c>
      <c r="O32" s="151">
        <f>O12*Annual!$E51/100</f>
        <v>1057.0477562602166</v>
      </c>
      <c r="P32" s="151">
        <f>P12*Annual!$E51/100</f>
        <v>1027.749257812957</v>
      </c>
      <c r="Q32" s="151">
        <f>Q12*Annual!$E51/100</f>
        <v>1070.8598003636982</v>
      </c>
      <c r="R32" s="151">
        <f>R12*Annual!$F51/100</f>
        <v>995.94329870314641</v>
      </c>
      <c r="S32" s="151">
        <f>S12*Annual!$F51/100</f>
        <v>994.74289372792714</v>
      </c>
      <c r="T32" s="151">
        <f>T12*Annual!$F51/100</f>
        <v>979.13746910271323</v>
      </c>
      <c r="U32" s="151">
        <f>U12*Annual!$F51/100</f>
        <v>1028.5546470825573</v>
      </c>
      <c r="V32" s="151">
        <f>V12*Annual!$G51/100</f>
        <v>996.5713238240038</v>
      </c>
      <c r="W32" s="151">
        <f>W12*Annual!$G51/100</f>
        <v>1019.4041267008976</v>
      </c>
      <c r="X32" s="151">
        <f>X12*Annual!$G51/100</f>
        <v>1031.2140886294626</v>
      </c>
      <c r="Y32" s="151">
        <f>Y12*Annual!$G51/100</f>
        <v>1108.7667489516268</v>
      </c>
      <c r="Z32" s="151">
        <f>Z12*Annual!H51/100</f>
        <v>1374.8833020325008</v>
      </c>
      <c r="AA32" s="151">
        <f>AA12*Annual!H51/100</f>
        <v>1386.2044085547884</v>
      </c>
      <c r="AB32" s="151">
        <f>AB12*Annual!H51/100</f>
        <v>1365.8264972659679</v>
      </c>
      <c r="AC32" s="151">
        <f>AC12*Annual!H51/100</f>
        <v>1446.5837103830697</v>
      </c>
      <c r="AD32" s="151">
        <f>AD12*Annual!$I51/100</f>
        <v>1071.35155496776</v>
      </c>
      <c r="AE32" s="151">
        <f>AE12*Annual!$I51/100</f>
        <v>1072.4026356804125</v>
      </c>
      <c r="AF32" s="151">
        <f>AF12*Annual!$I51/100</f>
        <v>1093.8747130960242</v>
      </c>
      <c r="AG32" s="151">
        <f>AG12*Annual!$I51/100</f>
        <v>1165.0478927813385</v>
      </c>
      <c r="AH32" s="151">
        <f>AH12*Annual!$J51/100</f>
        <v>1127.2783995995949</v>
      </c>
      <c r="AI32" s="151">
        <f>AI12*Annual!$J51/100</f>
        <v>1127.4244579566302</v>
      </c>
      <c r="AJ32" s="151">
        <f>AJ12*Annual!$J51/100</f>
        <v>1148.0186862986286</v>
      </c>
      <c r="AK32" s="151">
        <f>AK12*Annual!$J51/100</f>
        <v>1209.0710795394461</v>
      </c>
      <c r="AL32" s="151">
        <f>AL12*Annual!$K51/100</f>
        <v>1201.1586104442315</v>
      </c>
      <c r="AM32" s="151">
        <f>AM12*Annual!$K51/100</f>
        <v>1228.6872973592035</v>
      </c>
      <c r="AN32" s="151">
        <f>AN12*Annual!$K51/100</f>
        <v>1275.2517784175072</v>
      </c>
      <c r="AO32" s="151">
        <f>AO12*Annual!$K51/100</f>
        <v>1339.5341909476815</v>
      </c>
      <c r="AP32" s="151">
        <f>AP12*Annual!$L51/100</f>
        <v>1362.2350785145345</v>
      </c>
      <c r="AQ32" s="151">
        <f>AQ12*Annual!$L51/100</f>
        <v>1400.5660470232867</v>
      </c>
      <c r="AR32" s="151">
        <f>AR12*Annual!$L51/100</f>
        <v>1449.2968907088323</v>
      </c>
      <c r="AS32" s="151">
        <f>AS12*Annual!$L51/100</f>
        <v>1516.4503704218403</v>
      </c>
      <c r="AT32" s="151">
        <f>AT12*Annual!$M51/100</f>
        <v>1469.0794348825157</v>
      </c>
      <c r="AU32" s="151">
        <f>AU12*Annual!$M51/100</f>
        <v>1505.8462273211951</v>
      </c>
      <c r="AV32" s="151">
        <f>AV12*Annual!$M51/100</f>
        <v>1558.9698998605472</v>
      </c>
      <c r="AW32" s="151">
        <f>AW12*Annual!$M51/100</f>
        <v>1629.8979640139055</v>
      </c>
      <c r="AX32" s="151">
        <f>AX12*Annual!$N51/100</f>
        <v>1685.9219934279222</v>
      </c>
      <c r="AY32" s="151">
        <f>AY12*Annual!$N51/100</f>
        <v>1704.5008365128533</v>
      </c>
      <c r="AZ32" s="151">
        <f>AZ12*Annual!$N51/100</f>
        <v>1744.2509193922406</v>
      </c>
      <c r="BA32" s="151">
        <f>BA12*Annual!$N51/100</f>
        <v>1918.2295430092686</v>
      </c>
      <c r="BB32" s="151">
        <f>BB12*Annual!$O51/100</f>
        <v>1852.6747706105737</v>
      </c>
      <c r="BC32" s="151">
        <f>BC12*Annual!$O51/100</f>
        <v>1875.3071923229184</v>
      </c>
      <c r="BD32" s="151">
        <f>BD12*Annual!$O51/100</f>
        <v>1922.398764629291</v>
      </c>
      <c r="BE32" s="151">
        <f>BE12*Annual!$O51/100</f>
        <v>2005.9442388458588</v>
      </c>
      <c r="BF32" s="377">
        <f>BF12*Annual!P51/100</f>
        <v>2032.0266414571195</v>
      </c>
      <c r="BG32" s="151">
        <f>BG12*Annual!P51/100</f>
        <v>2035.2141615009314</v>
      </c>
      <c r="BH32" s="151">
        <f>BH12*Annual!P51/100</f>
        <v>2071.8706420047683</v>
      </c>
      <c r="BI32" s="148">
        <f>BI12*Annual!P51/100</f>
        <v>2159.8172177590327</v>
      </c>
      <c r="BJ32" s="148">
        <f>BJ12*Annual!Q51/100</f>
        <v>2107.6739247432834</v>
      </c>
      <c r="BK32" s="148">
        <f>BK12*Annual!Q51/100</f>
        <v>2084.723112828684</v>
      </c>
      <c r="BL32" s="148">
        <f>BL12*Annual!Q51/100</f>
        <v>2081.7994425210914</v>
      </c>
      <c r="BM32" s="148">
        <f>BM12*Annual!Q51/100</f>
        <v>2161.6010235668232</v>
      </c>
      <c r="BN32" s="148">
        <f>BN12*Annual!$R51/100</f>
        <v>2105.29084877782</v>
      </c>
      <c r="BO32" s="148">
        <f>BO12*Annual!$R51/100</f>
        <v>2095.3368241418566</v>
      </c>
      <c r="BP32" s="148">
        <f>BP12*Annual!$R51/100</f>
        <v>2096.5078858637348</v>
      </c>
      <c r="BQ32" s="148">
        <f>BQ12*Annual!$R51/100</f>
        <v>2173.9531251858357</v>
      </c>
      <c r="BR32" s="148">
        <f>BR12*Annual!$S51/100</f>
        <v>2136.7586539790673</v>
      </c>
      <c r="BS32" s="148">
        <f>BS12*Annual!$S51/100</f>
        <v>2134.1183442556753</v>
      </c>
      <c r="BT32" s="148">
        <f>BT12*Annual!$S51/100</f>
        <v>2157.4410801456379</v>
      </c>
      <c r="BU32" s="148">
        <f>BU12*Annual!$S51/100</f>
        <v>2256.3001435443744</v>
      </c>
      <c r="BV32" s="148">
        <f>BV12*Annual!$T51/100</f>
        <v>2183.4168857479181</v>
      </c>
      <c r="BW32" s="148">
        <f>BW12*Annual!$T51/100</f>
        <v>2185.0325995550647</v>
      </c>
      <c r="BX32" s="148">
        <f>BX12*Annual!$T51/100</f>
        <v>2212.7935004233022</v>
      </c>
      <c r="BY32" s="148">
        <f>BY12*Annual!$U51/100</f>
        <v>2360.8516383872379</v>
      </c>
    </row>
    <row r="33" spans="1:83">
      <c r="A33" s="145" t="s">
        <v>7</v>
      </c>
      <c r="B33" s="125">
        <f t="shared" ref="B33:U33" si="54">SUM(B34:B38)</f>
        <v>24027.13966315204</v>
      </c>
      <c r="C33" s="126">
        <f t="shared" si="54"/>
        <v>24303.534954314437</v>
      </c>
      <c r="D33" s="126">
        <f t="shared" si="54"/>
        <v>25223.142910011302</v>
      </c>
      <c r="E33" s="126">
        <f t="shared" si="54"/>
        <v>26219.136720255141</v>
      </c>
      <c r="F33" s="126">
        <f t="shared" si="54"/>
        <v>25140.849212606005</v>
      </c>
      <c r="G33" s="126">
        <f t="shared" si="54"/>
        <v>25397.184579414807</v>
      </c>
      <c r="H33" s="126">
        <f t="shared" si="54"/>
        <v>26219.141084740011</v>
      </c>
      <c r="I33" s="126">
        <f t="shared" si="54"/>
        <v>27205.437205206508</v>
      </c>
      <c r="J33" s="126">
        <f t="shared" si="54"/>
        <v>25730.718163540056</v>
      </c>
      <c r="K33" s="126">
        <f t="shared" si="54"/>
        <v>25947.462653418937</v>
      </c>
      <c r="L33" s="126">
        <f t="shared" si="54"/>
        <v>26554.1785333191</v>
      </c>
      <c r="M33" s="126">
        <f t="shared" si="54"/>
        <v>27304.772849785288</v>
      </c>
      <c r="N33" s="126">
        <f t="shared" si="54"/>
        <v>26324.89512500519</v>
      </c>
      <c r="O33" s="126">
        <f t="shared" si="54"/>
        <v>26738.420527985472</v>
      </c>
      <c r="P33" s="126">
        <f t="shared" si="54"/>
        <v>27291.680905967369</v>
      </c>
      <c r="Q33" s="126">
        <f t="shared" si="54"/>
        <v>28081.212690748594</v>
      </c>
      <c r="R33" s="126">
        <f t="shared" si="54"/>
        <v>26901.326060130898</v>
      </c>
      <c r="S33" s="126">
        <f t="shared" si="54"/>
        <v>27443.955866807937</v>
      </c>
      <c r="T33" s="126">
        <f t="shared" si="54"/>
        <v>28247.245087439504</v>
      </c>
      <c r="U33" s="126">
        <f t="shared" si="54"/>
        <v>29319.188058873282</v>
      </c>
      <c r="V33" s="126">
        <f t="shared" ref="V33:BH33" si="55">SUM(V34:V38)</f>
        <v>27971.824129609362</v>
      </c>
      <c r="W33" s="126">
        <f t="shared" si="55"/>
        <v>28504.090701184046</v>
      </c>
      <c r="X33" s="126">
        <f t="shared" si="55"/>
        <v>29250.896810612932</v>
      </c>
      <c r="Y33" s="126">
        <f t="shared" si="55"/>
        <v>30320.060129505007</v>
      </c>
      <c r="Z33" s="126">
        <f t="shared" si="55"/>
        <v>29270.432658222438</v>
      </c>
      <c r="AA33" s="126">
        <f t="shared" si="55"/>
        <v>29767.005579953333</v>
      </c>
      <c r="AB33" s="126">
        <f t="shared" si="55"/>
        <v>30482.334392902521</v>
      </c>
      <c r="AC33" s="126">
        <f t="shared" si="55"/>
        <v>31724.265865850866</v>
      </c>
      <c r="AD33" s="126">
        <f t="shared" si="55"/>
        <v>30566.790216712267</v>
      </c>
      <c r="AE33" s="126">
        <f t="shared" si="55"/>
        <v>30985.139981527129</v>
      </c>
      <c r="AF33" s="126">
        <f t="shared" si="55"/>
        <v>31636.23140975798</v>
      </c>
      <c r="AG33" s="126">
        <f t="shared" si="55"/>
        <v>32910.636040350786</v>
      </c>
      <c r="AH33" s="126">
        <f t="shared" si="55"/>
        <v>31924.687281814277</v>
      </c>
      <c r="AI33" s="126">
        <f t="shared" si="55"/>
        <v>32356.874448100421</v>
      </c>
      <c r="AJ33" s="126">
        <f t="shared" si="55"/>
        <v>33188.341436895513</v>
      </c>
      <c r="AK33" s="126">
        <f t="shared" si="55"/>
        <v>34536.879327181829</v>
      </c>
      <c r="AL33" s="126">
        <f t="shared" si="55"/>
        <v>33180.851919067747</v>
      </c>
      <c r="AM33" s="126">
        <f t="shared" si="55"/>
        <v>33717.067035799591</v>
      </c>
      <c r="AN33" s="126">
        <f t="shared" si="55"/>
        <v>34591.514919983143</v>
      </c>
      <c r="AO33" s="126">
        <f t="shared" si="55"/>
        <v>36462.083581192812</v>
      </c>
      <c r="AP33" s="126">
        <f t="shared" si="55"/>
        <v>35507.07440220537</v>
      </c>
      <c r="AQ33" s="126">
        <f t="shared" si="55"/>
        <v>36036.18641561133</v>
      </c>
      <c r="AR33" s="126">
        <f t="shared" si="55"/>
        <v>36972.193772535153</v>
      </c>
      <c r="AS33" s="126">
        <f t="shared" si="55"/>
        <v>38780.627291480087</v>
      </c>
      <c r="AT33" s="126">
        <f t="shared" si="55"/>
        <v>37401.591998510594</v>
      </c>
      <c r="AU33" s="126">
        <f t="shared" si="55"/>
        <v>38058.865846182554</v>
      </c>
      <c r="AV33" s="126">
        <f t="shared" si="55"/>
        <v>39152.32192725948</v>
      </c>
      <c r="AW33" s="126">
        <f t="shared" si="55"/>
        <v>41159.320784043281</v>
      </c>
      <c r="AX33" s="126">
        <f t="shared" si="55"/>
        <v>39991.494827080693</v>
      </c>
      <c r="AY33" s="126">
        <f t="shared" si="55"/>
        <v>40429.234822929961</v>
      </c>
      <c r="AZ33" s="126">
        <f t="shared" si="55"/>
        <v>41500.589448947838</v>
      </c>
      <c r="BA33" s="126">
        <f t="shared" si="55"/>
        <v>43558.465544493192</v>
      </c>
      <c r="BB33" s="126">
        <f t="shared" si="55"/>
        <v>41966.486803144224</v>
      </c>
      <c r="BC33" s="126">
        <f t="shared" si="55"/>
        <v>42489.675966954448</v>
      </c>
      <c r="BD33" s="126">
        <f t="shared" si="55"/>
        <v>43290.379250321203</v>
      </c>
      <c r="BE33" s="126">
        <f t="shared" si="55"/>
        <v>45203.400991334347</v>
      </c>
      <c r="BF33" s="126">
        <f t="shared" si="55"/>
        <v>42960.743915073028</v>
      </c>
      <c r="BG33" s="126">
        <f t="shared" si="55"/>
        <v>43121.454281667269</v>
      </c>
      <c r="BH33" s="126">
        <f t="shared" si="55"/>
        <v>43854.265773810956</v>
      </c>
      <c r="BI33" s="350">
        <f t="shared" ref="BI33:BN33" si="56">SUM(BI34:BI38)</f>
        <v>45678.925942868402</v>
      </c>
      <c r="BJ33" s="350">
        <f t="shared" si="56"/>
        <v>43683.51474248591</v>
      </c>
      <c r="BK33" s="350">
        <f t="shared" si="56"/>
        <v>44344.22721783469</v>
      </c>
      <c r="BL33" s="350">
        <f t="shared" si="56"/>
        <v>45300.371727334721</v>
      </c>
      <c r="BM33" s="350">
        <f t="shared" si="56"/>
        <v>47394.421417182981</v>
      </c>
      <c r="BN33" s="350">
        <f t="shared" si="56"/>
        <v>45394.637805143844</v>
      </c>
      <c r="BO33" s="350">
        <f t="shared" ref="BO33:BQ33" si="57">SUM(BO34:BO38)</f>
        <v>46089.073189298077</v>
      </c>
      <c r="BP33" s="350">
        <f t="shared" si="57"/>
        <v>47192.750000191867</v>
      </c>
      <c r="BQ33" s="350">
        <f t="shared" si="57"/>
        <v>49559.320965775449</v>
      </c>
      <c r="BR33" s="350">
        <f t="shared" ref="BR33:BX33" si="58">SUM(BR34:BR38)</f>
        <v>47169.4562787947</v>
      </c>
      <c r="BS33" s="350">
        <f t="shared" si="58"/>
        <v>47650.929075937151</v>
      </c>
      <c r="BT33" s="350">
        <f t="shared" si="58"/>
        <v>48460.764740351617</v>
      </c>
      <c r="BU33" s="350">
        <f t="shared" ref="BU33:BW33" si="59">SUM(BU34:BU38)</f>
        <v>50697.501557420816</v>
      </c>
      <c r="BV33" s="350">
        <f t="shared" si="59"/>
        <v>48155.464592851276</v>
      </c>
      <c r="BW33" s="350">
        <f t="shared" si="59"/>
        <v>48876.799931695372</v>
      </c>
      <c r="BX33" s="350">
        <f t="shared" si="58"/>
        <v>49603.304987421754</v>
      </c>
      <c r="BY33" s="350">
        <f t="shared" ref="BY33" si="60">SUM(BY34:BY38)</f>
        <v>51586.112485145226</v>
      </c>
    </row>
    <row r="34" spans="1:83">
      <c r="A34" s="152" t="s">
        <v>8</v>
      </c>
      <c r="B34" s="147">
        <f>B14*Annual!$B53/100</f>
        <v>4878.3884508675364</v>
      </c>
      <c r="C34" s="148">
        <f>C14*Annual!$B53/100</f>
        <v>5004.5376435645112</v>
      </c>
      <c r="D34" s="148">
        <f>D14*Annual!$B53/100</f>
        <v>5337.5678786375374</v>
      </c>
      <c r="E34" s="148">
        <f>E14*Annual!$B53/100</f>
        <v>6135.348052085732</v>
      </c>
      <c r="F34" s="148">
        <f>F14*Annual!$C53/100</f>
        <v>5082.5904608834153</v>
      </c>
      <c r="G34" s="148">
        <f>G14*Annual!$C53/100</f>
        <v>5164.5759041383644</v>
      </c>
      <c r="H34" s="148">
        <f>H14*Annual!$C53/100</f>
        <v>5414.8874956520376</v>
      </c>
      <c r="I34" s="148">
        <f>I14*Annual!$C53/100</f>
        <v>6173.659502131828</v>
      </c>
      <c r="J34" s="148">
        <f>J14*Annual!$D53/100</f>
        <v>5198.1191784314706</v>
      </c>
      <c r="K34" s="148">
        <f>K14*Annual!$D53/100</f>
        <v>5231.9191000382207</v>
      </c>
      <c r="L34" s="148">
        <f>L14*Annual!$D53/100</f>
        <v>5432.7963592555889</v>
      </c>
      <c r="M34" s="148">
        <f>M14*Annual!$D53/100</f>
        <v>6093.8971956113146</v>
      </c>
      <c r="N34" s="148">
        <f>N14*Annual!$E53/100</f>
        <v>5179.0878422640453</v>
      </c>
      <c r="O34" s="148">
        <f>O14*Annual!$E53/100</f>
        <v>5292.9307603295065</v>
      </c>
      <c r="P34" s="148">
        <f>P14*Annual!$E53/100</f>
        <v>5488.3507603718117</v>
      </c>
      <c r="Q34" s="148">
        <f>Q14*Annual!$E53/100</f>
        <v>6189.7889156257033</v>
      </c>
      <c r="R34" s="148">
        <f>R14*Annual!$F53/100</f>
        <v>5385.492589650934</v>
      </c>
      <c r="S34" s="148">
        <f>S14*Annual!$F53/100</f>
        <v>5593.4588809949919</v>
      </c>
      <c r="T34" s="148">
        <f>T14*Annual!$F53/100</f>
        <v>5915.3182832187367</v>
      </c>
      <c r="U34" s="148">
        <f>U14*Annual!$F53/100</f>
        <v>6840.3860518015945</v>
      </c>
      <c r="V34" s="148">
        <f>V14*Annual!$G53/100</f>
        <v>5905.0989347054738</v>
      </c>
      <c r="W34" s="148">
        <f>W14*Annual!$G53/100</f>
        <v>6126.3742677953342</v>
      </c>
      <c r="X34" s="148">
        <f>X14*Annual!$G53/100</f>
        <v>6385.360262612212</v>
      </c>
      <c r="Y34" s="148">
        <f>Y14*Annual!$G53/100</f>
        <v>7274.5657672173147</v>
      </c>
      <c r="Z34" s="148">
        <f>Z14*Annual!H53/100</f>
        <v>6501.3525602262489</v>
      </c>
      <c r="AA34" s="148">
        <f>AA14*Annual!H53/100</f>
        <v>6634.8189027500757</v>
      </c>
      <c r="AB34" s="148">
        <f>AB14*Annual!H53/100</f>
        <v>6817.4304811086531</v>
      </c>
      <c r="AC34" s="148">
        <f>AC14*Annual!H53/100</f>
        <v>7744.7943490863099</v>
      </c>
      <c r="AD34" s="148">
        <f>AD14*Annual!$I53/100</f>
        <v>6592.5279575924415</v>
      </c>
      <c r="AE34" s="148">
        <f>AE14*Annual!$I53/100</f>
        <v>6755.3488757326477</v>
      </c>
      <c r="AF34" s="148">
        <f>AF14*Annual!$I53/100</f>
        <v>7013.4014903006164</v>
      </c>
      <c r="AG34" s="148">
        <f>AG14*Annual!$I53/100</f>
        <v>8015.6097504058671</v>
      </c>
      <c r="AH34" s="148">
        <f>AH14*Annual!$J53/100</f>
        <v>6753.6926841698987</v>
      </c>
      <c r="AI34" s="148">
        <f>AI14*Annual!$J53/100</f>
        <v>6934.0942031204622</v>
      </c>
      <c r="AJ34" s="148">
        <f>AJ14*Annual!$J53/100</f>
        <v>7314.0755192603092</v>
      </c>
      <c r="AK34" s="148">
        <f>AK14*Annual!$J53/100</f>
        <v>8359.2831897902743</v>
      </c>
      <c r="AL34" s="148">
        <f>AL14*Annual!$K53/100</f>
        <v>7062.2195530009749</v>
      </c>
      <c r="AM34" s="148">
        <f>AM14*Annual!$K53/100</f>
        <v>7271.7461707937564</v>
      </c>
      <c r="AN34" s="148">
        <f>AN14*Annual!$K53/100</f>
        <v>7602.6045039993896</v>
      </c>
      <c r="AO34" s="148">
        <f>AO14*Annual!$K53/100</f>
        <v>9020.8601018084355</v>
      </c>
      <c r="AP34" s="148">
        <f>AP14*Annual!$L53/100</f>
        <v>7557.1990046199271</v>
      </c>
      <c r="AQ34" s="148">
        <f>AQ14*Annual!$L53/100</f>
        <v>7730.775799549092</v>
      </c>
      <c r="AR34" s="148">
        <f>AR14*Annual!$L53/100</f>
        <v>8095.2363648706578</v>
      </c>
      <c r="AS34" s="148">
        <f>AS14*Annual!$L53/100</f>
        <v>9576.4700851814596</v>
      </c>
      <c r="AT34" s="148">
        <f>AT14*Annual!$M53/100</f>
        <v>7997.489831277856</v>
      </c>
      <c r="AU34" s="148">
        <f>AU14*Annual!$M53/100</f>
        <v>8230.6834781556572</v>
      </c>
      <c r="AV34" s="148">
        <f>AV14*Annual!$M53/100</f>
        <v>8640.8938453344399</v>
      </c>
      <c r="AW34" s="148">
        <f>AW14*Annual!$M53/100</f>
        <v>10200.949159818249</v>
      </c>
      <c r="AX34" s="148">
        <f>AX14*Annual!$N53/100</f>
        <v>8518.7708289368948</v>
      </c>
      <c r="AY34" s="148">
        <f>AY14*Annual!$N53/100</f>
        <v>8732.169790551925</v>
      </c>
      <c r="AZ34" s="148">
        <f>AZ14*Annual!$N53/100</f>
        <v>9138.5467605173908</v>
      </c>
      <c r="BA34" s="148">
        <f>BA14*Annual!$N53/100</f>
        <v>10641.69909540222</v>
      </c>
      <c r="BB34" s="148">
        <f>BB14*Annual!$O53/100</f>
        <v>8882.225479998413</v>
      </c>
      <c r="BC34" s="148">
        <f>BC14*Annual!$O53/100</f>
        <v>8909.7304935485554</v>
      </c>
      <c r="BD34" s="148">
        <f>BD14*Annual!$O53/100</f>
        <v>9047.0648262662962</v>
      </c>
      <c r="BE34" s="148">
        <f>BE14*Annual!$O53/100</f>
        <v>10584.068007891588</v>
      </c>
      <c r="BF34" s="148">
        <f>BF14*Annual!P53/100</f>
        <v>8885.2035130926979</v>
      </c>
      <c r="BG34" s="148">
        <f>BG14*Annual!P53/100</f>
        <v>8836.4313512114149</v>
      </c>
      <c r="BH34" s="148">
        <f>BH14*Annual!P53/100</f>
        <v>9153.0749410280932</v>
      </c>
      <c r="BI34" s="148">
        <f>BI14*Annual!P53/100</f>
        <v>10572.15328227735</v>
      </c>
      <c r="BJ34" s="148">
        <f>BJ14*Annual!Q53/100</f>
        <v>9008.1703689071401</v>
      </c>
      <c r="BK34" s="148">
        <f>BK14*Annual!Q53/100</f>
        <v>9195.6501708474025</v>
      </c>
      <c r="BL34" s="148">
        <f>BL14*Annual!Q53/100</f>
        <v>9611.4092675481934</v>
      </c>
      <c r="BM34" s="148">
        <f>BM14*Annual!Q53/100</f>
        <v>11193.014931888461</v>
      </c>
      <c r="BN34" s="148">
        <f>BN14*Annual!$R53/100</f>
        <v>9446.7715689461456</v>
      </c>
      <c r="BO34" s="148">
        <f>BO14*Annual!$R53/100</f>
        <v>9616.8066745844117</v>
      </c>
      <c r="BP34" s="148">
        <f>BP14*Annual!$R53/100</f>
        <v>10098.882970942081</v>
      </c>
      <c r="BQ34" s="148">
        <f>BQ14*Annual!$R53/100</f>
        <v>11829.767934929663</v>
      </c>
      <c r="BR34" s="148">
        <f>BR14*Annual!$S53/100</f>
        <v>9884.8190428820126</v>
      </c>
      <c r="BS34" s="148">
        <f>BS14*Annual!$S53/100</f>
        <v>10008.587744793154</v>
      </c>
      <c r="BT34" s="148">
        <f>BT14*Annual!$S53/100</f>
        <v>10441.371457562142</v>
      </c>
      <c r="BU34" s="148">
        <f>BU14*Annual!$S53/100</f>
        <v>12189.787659240743</v>
      </c>
      <c r="BV34" s="148">
        <f>BV14*Annual!$T53/100</f>
        <v>10170.580512844364</v>
      </c>
      <c r="BW34" s="148">
        <f>BW14*Annual!$T53/100</f>
        <v>10316.926184482883</v>
      </c>
      <c r="BX34" s="148">
        <f>BX14*Annual!$T53/100</f>
        <v>10720.46608445367</v>
      </c>
      <c r="BY34" s="148">
        <f>BY14*Annual!$U53/100</f>
        <v>12520.381078180699</v>
      </c>
    </row>
    <row r="35" spans="1:83">
      <c r="A35" s="152" t="s">
        <v>9</v>
      </c>
      <c r="B35" s="147">
        <f>B15*Annual!$B54/100</f>
        <v>4164.5879885981158</v>
      </c>
      <c r="C35" s="148">
        <f>C15*Annual!$B54/100</f>
        <v>4174.3851826567561</v>
      </c>
      <c r="D35" s="148">
        <f>D15*Annual!$B54/100</f>
        <v>4517.1937790462598</v>
      </c>
      <c r="E35" s="148">
        <f>E15*Annual!$B54/100</f>
        <v>4610.8554202251644</v>
      </c>
      <c r="F35" s="148">
        <f>F15*Annual!$C54/100</f>
        <v>4420.1489477820542</v>
      </c>
      <c r="G35" s="148">
        <f>G15*Annual!$C54/100</f>
        <v>4400.1908328527907</v>
      </c>
      <c r="H35" s="148">
        <f>H15*Annual!$C54/100</f>
        <v>4700.5673446467954</v>
      </c>
      <c r="I35" s="148">
        <f>I15*Annual!$C54/100</f>
        <v>4726.4027803172958</v>
      </c>
      <c r="J35" s="148">
        <f>J15*Annual!$D54/100</f>
        <v>4592.9037490926039</v>
      </c>
      <c r="K35" s="148">
        <f>K15*Annual!$D54/100</f>
        <v>4636.0241116134848</v>
      </c>
      <c r="L35" s="148">
        <f>L15*Annual!$D54/100</f>
        <v>4956.1410408916763</v>
      </c>
      <c r="M35" s="148">
        <f>M15*Annual!$D54/100</f>
        <v>5076.7700299897569</v>
      </c>
      <c r="N35" s="148">
        <f>N15*Annual!$E54/100</f>
        <v>4916.931059804122</v>
      </c>
      <c r="O35" s="148">
        <f>O15*Annual!$E54/100</f>
        <v>4936.8210524816914</v>
      </c>
      <c r="P35" s="148">
        <f>P15*Annual!$E54/100</f>
        <v>5110.7737552577528</v>
      </c>
      <c r="Q35" s="148">
        <f>Q15*Annual!$E54/100</f>
        <v>5169.6142403222912</v>
      </c>
      <c r="R35" s="148">
        <f>R15*Annual!$F54/100</f>
        <v>4948.3539728129099</v>
      </c>
      <c r="S35" s="148">
        <f>S15*Annual!$F54/100</f>
        <v>5061.082941561489</v>
      </c>
      <c r="T35" s="148">
        <f>T15*Annual!$F54/100</f>
        <v>5358.2804885513906</v>
      </c>
      <c r="U35" s="148">
        <f>U15*Annual!$F54/100</f>
        <v>5481.490002973148</v>
      </c>
      <c r="V35" s="148">
        <f>V15*Annual!$G54/100</f>
        <v>5294.2293377304613</v>
      </c>
      <c r="W35" s="148">
        <f>W15*Annual!$G54/100</f>
        <v>5429.6325054373629</v>
      </c>
      <c r="X35" s="148">
        <f>X15*Annual!$G54/100</f>
        <v>5698.2899951686268</v>
      </c>
      <c r="Y35" s="148">
        <f>Y15*Annual!$G54/100</f>
        <v>5772.7574224562522</v>
      </c>
      <c r="Z35" s="148">
        <f>Z15*Annual!H54/100</f>
        <v>5508.6364511591637</v>
      </c>
      <c r="AA35" s="148">
        <f>AA15*Annual!H54/100</f>
        <v>5613.3983521077143</v>
      </c>
      <c r="AB35" s="148">
        <f>AB15*Annual!H54/100</f>
        <v>5922.396656187545</v>
      </c>
      <c r="AC35" s="148">
        <f>AC15*Annual!H54/100</f>
        <v>6107.9231482519817</v>
      </c>
      <c r="AD35" s="148">
        <f>AD15*Annual!$I54/100</f>
        <v>6016.5290628444636</v>
      </c>
      <c r="AE35" s="148">
        <f>AE15*Annual!$I54/100</f>
        <v>6178.0557795251025</v>
      </c>
      <c r="AF35" s="148">
        <f>AF15*Annual!$I54/100</f>
        <v>6486.9948139367261</v>
      </c>
      <c r="AG35" s="148">
        <f>AG15*Annual!$I54/100</f>
        <v>6636.7097828558726</v>
      </c>
      <c r="AH35" s="148">
        <f>AH15*Annual!$J54/100</f>
        <v>6494.9979041163751</v>
      </c>
      <c r="AI35" s="148">
        <f>AI15*Annual!$J54/100</f>
        <v>6621.9806900885314</v>
      </c>
      <c r="AJ35" s="148">
        <f>AJ15*Annual!$J54/100</f>
        <v>6881.0942128154993</v>
      </c>
      <c r="AK35" s="148">
        <f>AK15*Annual!$J54/100</f>
        <v>7090.2297133608581</v>
      </c>
      <c r="AL35" s="148">
        <f>AL15*Annual!$K54/100</f>
        <v>6738.0702888610031</v>
      </c>
      <c r="AM35" s="148">
        <f>AM15*Annual!$K54/100</f>
        <v>6880.5833812845922</v>
      </c>
      <c r="AN35" s="148">
        <f>AN15*Annual!$K54/100</f>
        <v>7256.629922012502</v>
      </c>
      <c r="AO35" s="148">
        <f>AO15*Annual!$K54/100</f>
        <v>7426.2781909545247</v>
      </c>
      <c r="AP35" s="148">
        <f>AP15*Annual!$L54/100</f>
        <v>7162.3031080729188</v>
      </c>
      <c r="AQ35" s="148">
        <f>AQ15*Annual!$L54/100</f>
        <v>7314.8987709775865</v>
      </c>
      <c r="AR35" s="148">
        <f>AR15*Annual!$L54/100</f>
        <v>7669.9738339139276</v>
      </c>
      <c r="AS35" s="148">
        <f>AS15*Annual!$L54/100</f>
        <v>7828.5873539472313</v>
      </c>
      <c r="AT35" s="148">
        <f>AT15*Annual!$M54/100</f>
        <v>7498.2444314930071</v>
      </c>
      <c r="AU35" s="148">
        <f>AU15*Annual!$M54/100</f>
        <v>7680.8608836541543</v>
      </c>
      <c r="AV35" s="148">
        <f>AV15*Annual!$M54/100</f>
        <v>8128.4755325909573</v>
      </c>
      <c r="AW35" s="148">
        <f>AW15*Annual!$M54/100</f>
        <v>8226.9894726260627</v>
      </c>
      <c r="AX35" s="148">
        <f>AX15*Annual!$N54/100</f>
        <v>8082.2879189185196</v>
      </c>
      <c r="AY35" s="148">
        <f>AY15*Annual!$N54/100</f>
        <v>8263.4314673553672</v>
      </c>
      <c r="AZ35" s="148">
        <f>AZ15*Annual!$N54/100</f>
        <v>8646.9024159555647</v>
      </c>
      <c r="BA35" s="148">
        <f>BA15*Annual!$N54/100</f>
        <v>8791.0823047471858</v>
      </c>
      <c r="BB35" s="148">
        <f>BB15*Annual!$O54/100</f>
        <v>8450.3111565605432</v>
      </c>
      <c r="BC35" s="148">
        <f>BC15*Annual!$O54/100</f>
        <v>8615.1064202059351</v>
      </c>
      <c r="BD35" s="148">
        <f>BD15*Annual!$O54/100</f>
        <v>8997.8518893374403</v>
      </c>
      <c r="BE35" s="148">
        <f>BE15*Annual!$O54/100</f>
        <v>9135.5633207618012</v>
      </c>
      <c r="BF35" s="148">
        <f>BF15*Annual!P54/100</f>
        <v>8696.0081193437654</v>
      </c>
      <c r="BG35" s="148">
        <f>BG15*Annual!P54/100</f>
        <v>8739.6309141918082</v>
      </c>
      <c r="BH35" s="148">
        <f>BH15*Annual!P54/100</f>
        <v>9090.7980867818878</v>
      </c>
      <c r="BI35" s="148">
        <f>BI15*Annual!P54/100</f>
        <v>9232.868330053203</v>
      </c>
      <c r="BJ35" s="148">
        <f>BJ15*Annual!Q54/100</f>
        <v>8808.7405144219283</v>
      </c>
      <c r="BK35" s="148">
        <f>BK15*Annual!Q54/100</f>
        <v>8973.8098133366711</v>
      </c>
      <c r="BL35" s="148">
        <f>BL15*Annual!Q54/100</f>
        <v>9382.717296616569</v>
      </c>
      <c r="BM35" s="148">
        <f>BM15*Annual!Q54/100</f>
        <v>9550.612152907479</v>
      </c>
      <c r="BN35" s="148">
        <f>BN15*Annual!$R54/100</f>
        <v>9055.8208002151532</v>
      </c>
      <c r="BO35" s="148">
        <f>BO15*Annual!$R54/100</f>
        <v>9248.5368269948503</v>
      </c>
      <c r="BP35" s="148">
        <f>BP15*Annual!$R54/100</f>
        <v>9642.4869216676434</v>
      </c>
      <c r="BQ35" s="148">
        <f>BQ15*Annual!$R54/100</f>
        <v>9834.4978198447116</v>
      </c>
      <c r="BR35" s="148">
        <f>BR15*Annual!$S54/100</f>
        <v>9338.8921007701829</v>
      </c>
      <c r="BS35" s="148">
        <f>BS15*Annual!$S54/100</f>
        <v>9507.9678249067019</v>
      </c>
      <c r="BT35" s="148">
        <f>BT15*Annual!$S54/100</f>
        <v>9867.3630584896982</v>
      </c>
      <c r="BU35" s="148">
        <f>BU15*Annual!$S54/100</f>
        <v>10035.522996357178</v>
      </c>
      <c r="BV35" s="148">
        <f>BV15*Annual!$T54/100</f>
        <v>9490.8743010439866</v>
      </c>
      <c r="BW35" s="148">
        <f>BW15*Annual!$T54/100</f>
        <v>9656.0243997469861</v>
      </c>
      <c r="BX35" s="148">
        <f>BX15*Annual!$T54/100</f>
        <v>10050.515728320604</v>
      </c>
      <c r="BY35" s="148">
        <f>BY15*Annual!$U54/100</f>
        <v>10217.123343360981</v>
      </c>
    </row>
    <row r="36" spans="1:83">
      <c r="A36" s="152" t="s">
        <v>10</v>
      </c>
      <c r="B36" s="147">
        <f>B16*Annual!$B55/100</f>
        <v>5942.3933660467565</v>
      </c>
      <c r="C36" s="148">
        <f>C16*Annual!$B55/100</f>
        <v>6000.6079062490981</v>
      </c>
      <c r="D36" s="148">
        <f>D16*Annual!$B55/100</f>
        <v>6177.5694960750234</v>
      </c>
      <c r="E36" s="148">
        <f>E16*Annual!$B55/100</f>
        <v>6276.7534440379004</v>
      </c>
      <c r="F36" s="148">
        <f>F16*Annual!$C55/100</f>
        <v>6206.8500251531159</v>
      </c>
      <c r="G36" s="148">
        <f>G16*Annual!$C55/100</f>
        <v>6403.5830700696733</v>
      </c>
      <c r="H36" s="148">
        <f>H16*Annual!$C55/100</f>
        <v>6636.5163365172884</v>
      </c>
      <c r="I36" s="148">
        <f>I16*Annual!$C55/100</f>
        <v>6820.4794074935207</v>
      </c>
      <c r="J36" s="148">
        <f>J16*Annual!$D55/100</f>
        <v>6692.4326975834765</v>
      </c>
      <c r="K36" s="148">
        <f>K16*Annual!$D55/100</f>
        <v>6799.8125067593319</v>
      </c>
      <c r="L36" s="148">
        <f>L16*Annual!$D55/100</f>
        <v>6839.4540166234765</v>
      </c>
      <c r="M36" s="148">
        <f>M16*Annual!$D55/100</f>
        <v>6840.928402604387</v>
      </c>
      <c r="N36" s="148">
        <f>N16*Annual!$E55/100</f>
        <v>6759.3390017268212</v>
      </c>
      <c r="O36" s="148">
        <f>O16*Annual!$E55/100</f>
        <v>6952.3153547200855</v>
      </c>
      <c r="P36" s="148">
        <f>P16*Annual!$E55/100</f>
        <v>7051.6096750521901</v>
      </c>
      <c r="Q36" s="148">
        <f>Q16*Annual!$E55/100</f>
        <v>7068.8086211405698</v>
      </c>
      <c r="R36" s="148">
        <f>R16*Annual!$F55/100</f>
        <v>7175.6126619705892</v>
      </c>
      <c r="S36" s="148">
        <f>S16*Annual!$F55/100</f>
        <v>7349.7246638362376</v>
      </c>
      <c r="T36" s="148">
        <f>T16*Annual!$F55/100</f>
        <v>7473.9136893839341</v>
      </c>
      <c r="U36" s="148">
        <f>U16*Annual!$F55/100</f>
        <v>7525.3827038198406</v>
      </c>
      <c r="V36" s="148">
        <f>V16*Annual!$G55/100</f>
        <v>7290.2239584705185</v>
      </c>
      <c r="W36" s="148">
        <f>W16*Annual!$G55/100</f>
        <v>7402.0830863707233</v>
      </c>
      <c r="X36" s="148">
        <f>X16*Annual!$G55/100</f>
        <v>7529.2289392051644</v>
      </c>
      <c r="Y36" s="148">
        <f>Y16*Annual!$G55/100</f>
        <v>7655.4236793069986</v>
      </c>
      <c r="Z36" s="148">
        <f>Z16*Annual!H55/100</f>
        <v>7572.5351439085416</v>
      </c>
      <c r="AA36" s="148">
        <f>AA16*Annual!H55/100</f>
        <v>7824.4070059896785</v>
      </c>
      <c r="AB36" s="148">
        <f>AB16*Annual!H55/100</f>
        <v>8009.5898692385936</v>
      </c>
      <c r="AC36" s="148">
        <f>AC16*Annual!H55/100</f>
        <v>8173.4365631984283</v>
      </c>
      <c r="AD36" s="148">
        <f>AD16*Annual!$I55/100</f>
        <v>8306.2849466584466</v>
      </c>
      <c r="AE36" s="148">
        <f>AE16*Annual!$I55/100</f>
        <v>8285.2472757934338</v>
      </c>
      <c r="AF36" s="148">
        <f>AF16*Annual!$I55/100</f>
        <v>8245.302331113031</v>
      </c>
      <c r="AG36" s="148">
        <f>AG16*Annual!$I55/100</f>
        <v>8339.4392507431803</v>
      </c>
      <c r="AH36" s="148">
        <f>AH16*Annual!$J55/100</f>
        <v>8745.9010694196404</v>
      </c>
      <c r="AI36" s="148">
        <f>AI16*Annual!$J55/100</f>
        <v>8696.3982471133222</v>
      </c>
      <c r="AJ36" s="148">
        <f>AJ16*Annual!$J55/100</f>
        <v>8736.2419821403601</v>
      </c>
      <c r="AK36" s="148">
        <f>AK16*Annual!$J55/100</f>
        <v>8852.1510294917407</v>
      </c>
      <c r="AL36" s="148">
        <f>AL16*Annual!$K55/100</f>
        <v>9306.4419032684018</v>
      </c>
      <c r="AM36" s="148">
        <f>AM16*Annual!$K55/100</f>
        <v>9318.938100219124</v>
      </c>
      <c r="AN36" s="148">
        <f>AN16*Annual!$K55/100</f>
        <v>9368.2510494762737</v>
      </c>
      <c r="AO36" s="148">
        <f>AO16*Annual!$K55/100</f>
        <v>9568.05583297868</v>
      </c>
      <c r="AP36" s="148">
        <f>AP16*Annual!$L55/100</f>
        <v>10284.193189458098</v>
      </c>
      <c r="AQ36" s="148">
        <f>AQ16*Annual!$L55/100</f>
        <v>10300.905033258643</v>
      </c>
      <c r="AR36" s="148">
        <f>AR16*Annual!$L55/100</f>
        <v>10394.794954694851</v>
      </c>
      <c r="AS36" s="148">
        <f>AS16*Annual!$L55/100</f>
        <v>10554.32348887164</v>
      </c>
      <c r="AT36" s="148">
        <f>AT16*Annual!$M55/100</f>
        <v>10948.45040100782</v>
      </c>
      <c r="AU36" s="148">
        <f>AU16*Annual!$M55/100</f>
        <v>11079.464579566</v>
      </c>
      <c r="AV36" s="148">
        <f>AV16*Annual!$M55/100</f>
        <v>11234.086160161532</v>
      </c>
      <c r="AW36" s="148">
        <f>AW16*Annual!$M55/100</f>
        <v>11468.089355794951</v>
      </c>
      <c r="AX36" s="148">
        <f>AX16*Annual!$N55/100</f>
        <v>11873.178565300779</v>
      </c>
      <c r="AY36" s="148">
        <f>AY16*Annual!$N55/100</f>
        <v>11821.184880489145</v>
      </c>
      <c r="AZ36" s="148">
        <f>AZ16*Annual!$N55/100</f>
        <v>12024.056791252842</v>
      </c>
      <c r="BA36" s="148">
        <f>BA16*Annual!$N55/100</f>
        <v>12482.759697575111</v>
      </c>
      <c r="BB36" s="148">
        <f>BB16*Annual!$O55/100</f>
        <v>12630.069267800187</v>
      </c>
      <c r="BC36" s="148">
        <f>BC16*Annual!$O55/100</f>
        <v>12806.356685334193</v>
      </c>
      <c r="BD36" s="148">
        <f>BD16*Annual!$O55/100</f>
        <v>12992.0240280578</v>
      </c>
      <c r="BE36" s="148">
        <f>BE16*Annual!$O55/100</f>
        <v>13332.322196333538</v>
      </c>
      <c r="BF36" s="148">
        <f>BF16*Annual!P55/100</f>
        <v>13088.054103518492</v>
      </c>
      <c r="BG36" s="148">
        <f>BG16*Annual!P55/100</f>
        <v>13077.091054452823</v>
      </c>
      <c r="BH36" s="148">
        <f>BH16*Annual!P55/100</f>
        <v>13090.566208697484</v>
      </c>
      <c r="BI36" s="148">
        <f>BI16*Annual!P55/100</f>
        <v>13343.997372058862</v>
      </c>
      <c r="BJ36" s="148">
        <f>BJ16*Annual!Q55/100</f>
        <v>13313.016757647158</v>
      </c>
      <c r="BK36" s="148">
        <f>BK16*Annual!Q55/100</f>
        <v>13405.212765964976</v>
      </c>
      <c r="BL36" s="148">
        <f>BL16*Annual!Q55/100</f>
        <v>13451.131238000091</v>
      </c>
      <c r="BM36" s="148">
        <f>BM16*Annual!Q55/100</f>
        <v>13716.532602402591</v>
      </c>
      <c r="BN36" s="148">
        <f>BN16*Annual!$R55/100</f>
        <v>13867.678569993728</v>
      </c>
      <c r="BO36" s="148">
        <f>BO16*Annual!$R55/100</f>
        <v>13978.693432726366</v>
      </c>
      <c r="BP36" s="148">
        <f>BP16*Annual!$R55/100</f>
        <v>14147.085010963179</v>
      </c>
      <c r="BQ36" s="148">
        <f>BQ16*Annual!$R55/100</f>
        <v>14486.116322875332</v>
      </c>
      <c r="BR36" s="148">
        <f>BR16*Annual!$S55/100</f>
        <v>14584.025829199418</v>
      </c>
      <c r="BS36" s="148">
        <f>BS16*Annual!$S55/100</f>
        <v>14522.114469811186</v>
      </c>
      <c r="BT36" s="148">
        <f>BT16*Annual!$S55/100</f>
        <v>14482.968722395308</v>
      </c>
      <c r="BU36" s="148">
        <f>BU16*Annual!$S55/100</f>
        <v>14778.77869888755</v>
      </c>
      <c r="BV36" s="148">
        <f>BV16*Annual!$T55/100</f>
        <v>14837.952193982672</v>
      </c>
      <c r="BW36" s="148">
        <f>BW16*Annual!$T55/100</f>
        <v>15055.521957143159</v>
      </c>
      <c r="BX36" s="148">
        <f>BX16*Annual!$T55/100</f>
        <v>14979.80323369331</v>
      </c>
      <c r="BY36" s="148">
        <f>BY16*Annual!$U55/100</f>
        <v>14951.044012126116</v>
      </c>
    </row>
    <row r="37" spans="1:83">
      <c r="A37" s="152" t="s">
        <v>11</v>
      </c>
      <c r="B37" s="147">
        <f>B17*Annual!$B56/100</f>
        <v>2539.1358914157549</v>
      </c>
      <c r="C37" s="148">
        <f>C17*Annual!$B56/100</f>
        <v>2610.9904502061227</v>
      </c>
      <c r="D37" s="148">
        <f>D17*Annual!$B56/100</f>
        <v>2657.434445308771</v>
      </c>
      <c r="E37" s="148">
        <f>E17*Annual!$B56/100</f>
        <v>2654.471333353973</v>
      </c>
      <c r="F37" s="148">
        <f>F17*Annual!$C56/100</f>
        <v>2684.1387051718257</v>
      </c>
      <c r="G37" s="148">
        <f>G17*Annual!$C56/100</f>
        <v>2673.5092017378215</v>
      </c>
      <c r="H37" s="148">
        <f>H17*Annual!$C56/100</f>
        <v>2687.5089648484195</v>
      </c>
      <c r="I37" s="148">
        <f>I17*Annual!$C56/100</f>
        <v>2688.8255781872549</v>
      </c>
      <c r="J37" s="148">
        <f>J17*Annual!$D56/100</f>
        <v>2657.6925875611701</v>
      </c>
      <c r="K37" s="148">
        <f>K17*Annual!$D56/100</f>
        <v>2687.8482378056879</v>
      </c>
      <c r="L37" s="148">
        <f>L17*Annual!$D56/100</f>
        <v>2709.8292668033737</v>
      </c>
      <c r="M37" s="148">
        <f>M17*Annual!$D56/100</f>
        <v>2667.6604901000014</v>
      </c>
      <c r="N37" s="148">
        <f>N17*Annual!$E56/100</f>
        <v>2743.0425795384444</v>
      </c>
      <c r="O37" s="148">
        <f>O17*Annual!$E56/100</f>
        <v>2822.9462369033195</v>
      </c>
      <c r="P37" s="148">
        <f>P17*Annual!$E56/100</f>
        <v>2908.4935142340655</v>
      </c>
      <c r="Q37" s="148">
        <f>Q17*Annual!$E56/100</f>
        <v>2915.5707256555138</v>
      </c>
      <c r="R37" s="148">
        <f>R17*Annual!$F56/100</f>
        <v>2895.8662251039482</v>
      </c>
      <c r="S37" s="148">
        <f>S17*Annual!$F56/100</f>
        <v>2932.9219923381402</v>
      </c>
      <c r="T37" s="148">
        <f>T17*Annual!$F56/100</f>
        <v>2996.5990256094028</v>
      </c>
      <c r="U37" s="148">
        <f>U17*Annual!$F56/100</f>
        <v>2985.618789422293</v>
      </c>
      <c r="V37" s="148">
        <f>V17*Annual!$G56/100</f>
        <v>3004.5741423454915</v>
      </c>
      <c r="W37" s="148">
        <f>W17*Annual!$G56/100</f>
        <v>3058.9504026390268</v>
      </c>
      <c r="X37" s="148">
        <f>X17*Annual!$G56/100</f>
        <v>3153.6761341593865</v>
      </c>
      <c r="Y37" s="148">
        <f>Y17*Annual!$G56/100</f>
        <v>3149.7876469921089</v>
      </c>
      <c r="Z37" s="148">
        <f>Z17*Annual!H56/100</f>
        <v>3128.2922761433078</v>
      </c>
      <c r="AA37" s="148">
        <f>AA17*Annual!H56/100</f>
        <v>3143.4590376182355</v>
      </c>
      <c r="AB37" s="148">
        <f>AB17*Annual!H56/100</f>
        <v>3205.0409598752008</v>
      </c>
      <c r="AC37" s="148">
        <f>AC17*Annual!H56/100</f>
        <v>3178.5153267240466</v>
      </c>
      <c r="AD37" s="148">
        <f>AD17*Annual!$I56/100</f>
        <v>3165.0154274380247</v>
      </c>
      <c r="AE37" s="148">
        <f>AE17*Annual!$I56/100</f>
        <v>3203.8316625519533</v>
      </c>
      <c r="AF37" s="148">
        <f>AF17*Annual!$I56/100</f>
        <v>3292.5163568870544</v>
      </c>
      <c r="AG37" s="148">
        <f>AG17*Annual!$I56/100</f>
        <v>3299.1219879449454</v>
      </c>
      <c r="AH37" s="148">
        <f>AH17*Annual!$J56/100</f>
        <v>3326.3820273522638</v>
      </c>
      <c r="AI37" s="148">
        <f>AI17*Annual!$J56/100</f>
        <v>3403.8157313580082</v>
      </c>
      <c r="AJ37" s="148">
        <f>AJ17*Annual!$J56/100</f>
        <v>3507.2240322770722</v>
      </c>
      <c r="AK37" s="148">
        <f>AK17*Annual!$J56/100</f>
        <v>3445.1463792766863</v>
      </c>
      <c r="AL37" s="148">
        <f>AL17*Annual!$K56/100</f>
        <v>3394.0137316177547</v>
      </c>
      <c r="AM37" s="148">
        <f>AM17*Annual!$K56/100</f>
        <v>3463.0979141423554</v>
      </c>
      <c r="AN37" s="148">
        <f>AN17*Annual!$K56/100</f>
        <v>3537.3781160715967</v>
      </c>
      <c r="AO37" s="148">
        <f>AO17*Annual!$K56/100</f>
        <v>3530.0252584235195</v>
      </c>
      <c r="AP37" s="148">
        <f>AP17*Annual!$L56/100</f>
        <v>3546.5332857860112</v>
      </c>
      <c r="AQ37" s="148">
        <f>AQ17*Annual!$L56/100</f>
        <v>3581.0332700281892</v>
      </c>
      <c r="AR37" s="148">
        <f>AR17*Annual!$L56/100</f>
        <v>3640.9200351278191</v>
      </c>
      <c r="AS37" s="148">
        <f>AS17*Annual!$L56/100</f>
        <v>3626.257541824893</v>
      </c>
      <c r="AT37" s="148">
        <f>AT17*Annual!$M56/100</f>
        <v>3754.2340808638005</v>
      </c>
      <c r="AU37" s="148">
        <f>AU17*Annual!$M56/100</f>
        <v>3774.9181174899636</v>
      </c>
      <c r="AV37" s="148">
        <f>AV17*Annual!$M56/100</f>
        <v>3807.9800028058007</v>
      </c>
      <c r="AW37" s="148">
        <f>AW17*Annual!$M56/100</f>
        <v>3821.3350500762372</v>
      </c>
      <c r="AX37" s="148">
        <f>AX17*Annual!$N56/100</f>
        <v>3997.2380690269138</v>
      </c>
      <c r="AY37" s="148">
        <f>AY17*Annual!$N56/100</f>
        <v>4044.1207635445171</v>
      </c>
      <c r="AZ37" s="148">
        <f>AZ17*Annual!$N56/100</f>
        <v>4043.4696150095506</v>
      </c>
      <c r="BA37" s="148">
        <f>BA17*Annual!$N56/100</f>
        <v>3908.5190811376988</v>
      </c>
      <c r="BB37" s="148">
        <f>BB17*Annual!$O56/100</f>
        <v>4162.0857458036644</v>
      </c>
      <c r="BC37" s="148">
        <f>BC17*Annual!$O56/100</f>
        <v>4227.9307826351351</v>
      </c>
      <c r="BD37" s="148">
        <f>BD17*Annual!$O56/100</f>
        <v>4200.2989478749523</v>
      </c>
      <c r="BE37" s="148">
        <f>BE17*Annual!$O56/100</f>
        <v>4005.9902604393019</v>
      </c>
      <c r="BF37" s="148">
        <f>BF17*Annual!P56/100</f>
        <v>4134.380197498961</v>
      </c>
      <c r="BG37" s="148">
        <f>BG17*Annual!P56/100</f>
        <v>4167.8124799191955</v>
      </c>
      <c r="BH37" s="148">
        <f>BH17*Annual!P56/100</f>
        <v>4171.4042683097186</v>
      </c>
      <c r="BI37" s="148">
        <f>BI17*Annual!P56/100</f>
        <v>4118.8968588981043</v>
      </c>
      <c r="BJ37" s="148">
        <f>BJ17*Annual!Q56/100</f>
        <v>4128.2708800516575</v>
      </c>
      <c r="BK37" s="148">
        <f>BK17*Annual!Q56/100</f>
        <v>4189.8170102886388</v>
      </c>
      <c r="BL37" s="148">
        <f>BL17*Annual!Q56/100</f>
        <v>4211.6536226394082</v>
      </c>
      <c r="BM37" s="148">
        <f>BM17*Annual!Q56/100</f>
        <v>4173.2651213114978</v>
      </c>
      <c r="BN37" s="148">
        <f>BN17*Annual!$R56/100</f>
        <v>4283.0729357855298</v>
      </c>
      <c r="BO37" s="148">
        <f>BO17*Annual!$R56/100</f>
        <v>4309.1273822231806</v>
      </c>
      <c r="BP37" s="148">
        <f>BP17*Annual!$R56/100</f>
        <v>4289.9346557714798</v>
      </c>
      <c r="BQ37" s="148">
        <f>BQ17*Annual!$R56/100</f>
        <v>4247.5849828790761</v>
      </c>
      <c r="BR37" s="148">
        <f>BR17*Annual!$S56/100</f>
        <v>4359.783114860661</v>
      </c>
      <c r="BS37" s="148">
        <f>BS17*Annual!$S56/100</f>
        <v>4446.5187445739812</v>
      </c>
      <c r="BT37" s="148">
        <f>BT17*Annual!$S56/100</f>
        <v>4419.8375079807874</v>
      </c>
      <c r="BU37" s="148">
        <f>BU17*Annual!$S56/100</f>
        <v>4290.2866231499429</v>
      </c>
      <c r="BV37" s="148">
        <f>BV17*Annual!$T56/100</f>
        <v>4454.153401775613</v>
      </c>
      <c r="BW37" s="148">
        <f>BW17*Annual!$T56/100</f>
        <v>4522.3630975091473</v>
      </c>
      <c r="BX37" s="148">
        <f>BX17*Annual!$T56/100</f>
        <v>4508.2629712252992</v>
      </c>
      <c r="BY37" s="148">
        <f>BY17*Annual!$U56/100</f>
        <v>4380.5581929810014</v>
      </c>
    </row>
    <row r="38" spans="1:83">
      <c r="A38" s="149" t="s">
        <v>12</v>
      </c>
      <c r="B38" s="150">
        <f>B18*Annual!$B57/100</f>
        <v>6502.6339662238806</v>
      </c>
      <c r="C38" s="151">
        <f>C18*Annual!$B57/100</f>
        <v>6513.0137716379495</v>
      </c>
      <c r="D38" s="151">
        <f>D18*Annual!$B57/100</f>
        <v>6533.3773109437079</v>
      </c>
      <c r="E38" s="151">
        <f>E18*Annual!$B57/100</f>
        <v>6541.7084705523694</v>
      </c>
      <c r="F38" s="151">
        <f>F18*Annual!$C57/100</f>
        <v>6747.1210736155908</v>
      </c>
      <c r="G38" s="151">
        <f>G18*Annual!$C57/100</f>
        <v>6755.325570616159</v>
      </c>
      <c r="H38" s="151">
        <f>H18*Annual!$C57/100</f>
        <v>6779.6609430754706</v>
      </c>
      <c r="I38" s="151">
        <f>I18*Annual!$C57/100</f>
        <v>6796.0699370766079</v>
      </c>
      <c r="J38" s="151">
        <f>J18*Annual!$D57/100</f>
        <v>6589.5699508713333</v>
      </c>
      <c r="K38" s="151">
        <f>K18*Annual!$D57/100</f>
        <v>6591.8586972022113</v>
      </c>
      <c r="L38" s="151">
        <f>L18*Annual!$D57/100</f>
        <v>6615.9578497449829</v>
      </c>
      <c r="M38" s="151">
        <f>M18*Annual!$D57/100</f>
        <v>6625.5167314798255</v>
      </c>
      <c r="N38" s="151">
        <f>N18*Annual!$E57/100</f>
        <v>6726.4946416717567</v>
      </c>
      <c r="O38" s="151">
        <f>O18*Annual!$E57/100</f>
        <v>6733.4071235508682</v>
      </c>
      <c r="P38" s="151">
        <f>P18*Annual!$E57/100</f>
        <v>6732.4532010515513</v>
      </c>
      <c r="Q38" s="151">
        <f>Q18*Annual!$E57/100</f>
        <v>6737.4301880045123</v>
      </c>
      <c r="R38" s="151">
        <f>R18*Annual!$F57/100</f>
        <v>6496.000610592514</v>
      </c>
      <c r="S38" s="151">
        <f>S18*Annual!$F57/100</f>
        <v>6506.7673880770772</v>
      </c>
      <c r="T38" s="151">
        <f>T18*Annual!$F57/100</f>
        <v>6503.1336006760366</v>
      </c>
      <c r="U38" s="151">
        <f>U18*Annual!$F57/100</f>
        <v>6486.3105108564068</v>
      </c>
      <c r="V38" s="151">
        <f>V18*Annual!$G57/100</f>
        <v>6477.6977563574155</v>
      </c>
      <c r="W38" s="151">
        <f>W18*Annual!$G57/100</f>
        <v>6487.0504389415964</v>
      </c>
      <c r="X38" s="151">
        <f>X18*Annual!$G57/100</f>
        <v>6484.34147946754</v>
      </c>
      <c r="Y38" s="151">
        <f>Y18*Annual!$G57/100</f>
        <v>6467.5256135323325</v>
      </c>
      <c r="Z38" s="151">
        <f>Z18*Annual!H57/100</f>
        <v>6559.6162267851769</v>
      </c>
      <c r="AA38" s="151">
        <f>AA18*Annual!H57/100</f>
        <v>6550.9222814876257</v>
      </c>
      <c r="AB38" s="151">
        <f>AB18*Annual!H57/100</f>
        <v>6527.8764264925303</v>
      </c>
      <c r="AC38" s="151">
        <f>AC18*Annual!H57/100</f>
        <v>6519.5964785901006</v>
      </c>
      <c r="AD38" s="151">
        <f>AD18*Annual!$I57/100</f>
        <v>6486.432822178891</v>
      </c>
      <c r="AE38" s="151">
        <f>AE18*Annual!$I57/100</f>
        <v>6562.656387923993</v>
      </c>
      <c r="AF38" s="151">
        <f>AF18*Annual!$I57/100</f>
        <v>6598.0164175205482</v>
      </c>
      <c r="AG38" s="151">
        <f>AG18*Annual!$I57/100</f>
        <v>6619.7552684009188</v>
      </c>
      <c r="AH38" s="151">
        <f>AH18*Annual!$J57/100</f>
        <v>6603.7135967560971</v>
      </c>
      <c r="AI38" s="151">
        <f>AI18*Annual!$J57/100</f>
        <v>6700.5855764200978</v>
      </c>
      <c r="AJ38" s="151">
        <f>AJ18*Annual!$J57/100</f>
        <v>6749.7056904022675</v>
      </c>
      <c r="AK38" s="151">
        <f>AK18*Annual!$J57/100</f>
        <v>6790.0690152622674</v>
      </c>
      <c r="AL38" s="151">
        <f>AL18*Annual!$K57/100</f>
        <v>6680.1064423196158</v>
      </c>
      <c r="AM38" s="151">
        <f>AM18*Annual!$K57/100</f>
        <v>6782.701469359763</v>
      </c>
      <c r="AN38" s="151">
        <f>AN18*Annual!$K57/100</f>
        <v>6826.6513284233806</v>
      </c>
      <c r="AO38" s="151">
        <f>AO18*Annual!$K57/100</f>
        <v>6916.8641970276485</v>
      </c>
      <c r="AP38" s="151">
        <f>AP18*Annual!$L57/100</f>
        <v>6956.8458142684112</v>
      </c>
      <c r="AQ38" s="151">
        <f>AQ18*Annual!$L57/100</f>
        <v>7108.5735417978185</v>
      </c>
      <c r="AR38" s="151">
        <f>AR18*Annual!$L57/100</f>
        <v>7171.2685839278947</v>
      </c>
      <c r="AS38" s="151">
        <f>AS18*Annual!$L57/100</f>
        <v>7194.9888216548643</v>
      </c>
      <c r="AT38" s="151">
        <f>AT18*Annual!$M57/100</f>
        <v>7203.1732538681117</v>
      </c>
      <c r="AU38" s="151">
        <f>AU18*Annual!$M57/100</f>
        <v>7292.9387873167816</v>
      </c>
      <c r="AV38" s="151">
        <f>AV18*Annual!$M57/100</f>
        <v>7340.886386366753</v>
      </c>
      <c r="AW38" s="151">
        <f>AW18*Annual!$M57/100</f>
        <v>7441.9577457277746</v>
      </c>
      <c r="AX38" s="151">
        <f>AX18*Annual!$N57/100</f>
        <v>7520.019444897589</v>
      </c>
      <c r="AY38" s="151">
        <f>AY18*Annual!$N57/100</f>
        <v>7568.3279209890088</v>
      </c>
      <c r="AZ38" s="151">
        <f>AZ18*Annual!$N57/100</f>
        <v>7647.6138662124959</v>
      </c>
      <c r="BA38" s="151">
        <f>BA18*Annual!$N57/100</f>
        <v>7734.405365630977</v>
      </c>
      <c r="BB38" s="151">
        <f>BB18*Annual!$O57/100</f>
        <v>7841.7951529814154</v>
      </c>
      <c r="BC38" s="151">
        <f>BC18*Annual!$O57/100</f>
        <v>7930.551585230628</v>
      </c>
      <c r="BD38" s="151">
        <f>BD18*Annual!$O57/100</f>
        <v>8053.139558784711</v>
      </c>
      <c r="BE38" s="151">
        <f>BE18*Annual!$O57/100</f>
        <v>8145.457205908122</v>
      </c>
      <c r="BF38" s="377">
        <f>BF18*Annual!P57/100</f>
        <v>8157.0979816191075</v>
      </c>
      <c r="BG38" s="151">
        <f>BG18*Annual!P57/100</f>
        <v>8300.4884818920254</v>
      </c>
      <c r="BH38" s="151">
        <f>BH18*Annual!P57/100</f>
        <v>8348.4222689937633</v>
      </c>
      <c r="BI38" s="151">
        <f>BI18*Annual!P57/100</f>
        <v>8411.0100995808916</v>
      </c>
      <c r="BJ38" s="148">
        <f>BJ18*Annual!Q57/100</f>
        <v>8425.3162214580279</v>
      </c>
      <c r="BK38" s="148">
        <f>BK18*Annual!Q57/100</f>
        <v>8579.7374573969973</v>
      </c>
      <c r="BL38" s="148">
        <f>BL18*Annual!Q57/100</f>
        <v>8643.4603025304586</v>
      </c>
      <c r="BM38" s="148">
        <f>BM18*Annual!Q57/100</f>
        <v>8760.9966086729528</v>
      </c>
      <c r="BN38" s="148">
        <f>BN18*Annual!$R57/100</f>
        <v>8741.2939302032919</v>
      </c>
      <c r="BO38" s="148">
        <f>BO18*Annual!$R57/100</f>
        <v>8935.9088727692633</v>
      </c>
      <c r="BP38" s="148">
        <f>BP18*Annual!$R57/100</f>
        <v>9014.3604408474839</v>
      </c>
      <c r="BQ38" s="148">
        <f>BQ18*Annual!$R57/100</f>
        <v>9161.3539052466767</v>
      </c>
      <c r="BR38" s="148">
        <f>BR18*Annual!$S57/100</f>
        <v>9001.9361910824227</v>
      </c>
      <c r="BS38" s="148">
        <f>BS18*Annual!$S57/100</f>
        <v>9165.7402918521348</v>
      </c>
      <c r="BT38" s="148">
        <f>BT18*Annual!$S57/100</f>
        <v>9249.2239939236842</v>
      </c>
      <c r="BU38" s="148">
        <f>BU18*Annual!$S57/100</f>
        <v>9403.1255797854028</v>
      </c>
      <c r="BV38" s="148">
        <f>BV18*Annual!$T57/100</f>
        <v>9201.904183204646</v>
      </c>
      <c r="BW38" s="148">
        <f>BW18*Annual!$T57/100</f>
        <v>9325.9642928131998</v>
      </c>
      <c r="BX38" s="148">
        <f>BX18*Annual!$T57/100</f>
        <v>9344.2569697288727</v>
      </c>
      <c r="BY38" s="148">
        <f>BY18*Annual!$U57/100</f>
        <v>9517.0058584964354</v>
      </c>
    </row>
    <row r="39" spans="1:83">
      <c r="A39" s="145" t="s">
        <v>13</v>
      </c>
      <c r="B39" s="125">
        <f t="shared" ref="B39:U39" si="61">B33+B29+B26</f>
        <v>38816.445714064132</v>
      </c>
      <c r="C39" s="126">
        <f t="shared" si="61"/>
        <v>40027.416243300991</v>
      </c>
      <c r="D39" s="126">
        <f t="shared" si="61"/>
        <v>41844.276978888221</v>
      </c>
      <c r="E39" s="126">
        <f t="shared" si="61"/>
        <v>42032.862882607173</v>
      </c>
      <c r="F39" s="126">
        <f t="shared" si="61"/>
        <v>40666.564858457459</v>
      </c>
      <c r="G39" s="126">
        <f t="shared" si="61"/>
        <v>43082.453133982497</v>
      </c>
      <c r="H39" s="126">
        <f t="shared" si="61"/>
        <v>43633.54575499444</v>
      </c>
      <c r="I39" s="126">
        <f t="shared" si="61"/>
        <v>43743.375925193628</v>
      </c>
      <c r="J39" s="126">
        <f t="shared" si="61"/>
        <v>41718.704145552198</v>
      </c>
      <c r="K39" s="126">
        <f t="shared" si="61"/>
        <v>44107.872096345571</v>
      </c>
      <c r="L39" s="126">
        <f t="shared" si="61"/>
        <v>44299.22156649307</v>
      </c>
      <c r="M39" s="126">
        <f t="shared" si="61"/>
        <v>44149.963633568645</v>
      </c>
      <c r="N39" s="126">
        <f t="shared" si="61"/>
        <v>42393.878644450953</v>
      </c>
      <c r="O39" s="126">
        <f t="shared" si="61"/>
        <v>44769.630627816048</v>
      </c>
      <c r="P39" s="126">
        <f t="shared" si="61"/>
        <v>44637.782907852357</v>
      </c>
      <c r="Q39" s="126">
        <f t="shared" si="61"/>
        <v>44329.297177685126</v>
      </c>
      <c r="R39" s="126">
        <f t="shared" si="61"/>
        <v>42302.107453582132</v>
      </c>
      <c r="S39" s="126">
        <f t="shared" si="61"/>
        <v>44999.09863590396</v>
      </c>
      <c r="T39" s="126">
        <f t="shared" si="61"/>
        <v>45336.27116480012</v>
      </c>
      <c r="U39" s="126">
        <f t="shared" si="61"/>
        <v>45478.066692712368</v>
      </c>
      <c r="V39" s="126">
        <f t="shared" ref="V39:BH39" si="62">V33+V29+V26</f>
        <v>43911.200162326539</v>
      </c>
      <c r="W39" s="126">
        <f t="shared" si="62"/>
        <v>46493.032406610393</v>
      </c>
      <c r="X39" s="126">
        <f t="shared" si="62"/>
        <v>48354.186111973395</v>
      </c>
      <c r="Y39" s="126">
        <f t="shared" si="62"/>
        <v>47912.010602393806</v>
      </c>
      <c r="Z39" s="126">
        <f t="shared" si="62"/>
        <v>46457.936107263056</v>
      </c>
      <c r="AA39" s="126">
        <f t="shared" si="62"/>
        <v>49186.882158996319</v>
      </c>
      <c r="AB39" s="126">
        <f t="shared" si="62"/>
        <v>49399.109511487091</v>
      </c>
      <c r="AC39" s="126">
        <f t="shared" si="62"/>
        <v>49384.757028608619</v>
      </c>
      <c r="AD39" s="126">
        <f t="shared" si="62"/>
        <v>47594.585192327257</v>
      </c>
      <c r="AE39" s="126">
        <f t="shared" si="62"/>
        <v>50645.245105702459</v>
      </c>
      <c r="AF39" s="126">
        <f t="shared" si="62"/>
        <v>50662.127316380444</v>
      </c>
      <c r="AG39" s="126">
        <f t="shared" si="62"/>
        <v>51006.033955392384</v>
      </c>
      <c r="AH39" s="126">
        <f t="shared" si="62"/>
        <v>49126.164703089715</v>
      </c>
      <c r="AI39" s="126">
        <f t="shared" si="62"/>
        <v>52464.694336651548</v>
      </c>
      <c r="AJ39" s="126">
        <f t="shared" si="62"/>
        <v>52170.726533868394</v>
      </c>
      <c r="AK39" s="126">
        <f t="shared" si="62"/>
        <v>51899.492850593</v>
      </c>
      <c r="AL39" s="126">
        <f t="shared" si="62"/>
        <v>50794.745729356771</v>
      </c>
      <c r="AM39" s="126">
        <f t="shared" si="62"/>
        <v>54088.866428497109</v>
      </c>
      <c r="AN39" s="126">
        <f t="shared" si="62"/>
        <v>54858.312181523288</v>
      </c>
      <c r="AO39" s="126">
        <f t="shared" si="62"/>
        <v>55097.681023312012</v>
      </c>
      <c r="AP39" s="126">
        <f t="shared" si="62"/>
        <v>53872.909340260841</v>
      </c>
      <c r="AQ39" s="126">
        <f t="shared" si="62"/>
        <v>56895.628129958706</v>
      </c>
      <c r="AR39" s="126">
        <f t="shared" si="62"/>
        <v>58344.165134396026</v>
      </c>
      <c r="AS39" s="126">
        <f t="shared" si="62"/>
        <v>58427.664438183267</v>
      </c>
      <c r="AT39" s="126">
        <f t="shared" si="62"/>
        <v>56771.476516569775</v>
      </c>
      <c r="AU39" s="126">
        <f t="shared" si="62"/>
        <v>59606.500790764301</v>
      </c>
      <c r="AV39" s="126">
        <f t="shared" si="62"/>
        <v>61275.815219756027</v>
      </c>
      <c r="AW39" s="126">
        <f t="shared" si="62"/>
        <v>62236.848826757232</v>
      </c>
      <c r="AX39" s="126">
        <f t="shared" si="62"/>
        <v>60720.279789076551</v>
      </c>
      <c r="AY39" s="126">
        <f t="shared" si="62"/>
        <v>63208.661143447331</v>
      </c>
      <c r="AZ39" s="126">
        <f t="shared" si="62"/>
        <v>64547.760160163765</v>
      </c>
      <c r="BA39" s="126">
        <f t="shared" si="62"/>
        <v>65802.76893266289</v>
      </c>
      <c r="BB39" s="126">
        <f t="shared" si="62"/>
        <v>63497.495343395931</v>
      </c>
      <c r="BC39" s="126">
        <f t="shared" si="62"/>
        <v>66873.150528175567</v>
      </c>
      <c r="BD39" s="126">
        <f t="shared" si="62"/>
        <v>67586.784444723991</v>
      </c>
      <c r="BE39" s="126">
        <f t="shared" si="62"/>
        <v>67019.403555524201</v>
      </c>
      <c r="BF39" s="126">
        <f t="shared" si="62"/>
        <v>62999.690718160018</v>
      </c>
      <c r="BG39" s="126">
        <f t="shared" si="62"/>
        <v>65009.344274323303</v>
      </c>
      <c r="BH39" s="126">
        <f t="shared" si="62"/>
        <v>66272.966306287679</v>
      </c>
      <c r="BI39" s="126">
        <f t="shared" ref="BI39:BN39" si="63">BI33+BI29+BI26</f>
        <v>66934.104848567164</v>
      </c>
      <c r="BJ39" s="350">
        <f t="shared" si="63"/>
        <v>64627.435471756296</v>
      </c>
      <c r="BK39" s="350">
        <f t="shared" si="63"/>
        <v>67788.874167178888</v>
      </c>
      <c r="BL39" s="350">
        <f t="shared" si="63"/>
        <v>68703.140046945511</v>
      </c>
      <c r="BM39" s="350">
        <f t="shared" si="63"/>
        <v>69438.681190089046</v>
      </c>
      <c r="BN39" s="350">
        <f t="shared" si="63"/>
        <v>67166.048544849808</v>
      </c>
      <c r="BO39" s="350">
        <f t="shared" ref="BO39:BQ39" si="64">BO33+BO29+BO26</f>
        <v>69935.374826830564</v>
      </c>
      <c r="BP39" s="350">
        <f t="shared" si="64"/>
        <v>71015.530752375154</v>
      </c>
      <c r="BQ39" s="350">
        <f t="shared" si="64"/>
        <v>72106.689969937041</v>
      </c>
      <c r="BR39" s="350">
        <f t="shared" ref="BR39:BX39" si="65">BR33+BR29+BR26</f>
        <v>69156.653384634439</v>
      </c>
      <c r="BS39" s="350">
        <f t="shared" si="65"/>
        <v>72112.168443601331</v>
      </c>
      <c r="BT39" s="350">
        <f t="shared" si="65"/>
        <v>72617.135858758658</v>
      </c>
      <c r="BU39" s="350">
        <f t="shared" ref="BU39:BW39" si="66">BU33+BU29+BU26</f>
        <v>73798.615874479437</v>
      </c>
      <c r="BV39" s="350">
        <f t="shared" si="66"/>
        <v>70277.361412092156</v>
      </c>
      <c r="BW39" s="350">
        <f t="shared" si="66"/>
        <v>74093.393641360366</v>
      </c>
      <c r="BX39" s="350">
        <f t="shared" si="65"/>
        <v>73708.822085397565</v>
      </c>
      <c r="BY39" s="350">
        <f t="shared" ref="BY39" si="67">BY33+BY29+BY26</f>
        <v>75018.445647351691</v>
      </c>
    </row>
    <row r="40" spans="1:83">
      <c r="A40" s="171" t="s">
        <v>14</v>
      </c>
      <c r="B40" s="147">
        <f>B20*Annual!$B59/100</f>
        <v>5353.1554534133465</v>
      </c>
      <c r="C40" s="148">
        <f>C20*Annual!$B59/100</f>
        <v>5354.0657317578989</v>
      </c>
      <c r="D40" s="148">
        <f>D20*Annual!$B59/100</f>
        <v>5400.8395041080876</v>
      </c>
      <c r="E40" s="148">
        <f>E20*Annual!$B59/100</f>
        <v>5422.6596890861274</v>
      </c>
      <c r="F40" s="148">
        <f>F20*Annual!$C59/100</f>
        <v>5577.6363608185065</v>
      </c>
      <c r="G40" s="148">
        <f>G20*Annual!$C59/100</f>
        <v>5637.3876842068394</v>
      </c>
      <c r="H40" s="148">
        <f>H20*Annual!$C59/100</f>
        <v>5688.6815817095048</v>
      </c>
      <c r="I40" s="148">
        <f>I20*Annual!$C59/100</f>
        <v>5758.0096552918103</v>
      </c>
      <c r="J40" s="148">
        <f>J20*Annual!$D59/100</f>
        <v>5793.9846752746043</v>
      </c>
      <c r="K40" s="148">
        <f>K20*Annual!$D59/100</f>
        <v>5810.8770922093563</v>
      </c>
      <c r="L40" s="148">
        <f>L20*Annual!$D59/100</f>
        <v>5836.3721372469308</v>
      </c>
      <c r="M40" s="148">
        <f>M20*Annual!$D59/100</f>
        <v>5845.785555790656</v>
      </c>
      <c r="N40" s="148">
        <f>N20*Annual!$E59/100</f>
        <v>5754.4619413417868</v>
      </c>
      <c r="O40" s="148">
        <f>O20*Annual!$E59/100</f>
        <v>5697.9268790583756</v>
      </c>
      <c r="P40" s="148">
        <f>P20*Annual!$E59/100</f>
        <v>5812.2303009927273</v>
      </c>
      <c r="Q40" s="148">
        <f>Q20*Annual!$E59/100</f>
        <v>5891.9490326285086</v>
      </c>
      <c r="R40" s="148">
        <f>R20*Annual!$F59/100</f>
        <v>5564.6651705635977</v>
      </c>
      <c r="S40" s="148">
        <f>S20*Annual!$F59/100</f>
        <v>5555.1849367768109</v>
      </c>
      <c r="T40" s="148">
        <f>T20*Annual!$F59/100</f>
        <v>5732.6073987373975</v>
      </c>
      <c r="U40" s="148">
        <f>U20*Annual!$F59/100</f>
        <v>5849.763811044877</v>
      </c>
      <c r="V40" s="148">
        <f>V20*Annual!$G59/100</f>
        <v>5690.3192643705361</v>
      </c>
      <c r="W40" s="148">
        <f>W20*Annual!$G59/100</f>
        <v>5699.6340428690128</v>
      </c>
      <c r="X40" s="148">
        <f>X20*Annual!$G59/100</f>
        <v>5886.8029717531208</v>
      </c>
      <c r="Y40" s="148">
        <f>Y20*Annual!$G59/100</f>
        <v>6003.9567796357605</v>
      </c>
      <c r="Z40" s="148">
        <f>Z20*Annual!H59/100</f>
        <v>6055.8494671624612</v>
      </c>
      <c r="AA40" s="148">
        <f>AA20*Annual!H59/100</f>
        <v>6061.46186238665</v>
      </c>
      <c r="AB40" s="148">
        <f>AB20*Annual!H59/100</f>
        <v>6239.9394643632722</v>
      </c>
      <c r="AC40" s="148">
        <f>AC20*Annual!H59/100</f>
        <v>6373.4162931111014</v>
      </c>
      <c r="AD40" s="148">
        <f>AD20*Annual!$I59/100</f>
        <v>5947.3393910458753</v>
      </c>
      <c r="AE40" s="148">
        <f>AE20*Annual!$I59/100</f>
        <v>6116.176819323734</v>
      </c>
      <c r="AF40" s="148">
        <f>AF20*Annual!$I59/100</f>
        <v>6231.9042216190428</v>
      </c>
      <c r="AG40" s="148">
        <f>AG20*Annual!$I59/100</f>
        <v>6319.601332423561</v>
      </c>
      <c r="AH40" s="148">
        <f>AH20*Annual!$J59/100</f>
        <v>6055.1300108260184</v>
      </c>
      <c r="AI40" s="148">
        <f>AI20*Annual!$J59/100</f>
        <v>6244.0130694512754</v>
      </c>
      <c r="AJ40" s="148">
        <f>AJ20*Annual!$J59/100</f>
        <v>6294.803788823875</v>
      </c>
      <c r="AK40" s="148">
        <f>AK20*Annual!$J59/100</f>
        <v>6427.0543839953398</v>
      </c>
      <c r="AL40" s="148">
        <f>AL20*Annual!$K59/100</f>
        <v>6243.6752318579156</v>
      </c>
      <c r="AM40" s="148">
        <f>AM20*Annual!$K59/100</f>
        <v>6514.3440329071127</v>
      </c>
      <c r="AN40" s="148">
        <f>AN20*Annual!$K59/100</f>
        <v>6647.8977176353337</v>
      </c>
      <c r="AO40" s="148">
        <f>AO20*Annual!$K59/100</f>
        <v>6809.4572053429274</v>
      </c>
      <c r="AP40" s="148">
        <f>AP20*Annual!$L59/100</f>
        <v>6559.3886738512238</v>
      </c>
      <c r="AQ40" s="148">
        <f>AQ20*Annual!$L59/100</f>
        <v>6827.8752723141042</v>
      </c>
      <c r="AR40" s="148">
        <f>AR20*Annual!$L59/100</f>
        <v>6951.6434041385282</v>
      </c>
      <c r="AS40" s="148">
        <f>AS20*Annual!$L59/100</f>
        <v>7060.1016759065469</v>
      </c>
      <c r="AT40" s="148">
        <f>AT20*Annual!$M59/100</f>
        <v>6910.585464571478</v>
      </c>
      <c r="AU40" s="148">
        <f>AU20*Annual!$M59/100</f>
        <v>7221.2914559133005</v>
      </c>
      <c r="AV40" s="148">
        <f>AV20*Annual!$M59/100</f>
        <v>7329.5946871810211</v>
      </c>
      <c r="AW40" s="148">
        <f>AW20*Annual!$M59/100</f>
        <v>7693.2417513332921</v>
      </c>
      <c r="AX40" s="148">
        <f>AX20*Annual!$N59/100</f>
        <v>7405.6253420058956</v>
      </c>
      <c r="AY40" s="148">
        <f>AY20*Annual!$N59/100</f>
        <v>7578.5036751797561</v>
      </c>
      <c r="AZ40" s="148">
        <f>AZ20*Annual!$N59/100</f>
        <v>7706.1924161472416</v>
      </c>
      <c r="BA40" s="148">
        <f>BA20*Annual!$N59/100</f>
        <v>7879.2315663752179</v>
      </c>
      <c r="BB40" s="148">
        <f>BB20*Annual!$O59/100</f>
        <v>7663.9132724979772</v>
      </c>
      <c r="BC40" s="148">
        <f>BC20*Annual!$O59/100</f>
        <v>7882.9604542771258</v>
      </c>
      <c r="BD40" s="148">
        <f>BD20*Annual!$O59/100</f>
        <v>7876.1957618986526</v>
      </c>
      <c r="BE40" s="148">
        <f>BE20*Annual!$O59/100</f>
        <v>7950.9295062703613</v>
      </c>
      <c r="BF40" s="148">
        <f>BF20*Annual!P59/100</f>
        <v>7529.057201509866</v>
      </c>
      <c r="BG40" s="148">
        <f>BG20*Annual!P59/100</f>
        <v>7525.1808232445819</v>
      </c>
      <c r="BH40" s="148">
        <f>BH20*Annual!P59/100</f>
        <v>7583.0034657017422</v>
      </c>
      <c r="BI40" s="148">
        <f>BI20*Annual!P59/100</f>
        <v>7863.2333111296002</v>
      </c>
      <c r="BJ40" s="148">
        <f>BJ20*Annual!Q59/100</f>
        <v>7794.2507932926892</v>
      </c>
      <c r="BK40" s="148">
        <f>BK20*Annual!Q59/100</f>
        <v>7950.6730499983278</v>
      </c>
      <c r="BL40" s="148">
        <f>BL20*Annual!Q59/100</f>
        <v>8056.8108744436204</v>
      </c>
      <c r="BM40" s="148">
        <f>BM20*Annual!Q59/100</f>
        <v>8257.948603485007</v>
      </c>
      <c r="BN40" s="148">
        <f>BN20*Annual!$R59/100</f>
        <v>8033.9448885187076</v>
      </c>
      <c r="BO40" s="148">
        <f>BO20*Annual!$R59/100</f>
        <v>8211.4300141889071</v>
      </c>
      <c r="BP40" s="148">
        <f>BP20*Annual!$R59/100</f>
        <v>8320.8253916474496</v>
      </c>
      <c r="BQ40" s="148">
        <f>BQ20*Annual!$R59/100</f>
        <v>8598.0248879214523</v>
      </c>
      <c r="BR40" s="148">
        <f>BR20*Annual!$S59/100</f>
        <v>8474.9261232082572</v>
      </c>
      <c r="BS40" s="148">
        <f>BS20*Annual!$S59/100</f>
        <v>8596.0245122185806</v>
      </c>
      <c r="BT40" s="148">
        <f>BT20*Annual!$S59/100</f>
        <v>8570.3666889060023</v>
      </c>
      <c r="BU40" s="148">
        <f>BU20*Annual!$S59/100</f>
        <v>8856.361534746844</v>
      </c>
      <c r="BV40" s="148">
        <f>BV20*Annual!$T59/100</f>
        <v>8470.2710827569026</v>
      </c>
      <c r="BW40" s="148">
        <f>BW20*Annual!$T59/100</f>
        <v>8660.0698057037334</v>
      </c>
      <c r="BX40" s="148">
        <f>BX20*Annual!$T59/100</f>
        <v>8602.4379627733124</v>
      </c>
      <c r="BY40" s="148">
        <f>BY20*Annual!$U59/100</f>
        <v>8955.634229223986</v>
      </c>
    </row>
    <row r="41" spans="1:83" ht="17.25" customHeight="1" thickBot="1">
      <c r="A41" s="172" t="s">
        <v>282</v>
      </c>
      <c r="B41" s="106">
        <f t="shared" ref="B41:U41" si="68">B39+B40</f>
        <v>44169.601167477478</v>
      </c>
      <c r="C41" s="107">
        <f t="shared" si="68"/>
        <v>45381.481975058894</v>
      </c>
      <c r="D41" s="107">
        <f t="shared" si="68"/>
        <v>47245.116482996309</v>
      </c>
      <c r="E41" s="107">
        <f t="shared" si="68"/>
        <v>47455.522571693298</v>
      </c>
      <c r="F41" s="107">
        <f t="shared" si="68"/>
        <v>46244.201219275965</v>
      </c>
      <c r="G41" s="107">
        <f t="shared" si="68"/>
        <v>48719.840818189339</v>
      </c>
      <c r="H41" s="107">
        <f t="shared" si="68"/>
        <v>49322.227336703945</v>
      </c>
      <c r="I41" s="107">
        <f t="shared" si="68"/>
        <v>49501.385580485439</v>
      </c>
      <c r="J41" s="107">
        <f t="shared" si="68"/>
        <v>47512.688820826799</v>
      </c>
      <c r="K41" s="107">
        <f t="shared" si="68"/>
        <v>49918.749188554924</v>
      </c>
      <c r="L41" s="107">
        <f t="shared" si="68"/>
        <v>50135.59370374</v>
      </c>
      <c r="M41" s="107">
        <f t="shared" si="68"/>
        <v>49995.749189359303</v>
      </c>
      <c r="N41" s="107">
        <f t="shared" si="68"/>
        <v>48148.340585792743</v>
      </c>
      <c r="O41" s="107">
        <f t="shared" si="68"/>
        <v>50467.557506874422</v>
      </c>
      <c r="P41" s="107">
        <f t="shared" si="68"/>
        <v>50450.013208845085</v>
      </c>
      <c r="Q41" s="107">
        <f t="shared" si="68"/>
        <v>50221.246210313635</v>
      </c>
      <c r="R41" s="107">
        <f t="shared" si="68"/>
        <v>47866.772624145728</v>
      </c>
      <c r="S41" s="107">
        <f t="shared" si="68"/>
        <v>50554.283572680768</v>
      </c>
      <c r="T41" s="107">
        <f t="shared" si="68"/>
        <v>51068.878563537517</v>
      </c>
      <c r="U41" s="107">
        <f t="shared" si="68"/>
        <v>51327.830503757243</v>
      </c>
      <c r="V41" s="107">
        <f t="shared" ref="V41:BA41" si="69">V39+V40</f>
        <v>49601.519426697072</v>
      </c>
      <c r="W41" s="107">
        <f t="shared" si="69"/>
        <v>52192.666449479409</v>
      </c>
      <c r="X41" s="107">
        <f t="shared" si="69"/>
        <v>54240.989083726512</v>
      </c>
      <c r="Y41" s="107">
        <f t="shared" si="69"/>
        <v>53915.967382029565</v>
      </c>
      <c r="Z41" s="107">
        <f t="shared" si="69"/>
        <v>52513.785574425521</v>
      </c>
      <c r="AA41" s="107">
        <f t="shared" si="69"/>
        <v>55248.344021382967</v>
      </c>
      <c r="AB41" s="107">
        <f t="shared" si="69"/>
        <v>55639.048975850361</v>
      </c>
      <c r="AC41" s="107">
        <f t="shared" si="69"/>
        <v>55758.173321719718</v>
      </c>
      <c r="AD41" s="107">
        <f t="shared" si="69"/>
        <v>53541.924583373133</v>
      </c>
      <c r="AE41" s="107">
        <f t="shared" si="69"/>
        <v>56761.421925026196</v>
      </c>
      <c r="AF41" s="107">
        <f t="shared" si="69"/>
        <v>56894.031537999486</v>
      </c>
      <c r="AG41" s="107">
        <f t="shared" si="69"/>
        <v>57325.635287815945</v>
      </c>
      <c r="AH41" s="107">
        <f t="shared" si="69"/>
        <v>55181.294713915733</v>
      </c>
      <c r="AI41" s="107">
        <f t="shared" si="69"/>
        <v>58708.707406102825</v>
      </c>
      <c r="AJ41" s="107">
        <f t="shared" si="69"/>
        <v>58465.53032269227</v>
      </c>
      <c r="AK41" s="107">
        <f t="shared" si="69"/>
        <v>58326.547234588339</v>
      </c>
      <c r="AL41" s="107">
        <f t="shared" si="69"/>
        <v>57038.420961214688</v>
      </c>
      <c r="AM41" s="107">
        <f t="shared" si="69"/>
        <v>60603.210461404218</v>
      </c>
      <c r="AN41" s="107">
        <f t="shared" si="69"/>
        <v>61506.209899158624</v>
      </c>
      <c r="AO41" s="107">
        <f t="shared" si="69"/>
        <v>61907.138228654941</v>
      </c>
      <c r="AP41" s="107">
        <f t="shared" si="69"/>
        <v>60432.298014112064</v>
      </c>
      <c r="AQ41" s="107">
        <f t="shared" si="69"/>
        <v>63723.503402272807</v>
      </c>
      <c r="AR41" s="107">
        <f t="shared" si="69"/>
        <v>65295.808538534555</v>
      </c>
      <c r="AS41" s="107">
        <f t="shared" si="69"/>
        <v>65487.766114089813</v>
      </c>
      <c r="AT41" s="107">
        <f t="shared" si="69"/>
        <v>63682.061981141254</v>
      </c>
      <c r="AU41" s="107">
        <f t="shared" si="69"/>
        <v>66827.792246677607</v>
      </c>
      <c r="AV41" s="107">
        <f t="shared" si="69"/>
        <v>68605.409906937042</v>
      </c>
      <c r="AW41" s="107">
        <f t="shared" si="69"/>
        <v>69930.09057809053</v>
      </c>
      <c r="AX41" s="107">
        <f t="shared" si="69"/>
        <v>68125.905131082443</v>
      </c>
      <c r="AY41" s="107">
        <f t="shared" si="69"/>
        <v>70787.16481862709</v>
      </c>
      <c r="AZ41" s="107">
        <f t="shared" si="69"/>
        <v>72253.952576311014</v>
      </c>
      <c r="BA41" s="107">
        <f t="shared" si="69"/>
        <v>73682.000499038113</v>
      </c>
      <c r="BB41" s="107">
        <f t="shared" ref="BB41:BG41" si="70">BB39+BB40</f>
        <v>71161.408615893903</v>
      </c>
      <c r="BC41" s="107">
        <f t="shared" si="70"/>
        <v>74756.110982452694</v>
      </c>
      <c r="BD41" s="107">
        <f t="shared" si="70"/>
        <v>75462.98020662264</v>
      </c>
      <c r="BE41" s="107">
        <f t="shared" si="70"/>
        <v>74970.333061794561</v>
      </c>
      <c r="BF41" s="107">
        <f t="shared" si="70"/>
        <v>70528.747919669884</v>
      </c>
      <c r="BG41" s="107">
        <f t="shared" si="70"/>
        <v>72534.525097567879</v>
      </c>
      <c r="BH41" s="107">
        <f t="shared" ref="BH41:BM41" si="71">BH39+BH40</f>
        <v>73855.969771989417</v>
      </c>
      <c r="BI41" s="107">
        <f t="shared" si="71"/>
        <v>74797.338159696767</v>
      </c>
      <c r="BJ41" s="107">
        <f t="shared" si="71"/>
        <v>72421.686265048978</v>
      </c>
      <c r="BK41" s="107">
        <f t="shared" si="71"/>
        <v>75739.547217177213</v>
      </c>
      <c r="BL41" s="107">
        <f t="shared" si="71"/>
        <v>76759.950921389129</v>
      </c>
      <c r="BM41" s="107">
        <f t="shared" si="71"/>
        <v>77696.629793574059</v>
      </c>
      <c r="BN41" s="107">
        <f t="shared" ref="BN41" si="72">BN39+BN40</f>
        <v>75199.993433368509</v>
      </c>
      <c r="BO41" s="107">
        <f t="shared" ref="BO41:BQ41" si="73">BO39+BO40</f>
        <v>78146.804841019475</v>
      </c>
      <c r="BP41" s="107">
        <f t="shared" si="73"/>
        <v>79336.356144022604</v>
      </c>
      <c r="BQ41" s="107">
        <f t="shared" si="73"/>
        <v>80704.714857858489</v>
      </c>
      <c r="BR41" s="107">
        <f t="shared" ref="BR41:BX41" si="74">BR39+BR40</f>
        <v>77631.579507842689</v>
      </c>
      <c r="BS41" s="107">
        <f t="shared" si="74"/>
        <v>80708.192955819919</v>
      </c>
      <c r="BT41" s="107">
        <f t="shared" si="74"/>
        <v>81187.502547664655</v>
      </c>
      <c r="BU41" s="107">
        <f t="shared" ref="BU41:BW41" si="75">BU39+BU40</f>
        <v>82654.977409226281</v>
      </c>
      <c r="BV41" s="107">
        <f t="shared" si="75"/>
        <v>78747.632494849066</v>
      </c>
      <c r="BW41" s="107">
        <f t="shared" si="75"/>
        <v>82753.463447064103</v>
      </c>
      <c r="BX41" s="107">
        <f t="shared" si="74"/>
        <v>82311.26004817088</v>
      </c>
      <c r="BY41" s="107">
        <f t="shared" ref="BY41" si="76">BY39+BY40</f>
        <v>83974.079876575677</v>
      </c>
      <c r="BZ41" s="363"/>
      <c r="CA41" s="363"/>
      <c r="CB41" s="363"/>
      <c r="CC41" s="363"/>
      <c r="CD41" s="363"/>
      <c r="CE41" s="363"/>
    </row>
    <row r="42" spans="1:83">
      <c r="BA42" s="90"/>
      <c r="BG42" s="265"/>
      <c r="BH42" s="265"/>
      <c r="BI42" s="266"/>
      <c r="BJ42" s="266"/>
      <c r="BK42" s="266"/>
      <c r="BL42" s="266"/>
      <c r="BM42" s="266"/>
      <c r="BN42" s="266"/>
      <c r="BO42" s="266"/>
      <c r="BP42" s="266"/>
      <c r="BZ42" s="363"/>
      <c r="CA42" s="363"/>
      <c r="CB42" s="363"/>
      <c r="CC42" s="363"/>
      <c r="CD42" s="363"/>
      <c r="CE42" s="363"/>
    </row>
    <row r="43" spans="1:83" ht="18">
      <c r="A43" s="407" t="s">
        <v>211</v>
      </c>
      <c r="B43" s="407"/>
      <c r="C43" s="407"/>
      <c r="D43" s="407"/>
      <c r="E43" s="40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08"/>
      <c r="BD43" s="408"/>
      <c r="BE43" s="408"/>
      <c r="BF43" s="408"/>
      <c r="BG43" s="408"/>
      <c r="BH43" s="408"/>
      <c r="BN43" s="90"/>
      <c r="BZ43" s="363"/>
      <c r="CA43" s="363"/>
      <c r="CB43" s="363"/>
      <c r="CC43" s="363"/>
      <c r="CD43" s="363"/>
      <c r="CE43" s="363"/>
    </row>
    <row r="44" spans="1:83" ht="13.5" thickBot="1">
      <c r="A44" s="1" t="s">
        <v>172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BZ44" s="363"/>
      <c r="CA44" s="363"/>
      <c r="CB44" s="363"/>
      <c r="CC44" s="363"/>
      <c r="CD44" s="363"/>
      <c r="CE44" s="363"/>
    </row>
    <row r="45" spans="1:83" ht="13.5" thickBot="1">
      <c r="A45" s="108" t="s">
        <v>166</v>
      </c>
      <c r="B45" s="249" t="str">
        <f>B25</f>
        <v>1995q1</v>
      </c>
      <c r="C45" s="248" t="str">
        <f t="shared" ref="C45:BH45" si="77">C25</f>
        <v>1995q2</v>
      </c>
      <c r="D45" s="248" t="str">
        <f t="shared" si="77"/>
        <v>1995q3</v>
      </c>
      <c r="E45" s="248" t="str">
        <f t="shared" si="77"/>
        <v>1995q4</v>
      </c>
      <c r="F45" s="248" t="str">
        <f t="shared" si="77"/>
        <v>1996q1</v>
      </c>
      <c r="G45" s="248" t="str">
        <f t="shared" si="77"/>
        <v>1996q2</v>
      </c>
      <c r="H45" s="248" t="str">
        <f t="shared" si="77"/>
        <v>1996q3</v>
      </c>
      <c r="I45" s="248" t="str">
        <f t="shared" si="77"/>
        <v>1996q4</v>
      </c>
      <c r="J45" s="248" t="str">
        <f t="shared" si="77"/>
        <v>1997q1</v>
      </c>
      <c r="K45" s="248" t="str">
        <f t="shared" si="77"/>
        <v>1997q2</v>
      </c>
      <c r="L45" s="248" t="str">
        <f t="shared" si="77"/>
        <v>1997q3</v>
      </c>
      <c r="M45" s="248" t="str">
        <f t="shared" si="77"/>
        <v>1997q4</v>
      </c>
      <c r="N45" s="248" t="str">
        <f t="shared" si="77"/>
        <v>1998q1</v>
      </c>
      <c r="O45" s="248" t="str">
        <f t="shared" si="77"/>
        <v>1998q2</v>
      </c>
      <c r="P45" s="248" t="str">
        <f t="shared" si="77"/>
        <v>1998q3</v>
      </c>
      <c r="Q45" s="248" t="str">
        <f t="shared" si="77"/>
        <v>1998q4</v>
      </c>
      <c r="R45" s="248" t="str">
        <f t="shared" si="77"/>
        <v>1999q1</v>
      </c>
      <c r="S45" s="248" t="str">
        <f t="shared" si="77"/>
        <v>1999q2</v>
      </c>
      <c r="T45" s="248" t="str">
        <f t="shared" si="77"/>
        <v>1999q3</v>
      </c>
      <c r="U45" s="248" t="str">
        <f t="shared" si="77"/>
        <v>1999q4</v>
      </c>
      <c r="V45" s="248" t="str">
        <f t="shared" si="77"/>
        <v>2000q1</v>
      </c>
      <c r="W45" s="248" t="str">
        <f t="shared" si="77"/>
        <v>2000q2</v>
      </c>
      <c r="X45" s="248" t="str">
        <f t="shared" si="77"/>
        <v>2000q3</v>
      </c>
      <c r="Y45" s="248" t="str">
        <f t="shared" si="77"/>
        <v>2000q4</v>
      </c>
      <c r="Z45" s="248" t="str">
        <f t="shared" si="77"/>
        <v>2001q1</v>
      </c>
      <c r="AA45" s="248" t="str">
        <f t="shared" si="77"/>
        <v>2001q2</v>
      </c>
      <c r="AB45" s="248" t="str">
        <f t="shared" si="77"/>
        <v>2001q3</v>
      </c>
      <c r="AC45" s="248" t="str">
        <f t="shared" si="77"/>
        <v>2001q4</v>
      </c>
      <c r="AD45" s="248" t="str">
        <f t="shared" si="77"/>
        <v>2002q1</v>
      </c>
      <c r="AE45" s="248" t="str">
        <f t="shared" si="77"/>
        <v>2002q2</v>
      </c>
      <c r="AF45" s="248" t="str">
        <f t="shared" si="77"/>
        <v>2002q3</v>
      </c>
      <c r="AG45" s="248" t="str">
        <f t="shared" si="77"/>
        <v>2002q4</v>
      </c>
      <c r="AH45" s="248" t="str">
        <f t="shared" si="77"/>
        <v>2003q1</v>
      </c>
      <c r="AI45" s="248" t="str">
        <f t="shared" si="77"/>
        <v>2003q2</v>
      </c>
      <c r="AJ45" s="248" t="str">
        <f t="shared" si="77"/>
        <v>2003q3</v>
      </c>
      <c r="AK45" s="248" t="str">
        <f t="shared" si="77"/>
        <v>2003q4</v>
      </c>
      <c r="AL45" s="248" t="str">
        <f t="shared" si="77"/>
        <v>2004q1</v>
      </c>
      <c r="AM45" s="248" t="str">
        <f t="shared" si="77"/>
        <v>2004q2</v>
      </c>
      <c r="AN45" s="248" t="str">
        <f t="shared" si="77"/>
        <v>2004q3</v>
      </c>
      <c r="AO45" s="248" t="str">
        <f t="shared" si="77"/>
        <v>2004q4</v>
      </c>
      <c r="AP45" s="248" t="str">
        <f t="shared" si="77"/>
        <v>2005q1</v>
      </c>
      <c r="AQ45" s="248" t="str">
        <f t="shared" si="77"/>
        <v>2005q2</v>
      </c>
      <c r="AR45" s="248" t="str">
        <f t="shared" si="77"/>
        <v>2005q3</v>
      </c>
      <c r="AS45" s="248" t="str">
        <f t="shared" si="77"/>
        <v>2005q4</v>
      </c>
      <c r="AT45" s="248" t="str">
        <f t="shared" si="77"/>
        <v>2006q1</v>
      </c>
      <c r="AU45" s="248" t="str">
        <f t="shared" si="77"/>
        <v>2006q2</v>
      </c>
      <c r="AV45" s="248" t="str">
        <f t="shared" si="77"/>
        <v>2006q3</v>
      </c>
      <c r="AW45" s="248" t="str">
        <f t="shared" si="77"/>
        <v>2006q4</v>
      </c>
      <c r="AX45" s="248" t="str">
        <f t="shared" si="77"/>
        <v>2007q1</v>
      </c>
      <c r="AY45" s="248" t="str">
        <f t="shared" si="77"/>
        <v>2007q2</v>
      </c>
      <c r="AZ45" s="248" t="str">
        <f t="shared" si="77"/>
        <v>2007q3</v>
      </c>
      <c r="BA45" s="248" t="str">
        <f t="shared" si="77"/>
        <v>2007q4</v>
      </c>
      <c r="BB45" s="248" t="str">
        <f t="shared" si="77"/>
        <v>2008q1</v>
      </c>
      <c r="BC45" s="248" t="str">
        <f t="shared" si="77"/>
        <v>2008q2</v>
      </c>
      <c r="BD45" s="248" t="str">
        <f t="shared" si="77"/>
        <v>2008q3</v>
      </c>
      <c r="BE45" s="248" t="str">
        <f t="shared" si="77"/>
        <v>2008q4</v>
      </c>
      <c r="BF45" s="248" t="str">
        <f t="shared" si="77"/>
        <v>2009q1</v>
      </c>
      <c r="BG45" s="248" t="str">
        <f t="shared" si="77"/>
        <v>2009q2</v>
      </c>
      <c r="BH45" s="248" t="str">
        <f t="shared" si="77"/>
        <v>2009q3</v>
      </c>
      <c r="BI45" s="248" t="str">
        <f>BI25</f>
        <v>2009q4</v>
      </c>
      <c r="BJ45" s="248" t="str">
        <f>BJ25</f>
        <v>2010q1</v>
      </c>
      <c r="BK45" s="248" t="str">
        <f>BK25</f>
        <v>2010q2</v>
      </c>
      <c r="BL45" s="248" t="str">
        <f>BL25</f>
        <v>2010q3</v>
      </c>
      <c r="BM45" s="248" t="str">
        <f t="shared" ref="BM45:BQ45" si="78">BM25</f>
        <v>2010q4</v>
      </c>
      <c r="BN45" s="248" t="str">
        <f t="shared" si="78"/>
        <v>2011q1</v>
      </c>
      <c r="BO45" s="248" t="str">
        <f t="shared" si="78"/>
        <v>2011q2</v>
      </c>
      <c r="BP45" s="248" t="str">
        <f t="shared" si="78"/>
        <v>2011q3</v>
      </c>
      <c r="BQ45" s="248" t="str">
        <f t="shared" si="78"/>
        <v>2011q4</v>
      </c>
      <c r="BR45" s="248" t="str">
        <f t="shared" ref="BR45:BX45" si="79">BR25</f>
        <v>2012q1</v>
      </c>
      <c r="BS45" s="248" t="str">
        <f t="shared" si="79"/>
        <v>2012q2</v>
      </c>
      <c r="BT45" s="248" t="str">
        <f t="shared" si="79"/>
        <v>2012q3</v>
      </c>
      <c r="BU45" s="248" t="str">
        <f t="shared" si="79"/>
        <v>2012q4</v>
      </c>
      <c r="BV45" s="248" t="str">
        <f t="shared" si="79"/>
        <v>2013q1</v>
      </c>
      <c r="BW45" s="248" t="str">
        <f t="shared" si="79"/>
        <v>2013q2</v>
      </c>
      <c r="BX45" s="248" t="str">
        <f t="shared" si="79"/>
        <v>2013q3</v>
      </c>
      <c r="BY45" s="248" t="str">
        <f t="shared" ref="BY45" si="80">BY25</f>
        <v>2013q4</v>
      </c>
      <c r="BZ45" s="363"/>
      <c r="CA45" s="363"/>
      <c r="CB45" s="363"/>
      <c r="CC45" s="363"/>
      <c r="CD45" s="363"/>
      <c r="CE45" s="363"/>
    </row>
    <row r="46" spans="1:83" ht="13.5" thickTop="1">
      <c r="A46" s="2" t="s">
        <v>0</v>
      </c>
      <c r="B46" s="251"/>
      <c r="C46" s="154">
        <f t="shared" ref="C46:C61" si="81">(C6-B6)/B6*100</f>
        <v>7.002987560643505</v>
      </c>
      <c r="D46" s="154">
        <f t="shared" ref="D46:D61" si="82">(D6-C6)/C6*100</f>
        <v>2.8293134003462854</v>
      </c>
      <c r="E46" s="154">
        <f t="shared" ref="E46:E61" si="83">(E6-D6)/D6*100</f>
        <v>-6.0603612254380597</v>
      </c>
      <c r="F46" s="154">
        <f t="shared" ref="F46:F61" si="84">(F6-E6)/E6*100</f>
        <v>-2.5932851091694062</v>
      </c>
      <c r="G46" s="154">
        <f t="shared" ref="G46:G61" si="85">(G6-F6)/F6*100</f>
        <v>21.848096246587897</v>
      </c>
      <c r="H46" s="154">
        <f t="shared" ref="H46:H61" si="86">(H6-G6)/G6*100</f>
        <v>-8.2756662514493211</v>
      </c>
      <c r="I46" s="154">
        <f t="shared" ref="I46:I61" si="87">(I6-H6)/H6*100</f>
        <v>-8.6548836826817741</v>
      </c>
      <c r="J46" s="154">
        <f t="shared" ref="J46:J61" si="88">(J6-I6)/I6*100</f>
        <v>-0.5024083513090184</v>
      </c>
      <c r="K46" s="154">
        <f t="shared" ref="K46:K61" si="89">(K6-J6)/J6*100</f>
        <v>21.001372393720271</v>
      </c>
      <c r="L46" s="154">
        <f t="shared" ref="L46:L61" si="90">(L6-K6)/K6*100</f>
        <v>-7.4829750300440647</v>
      </c>
      <c r="M46" s="154">
        <f t="shared" ref="M46:M61" si="91">(M6-L6)/L6*100</f>
        <v>-8.5005340184164204</v>
      </c>
      <c r="N46" s="154">
        <f t="shared" ref="N46:N61" si="92">(N6-M6)/M6*100</f>
        <v>-1.1579851953551921</v>
      </c>
      <c r="O46" s="154">
        <f t="shared" ref="O46:O61" si="93">(O6-N6)/N6*100</f>
        <v>18.457922000823462</v>
      </c>
      <c r="P46" s="154">
        <f t="shared" ref="P46:P61" si="94">(P6-O6)/O6*100</f>
        <v>-8.4716160970324772</v>
      </c>
      <c r="Q46" s="154">
        <f t="shared" ref="Q46:Q61" si="95">(Q6-P6)/P6*100</f>
        <v>-10.32040035325287</v>
      </c>
      <c r="R46" s="154">
        <f t="shared" ref="R46:R61" si="96">(R6-Q6)/Q6*100</f>
        <v>2.8646777065246529</v>
      </c>
      <c r="S46" s="154">
        <f t="shared" ref="S46:S61" si="97">(S6-R6)/R6*100</f>
        <v>20.943706548773548</v>
      </c>
      <c r="T46" s="154">
        <f t="shared" ref="T46:T61" si="98">(T6-S6)/S6*100</f>
        <v>-9.6272924826305832</v>
      </c>
      <c r="U46" s="154">
        <f t="shared" ref="U46:U61" si="99">(U6-T6)/T6*100</f>
        <v>-12.678059350878595</v>
      </c>
      <c r="V46" s="154">
        <f t="shared" ref="V46:V61" si="100">(V6-U6)/U6*100</f>
        <v>0.57946098192405937</v>
      </c>
      <c r="W46" s="154">
        <f t="shared" ref="W46:W61" si="101">(W6-V6)/V6*100</f>
        <v>19.489836826768308</v>
      </c>
      <c r="X46" s="154">
        <f t="shared" ref="X46:X61" si="102">(X6-W6)/W6*100</f>
        <v>3.5081276724783077</v>
      </c>
      <c r="Y46" s="154">
        <f t="shared" ref="Y46:Y61" si="103">(Y6-X6)/X6*100</f>
        <v>-17.692932072966528</v>
      </c>
      <c r="Z46" s="154">
        <f t="shared" ref="Z46:Z61" si="104">(Z6-Y6)/Y6*100</f>
        <v>-0.24883054541891239</v>
      </c>
      <c r="AA46" s="154">
        <f t="shared" ref="AA46:AA61" si="105">(AA6-Z6)/Z6*100</f>
        <v>23.681730314383874</v>
      </c>
      <c r="AB46" s="154">
        <f t="shared" ref="AB46:AB61" si="106">(AB6-AA6)/AA6*100</f>
        <v>-7.8901843036945429</v>
      </c>
      <c r="AC46" s="154">
        <f t="shared" ref="AC46:AC61" si="107">(AC6-AB6)/AB6*100</f>
        <v>-15.284056491759229</v>
      </c>
      <c r="AD46" s="154">
        <f t="shared" ref="AD46:AD61" si="108">(AD6-AC6)/AC6*100</f>
        <v>5.158702565189734</v>
      </c>
      <c r="AE46" s="154">
        <f t="shared" ref="AE46:AE61" si="109">(AE6-AD6)/AD6*100</f>
        <v>25.908244925343766</v>
      </c>
      <c r="AF46" s="154">
        <f t="shared" ref="AF46:AF61" si="110">(AF6-AE6)/AE6*100</f>
        <v>-11.448934524084009</v>
      </c>
      <c r="AG46" s="154">
        <f t="shared" ref="AG46:AG61" si="111">(AG6-AF6)/AF6*100</f>
        <v>-9.7811961163250789</v>
      </c>
      <c r="AH46" s="154">
        <f t="shared" ref="AH46:AH61" si="112">(AH6-AG6)/AG6*100</f>
        <v>-8.5459643006375485E-2</v>
      </c>
      <c r="AI46" s="154">
        <f t="shared" ref="AI46:AI61" si="113">(AI6-AH6)/AH6*100</f>
        <v>32.901508007982628</v>
      </c>
      <c r="AJ46" s="154">
        <f t="shared" ref="AJ46:AJ61" si="114">(AJ6-AI6)/AI6*100</f>
        <v>-12.886087565505083</v>
      </c>
      <c r="AK46" s="154">
        <f t="shared" ref="AK46:AK61" si="115">(AK6-AJ6)/AJ6*100</f>
        <v>-14.658719818146537</v>
      </c>
      <c r="AL46" s="154">
        <f t="shared" ref="AL46:AL61" si="116">(AL6-AK6)/AK6*100</f>
        <v>5.3594329215764995</v>
      </c>
      <c r="AM46" s="154">
        <f t="shared" ref="AM46:AM61" si="117">(AM6-AL6)/AL6*100</f>
        <v>24.226647267910938</v>
      </c>
      <c r="AN46" s="154">
        <f t="shared" ref="AN46:AN61" si="118">(AN6-AM6)/AM6*100</f>
        <v>-6.5966793239520509</v>
      </c>
      <c r="AO46" s="154">
        <f t="shared" ref="AO46:AO61" si="119">(AO6-AN6)/AN6*100</f>
        <v>-17.810043842168195</v>
      </c>
      <c r="AP46" s="154">
        <f t="shared" ref="AP46:AP61" si="120">(AP6-AO6)/AO6*100</f>
        <v>11.463171537482479</v>
      </c>
      <c r="AQ46" s="154">
        <f t="shared" ref="AQ46:AQ61" si="121">(AQ6-AP6)/AP6*100</f>
        <v>15.742937525378498</v>
      </c>
      <c r="AR46" s="154">
        <f t="shared" ref="AR46:AR61" si="122">(AR6-AQ6)/AQ6*100</f>
        <v>-4.3960973140529411</v>
      </c>
      <c r="AS46" s="154">
        <f t="shared" ref="AS46:AS61" si="123">(AS6-AR6)/AR6*100</f>
        <v>-19.115474993807595</v>
      </c>
      <c r="AT46" s="154">
        <f t="shared" ref="AT46:AT61" si="124">(AT6-AS6)/AS6*100</f>
        <v>6.6621406604944546</v>
      </c>
      <c r="AU46" s="154">
        <f t="shared" ref="AU46:AU61" si="125">(AU6-AT6)/AT6*100</f>
        <v>15.840714820649207</v>
      </c>
      <c r="AV46" s="154">
        <f t="shared" ref="AV46:AV61" si="126">(AV6-AU6)/AU6*100</f>
        <v>-3.1443711978850284</v>
      </c>
      <c r="AW46" s="154">
        <f t="shared" ref="AW46:AW61" si="127">(AW6-AV6)/AV6*100</f>
        <v>-11.315707881628679</v>
      </c>
      <c r="AX46" s="154">
        <f t="shared" ref="AX46:AX61" si="128">(AX6-AW6)/AW6*100</f>
        <v>2.903753842283114</v>
      </c>
      <c r="AY46" s="154">
        <f t="shared" ref="AY46:AY61" si="129">(AY6-AX6)/AX6*100</f>
        <v>14.546858304815991</v>
      </c>
      <c r="AZ46" s="154">
        <f t="shared" ref="AZ46:AZ61" si="130">(AZ6-AY6)/AY6*100</f>
        <v>-3.4607588542712264</v>
      </c>
      <c r="BA46" s="154">
        <f t="shared" ref="BA46:BA61" si="131">(BA6-AZ6)/AZ6*100</f>
        <v>-13.968404741301239</v>
      </c>
      <c r="BB46" s="154">
        <f t="shared" ref="BB46:BB61" si="132">(BB6-BA6)/BA6*100</f>
        <v>2.2096706835125257</v>
      </c>
      <c r="BC46" s="154">
        <f>(BC6-BB6)/BB6*100</f>
        <v>21.189501859040075</v>
      </c>
      <c r="BD46" s="154">
        <f>(BD6-BC6)/BC6*100</f>
        <v>-5.979940297034279</v>
      </c>
      <c r="BE46" s="154">
        <f>(BE6-BD6)/BD6*100</f>
        <v>-15.069436903011422</v>
      </c>
      <c r="BF46" s="154">
        <f>(BF6-BE6)/BE6*100</f>
        <v>-2.1269958441444596</v>
      </c>
      <c r="BG46" s="154">
        <f>(BG6-BF6)/BF6*100</f>
        <v>20.781119632879733</v>
      </c>
      <c r="BH46" s="154">
        <f t="shared" ref="BH46:BH61" si="133">(BH6-BG6)/BG6*100</f>
        <v>-4.2007183656667353</v>
      </c>
      <c r="BI46" s="154">
        <f t="shared" ref="BI46:BI61" si="134">(BI6-BH6)/BH6*100</f>
        <v>-13.486639940533355</v>
      </c>
      <c r="BJ46" s="154">
        <f t="shared" ref="BJ46:BJ61" si="135">(BJ6-BI6)/BI6*100</f>
        <v>7.2711389115507394</v>
      </c>
      <c r="BK46" s="154">
        <f t="shared" ref="BK46:BK61" si="136">(BK6-BJ6)/BJ6*100</f>
        <v>13.306275620884673</v>
      </c>
      <c r="BL46" s="154">
        <f t="shared" ref="BL46:BL61" si="137">(BL6-BK6)/BK6*100</f>
        <v>-1.3222686309921525</v>
      </c>
      <c r="BM46" s="154">
        <f t="shared" ref="BM46:BM61" si="138">(BM6-BL6)/BL6*100</f>
        <v>-12.416389859167557</v>
      </c>
      <c r="BN46" s="154">
        <f t="shared" ref="BN46:BN61" si="139">(BN6-BM6)/BM6*100</f>
        <v>2.8112551068014389</v>
      </c>
      <c r="BO46" s="154">
        <f t="shared" ref="BO46:BO61" si="140">(BO6-BN6)/BN6*100</f>
        <v>18.524759674464171</v>
      </c>
      <c r="BP46" s="154">
        <f t="shared" ref="BP46:BP61" si="141">(BP6-BO6)/BO6*100</f>
        <v>-8.3961646024408711</v>
      </c>
      <c r="BQ46" s="154">
        <f t="shared" ref="BQ46:BQ61" si="142">(BQ6-BP6)/BP6*100</f>
        <v>-13.499384655391225</v>
      </c>
      <c r="BR46" s="154">
        <f t="shared" ref="BR46:BR61" si="143">(BR6-BQ6)/BQ6*100</f>
        <v>0.47115153554052946</v>
      </c>
      <c r="BS46" s="154">
        <f t="shared" ref="BS46:BS61" si="144">(BS6-BR6)/BR6*100</f>
        <v>27.361243368668141</v>
      </c>
      <c r="BT46" s="154">
        <f t="shared" ref="BT46:BT61" si="145">(BT6-BS6)/BS6*100</f>
        <v>-10.918821990165641</v>
      </c>
      <c r="BU46" s="154">
        <f t="shared" ref="BU46:BU61" si="146">(BU6-BT6)/BT6*100</f>
        <v>-14.806618877715701</v>
      </c>
      <c r="BV46" s="154">
        <f t="shared" ref="BV46:BV61" si="147">(BV6-BU6)/BU6*100</f>
        <v>7.488550343167832</v>
      </c>
      <c r="BW46" s="154">
        <f t="shared" ref="BW46:BW61" si="148">(BW6-BV6)/BV6*100</f>
        <v>23.558416389609761</v>
      </c>
      <c r="BX46" s="154">
        <f t="shared" ref="BX46:BX61" si="149">(BX6-BW6)/BW6*100</f>
        <v>-10.870334793257031</v>
      </c>
      <c r="BY46" s="154">
        <f t="shared" ref="BY46:BY61" si="150">(BY6-BX6)/BX6*100</f>
        <v>-9.6765845265829711</v>
      </c>
      <c r="BZ46" s="363"/>
      <c r="CA46" s="363"/>
      <c r="CB46" s="363"/>
      <c r="CC46" s="363"/>
      <c r="CD46" s="363"/>
      <c r="CE46" s="363"/>
    </row>
    <row r="47" spans="1:83">
      <c r="A47" s="3" t="s">
        <v>1</v>
      </c>
      <c r="B47" s="252"/>
      <c r="C47" s="156">
        <f t="shared" si="81"/>
        <v>45.315580490310339</v>
      </c>
      <c r="D47" s="156">
        <f t="shared" si="82"/>
        <v>7.2318998588910794</v>
      </c>
      <c r="E47" s="156">
        <f t="shared" si="83"/>
        <v>-22.680020283975661</v>
      </c>
      <c r="F47" s="156">
        <f t="shared" si="84"/>
        <v>-8.8686669945892707</v>
      </c>
      <c r="G47" s="156">
        <f t="shared" si="85"/>
        <v>122.81211205267988</v>
      </c>
      <c r="H47" s="156">
        <f t="shared" si="86"/>
        <v>-28.391359256854749</v>
      </c>
      <c r="I47" s="156">
        <f t="shared" si="87"/>
        <v>-33.108219348000141</v>
      </c>
      <c r="J47" s="156">
        <f t="shared" si="88"/>
        <v>3.4558152942584583</v>
      </c>
      <c r="K47" s="156">
        <f t="shared" si="89"/>
        <v>97.799261206153474</v>
      </c>
      <c r="L47" s="156">
        <f t="shared" si="90"/>
        <v>-27.465194826591976</v>
      </c>
      <c r="M47" s="156">
        <f t="shared" si="91"/>
        <v>-32.356615559341286</v>
      </c>
      <c r="N47" s="156">
        <f t="shared" si="92"/>
        <v>-0.26863666890530558</v>
      </c>
      <c r="O47" s="156">
        <f t="shared" si="93"/>
        <v>97.324410774410779</v>
      </c>
      <c r="P47" s="156">
        <f t="shared" si="94"/>
        <v>-27.472491845880963</v>
      </c>
      <c r="Q47" s="156">
        <f t="shared" si="95"/>
        <v>-39.724738266086341</v>
      </c>
      <c r="R47" s="156">
        <f t="shared" si="96"/>
        <v>27.204527712724435</v>
      </c>
      <c r="S47" s="156">
        <f t="shared" si="97"/>
        <v>98.757893574063033</v>
      </c>
      <c r="T47" s="156">
        <f t="shared" si="98"/>
        <v>-30.05597855956329</v>
      </c>
      <c r="U47" s="156">
        <f t="shared" si="99"/>
        <v>-48.222535155310212</v>
      </c>
      <c r="V47" s="156">
        <f t="shared" si="100"/>
        <v>18.0202358648413</v>
      </c>
      <c r="W47" s="156">
        <f t="shared" si="101"/>
        <v>100.48508972173261</v>
      </c>
      <c r="X47" s="156">
        <f t="shared" si="102"/>
        <v>11.485348298817234</v>
      </c>
      <c r="Y47" s="156">
        <f t="shared" si="103"/>
        <v>-53.352833283506108</v>
      </c>
      <c r="Z47" s="156">
        <f t="shared" si="104"/>
        <v>6.5822521695449581</v>
      </c>
      <c r="AA47" s="156">
        <f t="shared" si="105"/>
        <v>108.54723635240772</v>
      </c>
      <c r="AB47" s="156">
        <f t="shared" si="106"/>
        <v>-23.347661960767198</v>
      </c>
      <c r="AC47" s="156">
        <f t="shared" si="107"/>
        <v>-51.016254376725776</v>
      </c>
      <c r="AD47" s="156">
        <f t="shared" si="108"/>
        <v>39.681617235009639</v>
      </c>
      <c r="AE47" s="156">
        <f t="shared" si="109"/>
        <v>109.43536404160477</v>
      </c>
      <c r="AF47" s="156">
        <f t="shared" si="110"/>
        <v>-34.295849592053919</v>
      </c>
      <c r="AG47" s="156">
        <f t="shared" si="111"/>
        <v>-38.019652305366591</v>
      </c>
      <c r="AH47" s="156">
        <f t="shared" si="112"/>
        <v>7.6829268292682924</v>
      </c>
      <c r="AI47" s="156">
        <f t="shared" si="113"/>
        <v>152.22455913282639</v>
      </c>
      <c r="AJ47" s="156">
        <f t="shared" si="114"/>
        <v>-37.575368826170624</v>
      </c>
      <c r="AK47" s="156">
        <f t="shared" si="115"/>
        <v>-53.072338676531025</v>
      </c>
      <c r="AL47" s="156">
        <f t="shared" si="116"/>
        <v>36.12874972629735</v>
      </c>
      <c r="AM47" s="156">
        <f t="shared" si="117"/>
        <v>127.52131253015924</v>
      </c>
      <c r="AN47" s="156">
        <f t="shared" si="118"/>
        <v>-24.397313538352776</v>
      </c>
      <c r="AO47" s="156">
        <f t="shared" si="119"/>
        <v>-50.21507387319992</v>
      </c>
      <c r="AP47" s="156">
        <f t="shared" si="120"/>
        <v>34.556724267468077</v>
      </c>
      <c r="AQ47" s="156">
        <f t="shared" si="121"/>
        <v>83.223987269326315</v>
      </c>
      <c r="AR47" s="156">
        <f t="shared" si="122"/>
        <v>-10.742202380045407</v>
      </c>
      <c r="AS47" s="156">
        <f t="shared" si="123"/>
        <v>-53.935710749586029</v>
      </c>
      <c r="AT47" s="156">
        <f t="shared" si="124"/>
        <v>31.286132522976573</v>
      </c>
      <c r="AU47" s="156">
        <f t="shared" si="125"/>
        <v>69.185279277372018</v>
      </c>
      <c r="AV47" s="156">
        <f t="shared" si="126"/>
        <v>-11.644921249332633</v>
      </c>
      <c r="AW47" s="156">
        <f t="shared" si="127"/>
        <v>-46.227092047246323</v>
      </c>
      <c r="AX47" s="156">
        <f t="shared" si="128"/>
        <v>28.444756595408453</v>
      </c>
      <c r="AY47" s="156">
        <f t="shared" si="129"/>
        <v>68.883496804620478</v>
      </c>
      <c r="AZ47" s="156">
        <f t="shared" si="130"/>
        <v>-12.505817835967378</v>
      </c>
      <c r="BA47" s="156">
        <f t="shared" si="131"/>
        <v>-46.136410944330088</v>
      </c>
      <c r="BB47" s="156">
        <f t="shared" si="132"/>
        <v>49.482588346429644</v>
      </c>
      <c r="BC47" s="156">
        <f t="shared" ref="BC47:BG61" si="151">(BC7-BB7)/BB7*100</f>
        <v>65.469795765949499</v>
      </c>
      <c r="BD47" s="156">
        <f t="shared" si="151"/>
        <v>-13.554378960159708</v>
      </c>
      <c r="BE47" s="156">
        <f t="shared" si="151"/>
        <v>-47.069984135590495</v>
      </c>
      <c r="BF47" s="156">
        <f t="shared" si="151"/>
        <v>29.532855089773086</v>
      </c>
      <c r="BG47" s="156">
        <f t="shared" si="151"/>
        <v>62.807604776563572</v>
      </c>
      <c r="BH47" s="156">
        <f t="shared" si="133"/>
        <v>-12.820227742292358</v>
      </c>
      <c r="BI47" s="156">
        <f t="shared" si="134"/>
        <v>-42.981940820886486</v>
      </c>
      <c r="BJ47" s="156">
        <f t="shared" si="135"/>
        <v>25.74753391656423</v>
      </c>
      <c r="BK47" s="156">
        <f t="shared" si="136"/>
        <v>63.975617284199352</v>
      </c>
      <c r="BL47" s="156">
        <f t="shared" si="137"/>
        <v>-16.383477192897956</v>
      </c>
      <c r="BM47" s="156">
        <f t="shared" si="138"/>
        <v>-43.113943101247514</v>
      </c>
      <c r="BN47" s="156">
        <f t="shared" si="139"/>
        <v>25.828200683461144</v>
      </c>
      <c r="BO47" s="156">
        <f t="shared" si="140"/>
        <v>66.142112925040792</v>
      </c>
      <c r="BP47" s="156">
        <f t="shared" si="141"/>
        <v>-15.115185918356358</v>
      </c>
      <c r="BQ47" s="156">
        <f t="shared" si="142"/>
        <v>-42.803487213986784</v>
      </c>
      <c r="BR47" s="156">
        <f t="shared" si="143"/>
        <v>30.563754678492984</v>
      </c>
      <c r="BS47" s="156">
        <f t="shared" si="144"/>
        <v>67.531827157696924</v>
      </c>
      <c r="BT47" s="156">
        <f t="shared" si="145"/>
        <v>-22.2695559789857</v>
      </c>
      <c r="BU47" s="156">
        <f t="shared" si="146"/>
        <v>-42.500634644978561</v>
      </c>
      <c r="BV47" s="156">
        <f t="shared" si="147"/>
        <v>40.050355652039642</v>
      </c>
      <c r="BW47" s="156">
        <f t="shared" si="148"/>
        <v>70.571216144450361</v>
      </c>
      <c r="BX47" s="156">
        <f t="shared" si="149"/>
        <v>-29.343034058812105</v>
      </c>
      <c r="BY47" s="156">
        <f t="shared" si="150"/>
        <v>-41.897770335771575</v>
      </c>
      <c r="BZ47" s="363"/>
      <c r="CA47" s="363"/>
      <c r="CB47" s="363"/>
      <c r="CC47" s="363"/>
      <c r="CD47" s="363"/>
      <c r="CE47" s="363"/>
    </row>
    <row r="48" spans="1:83">
      <c r="A48" s="170" t="s">
        <v>2</v>
      </c>
      <c r="B48" s="253"/>
      <c r="C48" s="157">
        <f t="shared" si="81"/>
        <v>-0.69413851813928584</v>
      </c>
      <c r="D48" s="157">
        <f t="shared" si="82"/>
        <v>1.5350214612857593</v>
      </c>
      <c r="E48" s="157">
        <f t="shared" si="83"/>
        <v>-0.90030303996435301</v>
      </c>
      <c r="F48" s="157">
        <f t="shared" si="84"/>
        <v>-1.0731154745014939</v>
      </c>
      <c r="G48" s="157">
        <f t="shared" si="85"/>
        <v>-0.68245929454313436</v>
      </c>
      <c r="H48" s="157">
        <f t="shared" si="86"/>
        <v>1.7948821603266361</v>
      </c>
      <c r="I48" s="157">
        <f t="shared" si="87"/>
        <v>-4.3048330090147906E-2</v>
      </c>
      <c r="J48" s="157">
        <f t="shared" si="88"/>
        <v>-1.4352709716584973</v>
      </c>
      <c r="K48" s="157">
        <f t="shared" si="89"/>
        <v>2.0037164082244616</v>
      </c>
      <c r="L48" s="157">
        <f t="shared" si="90"/>
        <v>2.1022682367817911</v>
      </c>
      <c r="M48" s="157">
        <f t="shared" si="91"/>
        <v>-0.37092654230203631</v>
      </c>
      <c r="N48" s="157">
        <f t="shared" si="92"/>
        <v>-1.3637550228885271</v>
      </c>
      <c r="O48" s="157">
        <f t="shared" si="93"/>
        <v>7.8767757206265193E-3</v>
      </c>
      <c r="P48" s="157">
        <f t="shared" si="94"/>
        <v>0.29890009490767749</v>
      </c>
      <c r="Q48" s="157">
        <f t="shared" si="95"/>
        <v>-0.50586988103184316</v>
      </c>
      <c r="R48" s="157">
        <f t="shared" si="96"/>
        <v>-2.0570509420619225</v>
      </c>
      <c r="S48" s="157">
        <f t="shared" si="97"/>
        <v>0.50808053539842024</v>
      </c>
      <c r="T48" s="157">
        <f t="shared" si="98"/>
        <v>0.98216075365804778</v>
      </c>
      <c r="U48" s="157">
        <f t="shared" si="99"/>
        <v>0.10782056371575965</v>
      </c>
      <c r="V48" s="157">
        <f t="shared" si="100"/>
        <v>-2.6654072068385157</v>
      </c>
      <c r="W48" s="157">
        <f t="shared" si="101"/>
        <v>1.2180882313397974</v>
      </c>
      <c r="X48" s="157">
        <f t="shared" si="102"/>
        <v>-5.6351634197391719E-2</v>
      </c>
      <c r="Y48" s="157">
        <f t="shared" si="103"/>
        <v>8.1151832460738843E-2</v>
      </c>
      <c r="Z48" s="157">
        <f t="shared" si="104"/>
        <v>-1.8358038080253065</v>
      </c>
      <c r="AA48" s="157">
        <f t="shared" si="105"/>
        <v>2.2753592591605676</v>
      </c>
      <c r="AB48" s="157">
        <f t="shared" si="106"/>
        <v>6.0122650206421102E-2</v>
      </c>
      <c r="AC48" s="157">
        <f t="shared" si="107"/>
        <v>-1.2051353949687493</v>
      </c>
      <c r="AD48" s="157">
        <f t="shared" si="108"/>
        <v>-1.5855638878245597</v>
      </c>
      <c r="AE48" s="157">
        <f t="shared" si="109"/>
        <v>2.7484230865891379</v>
      </c>
      <c r="AF48" s="157">
        <f t="shared" si="110"/>
        <v>1.4635593764034129</v>
      </c>
      <c r="AG48" s="157">
        <f t="shared" si="111"/>
        <v>0.55370254740320024</v>
      </c>
      <c r="AH48" s="157">
        <f t="shared" si="112"/>
        <v>-1.837935475554265</v>
      </c>
      <c r="AI48" s="157">
        <f t="shared" si="113"/>
        <v>3.3725085740046916</v>
      </c>
      <c r="AJ48" s="157">
        <f t="shared" si="114"/>
        <v>2.0217669158371745</v>
      </c>
      <c r="AK48" s="157">
        <f t="shared" si="115"/>
        <v>-0.46634524125887455</v>
      </c>
      <c r="AL48" s="157">
        <f t="shared" si="116"/>
        <v>-3.4327351728780933E-4</v>
      </c>
      <c r="AM48" s="157">
        <f t="shared" si="117"/>
        <v>-0.2672584213864701</v>
      </c>
      <c r="AN48" s="157">
        <f t="shared" si="118"/>
        <v>3.0327367293865688</v>
      </c>
      <c r="AO48" s="157">
        <f t="shared" si="119"/>
        <v>-4.947143758583576</v>
      </c>
      <c r="AP48" s="157">
        <f t="shared" si="120"/>
        <v>6.6619702524856379</v>
      </c>
      <c r="AQ48" s="157">
        <f t="shared" si="121"/>
        <v>-1.9555762204274751</v>
      </c>
      <c r="AR48" s="157">
        <f t="shared" si="122"/>
        <v>-1.2856585405927146</v>
      </c>
      <c r="AS48" s="157">
        <f t="shared" si="123"/>
        <v>-3.6838372279961744</v>
      </c>
      <c r="AT48" s="157">
        <f t="shared" si="124"/>
        <v>1.4429402361960333</v>
      </c>
      <c r="AU48" s="157">
        <f t="shared" si="125"/>
        <v>1.2077369498979869</v>
      </c>
      <c r="AV48" s="157">
        <f t="shared" si="126"/>
        <v>0.75359824032898204</v>
      </c>
      <c r="AW48" s="157">
        <f t="shared" si="127"/>
        <v>2.7230738564635053</v>
      </c>
      <c r="AX48" s="157">
        <f t="shared" si="128"/>
        <v>-2.4726986715435628</v>
      </c>
      <c r="AY48" s="157">
        <f t="shared" si="129"/>
        <v>-0.51715917936699018</v>
      </c>
      <c r="AZ48" s="157">
        <f t="shared" si="130"/>
        <v>0.79619047619047623</v>
      </c>
      <c r="BA48" s="157">
        <f t="shared" si="131"/>
        <v>-0.82686420499640512</v>
      </c>
      <c r="BB48" s="157">
        <f t="shared" si="132"/>
        <v>-8.2793703711325648</v>
      </c>
      <c r="BC48" s="157">
        <f t="shared" si="151"/>
        <v>5.1770641102108037</v>
      </c>
      <c r="BD48" s="157">
        <f t="shared" si="151"/>
        <v>-1.6707556917312953</v>
      </c>
      <c r="BE48" s="157">
        <f t="shared" si="151"/>
        <v>0.93580892351038758</v>
      </c>
      <c r="BF48" s="157">
        <f t="shared" si="151"/>
        <v>-10.430675105711957</v>
      </c>
      <c r="BG48" s="157">
        <f t="shared" si="151"/>
        <v>4.8404923689706321</v>
      </c>
      <c r="BH48" s="157">
        <f t="shared" si="133"/>
        <v>0.87632086046745183</v>
      </c>
      <c r="BI48" s="157">
        <f t="shared" si="134"/>
        <v>1.5277364539066562</v>
      </c>
      <c r="BJ48" s="157">
        <f t="shared" si="135"/>
        <v>1.989126306522045</v>
      </c>
      <c r="BK48" s="157">
        <f t="shared" si="136"/>
        <v>-4.5533792367318933</v>
      </c>
      <c r="BL48" s="157">
        <f t="shared" si="137"/>
        <v>7.7979729045758965</v>
      </c>
      <c r="BM48" s="157">
        <f t="shared" si="138"/>
        <v>2.0024987950308617</v>
      </c>
      <c r="BN48" s="157">
        <f t="shared" si="139"/>
        <v>-3.2180982658617574</v>
      </c>
      <c r="BO48" s="157">
        <f t="shared" si="140"/>
        <v>2.3076992836962291</v>
      </c>
      <c r="BP48" s="157">
        <f t="shared" si="141"/>
        <v>-4.6800909604304017</v>
      </c>
      <c r="BQ48" s="157">
        <f t="shared" si="142"/>
        <v>0.93349868088882604</v>
      </c>
      <c r="BR48" s="157">
        <f t="shared" si="143"/>
        <v>-7.9276758732007071</v>
      </c>
      <c r="BS48" s="157">
        <f t="shared" si="144"/>
        <v>11.462581708321419</v>
      </c>
      <c r="BT48" s="157">
        <f t="shared" si="145"/>
        <v>-4.1666328849774903</v>
      </c>
      <c r="BU48" s="157">
        <f t="shared" si="146"/>
        <v>-1.4443259754338285</v>
      </c>
      <c r="BV48" s="157">
        <f t="shared" si="147"/>
        <v>-1.6775571541223384</v>
      </c>
      <c r="BW48" s="157">
        <f t="shared" si="148"/>
        <v>4.7078613442286006</v>
      </c>
      <c r="BX48" s="157">
        <f t="shared" si="149"/>
        <v>1.1957075069324958</v>
      </c>
      <c r="BY48" s="157">
        <f t="shared" si="150"/>
        <v>5.0183919884929189</v>
      </c>
      <c r="BZ48" s="363"/>
      <c r="CA48" s="363"/>
      <c r="CB48" s="363"/>
      <c r="CC48" s="363"/>
      <c r="CD48" s="363"/>
      <c r="CE48" s="363"/>
    </row>
    <row r="49" spans="1:83">
      <c r="A49" s="2" t="s">
        <v>3</v>
      </c>
      <c r="B49" s="254"/>
      <c r="C49" s="159">
        <f t="shared" si="81"/>
        <v>1.8610490466188803</v>
      </c>
      <c r="D49" s="159">
        <f t="shared" si="82"/>
        <v>5.6141633222543179</v>
      </c>
      <c r="E49" s="159">
        <f t="shared" si="83"/>
        <v>-1.9289089014306899</v>
      </c>
      <c r="F49" s="159">
        <f t="shared" si="84"/>
        <v>-3.1303532063010593</v>
      </c>
      <c r="G49" s="159">
        <f t="shared" si="85"/>
        <v>1.4694629046475047</v>
      </c>
      <c r="H49" s="159">
        <f t="shared" si="86"/>
        <v>5.7581567957673432</v>
      </c>
      <c r="I49" s="159">
        <f t="shared" si="87"/>
        <v>-0.16320841629432215</v>
      </c>
      <c r="J49" s="159">
        <f t="shared" si="88"/>
        <v>-4.1539845929144139</v>
      </c>
      <c r="K49" s="159">
        <f t="shared" si="89"/>
        <v>3.1648858397492132</v>
      </c>
      <c r="L49" s="159">
        <f t="shared" si="90"/>
        <v>3.8058278562347025</v>
      </c>
      <c r="M49" s="159">
        <f t="shared" si="91"/>
        <v>-0.48484441152683777</v>
      </c>
      <c r="N49" s="159">
        <f t="shared" si="92"/>
        <v>-5.6094429159408223</v>
      </c>
      <c r="O49" s="159">
        <f t="shared" si="93"/>
        <v>1.3564761326822101</v>
      </c>
      <c r="P49" s="159">
        <f t="shared" si="94"/>
        <v>2.2173349736796326</v>
      </c>
      <c r="Q49" s="159">
        <f t="shared" si="95"/>
        <v>-0.31463981261109664</v>
      </c>
      <c r="R49" s="159">
        <f t="shared" si="96"/>
        <v>-5.6009404658409911</v>
      </c>
      <c r="S49" s="159">
        <f t="shared" si="97"/>
        <v>2.6278096947014018</v>
      </c>
      <c r="T49" s="159">
        <f t="shared" si="98"/>
        <v>4.6827311540853573</v>
      </c>
      <c r="U49" s="159">
        <f t="shared" si="99"/>
        <v>2.2790791117203231</v>
      </c>
      <c r="V49" s="159">
        <f t="shared" si="100"/>
        <v>-3.3485629804111747</v>
      </c>
      <c r="W49" s="159">
        <f t="shared" si="101"/>
        <v>3.5825459631702681</v>
      </c>
      <c r="X49" s="159">
        <f t="shared" si="102"/>
        <v>5.3510356869928151</v>
      </c>
      <c r="Y49" s="159">
        <f t="shared" si="103"/>
        <v>2.3422505270733294</v>
      </c>
      <c r="Z49" s="159">
        <f t="shared" si="104"/>
        <v>-5.3792142468323583</v>
      </c>
      <c r="AA49" s="159">
        <f t="shared" si="105"/>
        <v>1.962235451413779</v>
      </c>
      <c r="AB49" s="159">
        <f t="shared" si="106"/>
        <v>2.4449973779660175</v>
      </c>
      <c r="AC49" s="159">
        <f t="shared" si="107"/>
        <v>1.3274305885373399</v>
      </c>
      <c r="AD49" s="159">
        <f t="shared" si="108"/>
        <v>-4.6083479382692207</v>
      </c>
      <c r="AE49" s="159">
        <f t="shared" si="109"/>
        <v>3.5528616054796007</v>
      </c>
      <c r="AF49" s="159">
        <f t="shared" si="110"/>
        <v>4.8092171357247162</v>
      </c>
      <c r="AG49" s="159">
        <f t="shared" si="111"/>
        <v>0.55980396298956447</v>
      </c>
      <c r="AH49" s="159">
        <f t="shared" si="112"/>
        <v>-5.9079784887507127</v>
      </c>
      <c r="AI49" s="159">
        <f t="shared" si="113"/>
        <v>0.65303844275448275</v>
      </c>
      <c r="AJ49" s="159">
        <f t="shared" si="114"/>
        <v>3.974602470436555</v>
      </c>
      <c r="AK49" s="159">
        <f t="shared" si="115"/>
        <v>-0.39733333333333332</v>
      </c>
      <c r="AL49" s="159">
        <f t="shared" si="116"/>
        <v>-1.3930015260635669</v>
      </c>
      <c r="AM49" s="159">
        <f t="shared" si="117"/>
        <v>2.8878082686454665</v>
      </c>
      <c r="AN49" s="159">
        <f t="shared" si="118"/>
        <v>5.6887183560588186</v>
      </c>
      <c r="AO49" s="159">
        <f t="shared" si="119"/>
        <v>0.12609238451935081</v>
      </c>
      <c r="AP49" s="159">
        <f t="shared" si="120"/>
        <v>-3.8490791885387963</v>
      </c>
      <c r="AQ49" s="159">
        <f t="shared" si="121"/>
        <v>5.705967787950315</v>
      </c>
      <c r="AR49" s="159">
        <f t="shared" si="122"/>
        <v>5.4002927100955533</v>
      </c>
      <c r="AS49" s="159">
        <f t="shared" si="123"/>
        <v>0.2431441836861708</v>
      </c>
      <c r="AT49" s="159">
        <f t="shared" si="124"/>
        <v>-4.2071407837445669</v>
      </c>
      <c r="AU49" s="159">
        <f t="shared" si="125"/>
        <v>4.5477905883037426</v>
      </c>
      <c r="AV49" s="159">
        <f t="shared" si="126"/>
        <v>5.5088715137687077</v>
      </c>
      <c r="AW49" s="159">
        <f t="shared" si="127"/>
        <v>1.9095612118867966</v>
      </c>
      <c r="AX49" s="159">
        <f t="shared" si="128"/>
        <v>-4.2167602945774885</v>
      </c>
      <c r="AY49" s="159">
        <f t="shared" si="129"/>
        <v>3.2589515631991759</v>
      </c>
      <c r="AZ49" s="159">
        <f t="shared" si="130"/>
        <v>3.8309226538460495</v>
      </c>
      <c r="BA49" s="159">
        <f t="shared" si="131"/>
        <v>3.6423293478403527</v>
      </c>
      <c r="BB49" s="159">
        <f t="shared" si="132"/>
        <v>-7.0724671450026717</v>
      </c>
      <c r="BC49" s="159">
        <f t="shared" si="151"/>
        <v>6.1606471235923106</v>
      </c>
      <c r="BD49" s="159">
        <f t="shared" si="151"/>
        <v>2.6041439678127309</v>
      </c>
      <c r="BE49" s="159">
        <f t="shared" si="151"/>
        <v>-3.7146676521876558</v>
      </c>
      <c r="BF49" s="159">
        <f t="shared" si="151"/>
        <v>-10.949726140583685</v>
      </c>
      <c r="BG49" s="159">
        <f t="shared" si="151"/>
        <v>1.7047754588215422</v>
      </c>
      <c r="BH49" s="159">
        <f t="shared" si="133"/>
        <v>5.7731137672725872</v>
      </c>
      <c r="BI49" s="159">
        <f t="shared" si="134"/>
        <v>1.7250660482792199</v>
      </c>
      <c r="BJ49" s="159">
        <f t="shared" si="135"/>
        <v>-5.2393530250414582</v>
      </c>
      <c r="BK49" s="159">
        <f t="shared" si="136"/>
        <v>4.9662268420405953</v>
      </c>
      <c r="BL49" s="159">
        <f t="shared" si="137"/>
        <v>2.9439950859421296</v>
      </c>
      <c r="BM49" s="159">
        <f t="shared" si="138"/>
        <v>0.69978025677804889</v>
      </c>
      <c r="BN49" s="159">
        <f t="shared" si="139"/>
        <v>-3.9425787860058641</v>
      </c>
      <c r="BO49" s="159">
        <f t="shared" si="140"/>
        <v>2.1217200626225368</v>
      </c>
      <c r="BP49" s="159">
        <f t="shared" si="141"/>
        <v>3.2604901092989955</v>
      </c>
      <c r="BQ49" s="159">
        <f t="shared" si="142"/>
        <v>1.2079279918309311</v>
      </c>
      <c r="BR49" s="159">
        <f t="shared" si="143"/>
        <v>-5.6980525664330441</v>
      </c>
      <c r="BS49" s="159">
        <f t="shared" si="144"/>
        <v>3.0520326864160041</v>
      </c>
      <c r="BT49" s="159">
        <f t="shared" si="145"/>
        <v>3.6294493932608298</v>
      </c>
      <c r="BU49" s="159">
        <f t="shared" si="146"/>
        <v>2.1291788976836385</v>
      </c>
      <c r="BV49" s="159">
        <f t="shared" si="147"/>
        <v>-8.4472868021790166</v>
      </c>
      <c r="BW49" s="159">
        <f t="shared" si="148"/>
        <v>5.5633375169680681</v>
      </c>
      <c r="BX49" s="159">
        <f t="shared" si="149"/>
        <v>1.4797422566101095</v>
      </c>
      <c r="BY49" s="159">
        <f t="shared" si="150"/>
        <v>3.5048319467699889</v>
      </c>
      <c r="BZ49" s="363"/>
      <c r="CA49" s="363"/>
      <c r="CB49" s="363"/>
      <c r="CC49" s="363"/>
      <c r="CD49" s="363"/>
      <c r="CE49" s="363"/>
    </row>
    <row r="50" spans="1:83">
      <c r="A50" s="3" t="s">
        <v>4</v>
      </c>
      <c r="B50" s="252"/>
      <c r="C50" s="156">
        <f t="shared" si="81"/>
        <v>1.916501374627096</v>
      </c>
      <c r="D50" s="156">
        <f t="shared" si="82"/>
        <v>7.0731261902898437</v>
      </c>
      <c r="E50" s="156">
        <f t="shared" si="83"/>
        <v>-1.1651422194716659</v>
      </c>
      <c r="F50" s="156">
        <f t="shared" si="84"/>
        <v>-5.1715412681195216</v>
      </c>
      <c r="G50" s="156">
        <f t="shared" si="85"/>
        <v>0.81944114284597591</v>
      </c>
      <c r="H50" s="156">
        <f t="shared" si="86"/>
        <v>6.2962515249569</v>
      </c>
      <c r="I50" s="156">
        <f t="shared" si="87"/>
        <v>0.14318150944128322</v>
      </c>
      <c r="J50" s="156">
        <f t="shared" si="88"/>
        <v>-5.2647938735083635</v>
      </c>
      <c r="K50" s="156">
        <f t="shared" si="89"/>
        <v>3.4345211307940922</v>
      </c>
      <c r="L50" s="156">
        <f t="shared" si="90"/>
        <v>4.8432710372787495</v>
      </c>
      <c r="M50" s="156">
        <f t="shared" si="91"/>
        <v>-0.74697249783076169</v>
      </c>
      <c r="N50" s="156">
        <f t="shared" si="92"/>
        <v>-5.2798852103842764</v>
      </c>
      <c r="O50" s="156">
        <f t="shared" si="93"/>
        <v>1.7138300832888038</v>
      </c>
      <c r="P50" s="156">
        <f t="shared" si="94"/>
        <v>3.0457253323864757</v>
      </c>
      <c r="Q50" s="156">
        <f t="shared" si="95"/>
        <v>-0.6451242390596883</v>
      </c>
      <c r="R50" s="156">
        <f t="shared" si="96"/>
        <v>-5.9982081270110355</v>
      </c>
      <c r="S50" s="156">
        <f t="shared" si="97"/>
        <v>2.6177203472912374</v>
      </c>
      <c r="T50" s="156">
        <f t="shared" si="98"/>
        <v>5.6985918306201935</v>
      </c>
      <c r="U50" s="156">
        <f t="shared" si="99"/>
        <v>2.2903359915340715</v>
      </c>
      <c r="V50" s="156">
        <f t="shared" si="100"/>
        <v>-3.4992795122852458</v>
      </c>
      <c r="W50" s="156">
        <f t="shared" si="101"/>
        <v>3.5534223245955334</v>
      </c>
      <c r="X50" s="156">
        <f t="shared" si="102"/>
        <v>6.1173556163573171</v>
      </c>
      <c r="Y50" s="156">
        <f t="shared" si="103"/>
        <v>2.5243462657444993</v>
      </c>
      <c r="Z50" s="156">
        <f t="shared" si="104"/>
        <v>-5.5400509770603223</v>
      </c>
      <c r="AA50" s="156">
        <f t="shared" si="105"/>
        <v>2.0111646622178792</v>
      </c>
      <c r="AB50" s="156">
        <f t="shared" si="106"/>
        <v>2.8414493416059337</v>
      </c>
      <c r="AC50" s="156">
        <f t="shared" si="107"/>
        <v>1.3134655944031963</v>
      </c>
      <c r="AD50" s="156">
        <f t="shared" si="108"/>
        <v>-5.4700854700854702</v>
      </c>
      <c r="AE50" s="156">
        <f t="shared" si="109"/>
        <v>3.8422287075000447</v>
      </c>
      <c r="AF50" s="156">
        <f t="shared" si="110"/>
        <v>5.3283677304781136</v>
      </c>
      <c r="AG50" s="156">
        <f t="shared" si="111"/>
        <v>0.16729579927122723</v>
      </c>
      <c r="AH50" s="156">
        <f t="shared" si="112"/>
        <v>-7.0052098654063606</v>
      </c>
      <c r="AI50" s="156">
        <f t="shared" si="113"/>
        <v>0.333889816360601</v>
      </c>
      <c r="AJ50" s="156">
        <f t="shared" si="114"/>
        <v>4.3471407303616783</v>
      </c>
      <c r="AK50" s="156">
        <f t="shared" si="115"/>
        <v>-0.96178055289793052</v>
      </c>
      <c r="AL50" s="156">
        <f t="shared" si="116"/>
        <v>-1.718527557453732</v>
      </c>
      <c r="AM50" s="156">
        <f t="shared" si="117"/>
        <v>2.7504742196930505</v>
      </c>
      <c r="AN50" s="156">
        <f t="shared" si="118"/>
        <v>6.1726944700847532</v>
      </c>
      <c r="AO50" s="156">
        <f t="shared" si="119"/>
        <v>-0.21497557814204193</v>
      </c>
      <c r="AP50" s="156">
        <f t="shared" si="120"/>
        <v>-4.8223422624233638</v>
      </c>
      <c r="AQ50" s="156">
        <f t="shared" si="121"/>
        <v>6.2968104016457209</v>
      </c>
      <c r="AR50" s="156">
        <f t="shared" si="122"/>
        <v>6.0282372025221633</v>
      </c>
      <c r="AS50" s="156">
        <f t="shared" si="123"/>
        <v>-0.41363870630471311</v>
      </c>
      <c r="AT50" s="156">
        <f t="shared" si="124"/>
        <v>-4.6945251794293892</v>
      </c>
      <c r="AU50" s="156">
        <f t="shared" si="125"/>
        <v>4.8047150934647789</v>
      </c>
      <c r="AV50" s="156">
        <f t="shared" si="126"/>
        <v>6.0895332713760215</v>
      </c>
      <c r="AW50" s="156">
        <f t="shared" si="127"/>
        <v>1.7268401903162609</v>
      </c>
      <c r="AX50" s="156">
        <f t="shared" si="128"/>
        <v>-5.4213552700360417</v>
      </c>
      <c r="AY50" s="156">
        <f t="shared" si="129"/>
        <v>3.4907567669774409</v>
      </c>
      <c r="AZ50" s="156">
        <f t="shared" si="130"/>
        <v>4.0068584599384431</v>
      </c>
      <c r="BA50" s="156">
        <f t="shared" si="131"/>
        <v>3.1511810172423114</v>
      </c>
      <c r="BB50" s="156">
        <f t="shared" si="132"/>
        <v>-7.3407042548731996</v>
      </c>
      <c r="BC50" s="156">
        <f t="shared" si="151"/>
        <v>7.3997206372185875</v>
      </c>
      <c r="BD50" s="156">
        <f t="shared" si="151"/>
        <v>2.0535894816655795</v>
      </c>
      <c r="BE50" s="156">
        <f t="shared" si="151"/>
        <v>-4.982955620894117</v>
      </c>
      <c r="BF50" s="156">
        <f t="shared" si="151"/>
        <v>-13.557736257646786</v>
      </c>
      <c r="BG50" s="156">
        <f t="shared" si="151"/>
        <v>1.7302055318898384</v>
      </c>
      <c r="BH50" s="156">
        <f t="shared" si="133"/>
        <v>6.6815559855370656</v>
      </c>
      <c r="BI50" s="156">
        <f t="shared" si="134"/>
        <v>1.5281199908135452</v>
      </c>
      <c r="BJ50" s="156">
        <f t="shared" si="135"/>
        <v>-5.6234938645437316</v>
      </c>
      <c r="BK50" s="156">
        <f t="shared" si="136"/>
        <v>6.4151315132141482</v>
      </c>
      <c r="BL50" s="156">
        <f t="shared" si="137"/>
        <v>3.3795670639764346</v>
      </c>
      <c r="BM50" s="156">
        <f t="shared" si="138"/>
        <v>0.1864305488515258</v>
      </c>
      <c r="BN50" s="156">
        <f t="shared" si="139"/>
        <v>-3.9527675574456751</v>
      </c>
      <c r="BO50" s="156">
        <f t="shared" si="140"/>
        <v>2.426719160093016</v>
      </c>
      <c r="BP50" s="156">
        <f t="shared" si="141"/>
        <v>3.8821744222562091</v>
      </c>
      <c r="BQ50" s="156">
        <f t="shared" si="142"/>
        <v>0.96495580676299464</v>
      </c>
      <c r="BR50" s="156">
        <f t="shared" si="143"/>
        <v>-6.3170217816623966</v>
      </c>
      <c r="BS50" s="156">
        <f t="shared" si="144"/>
        <v>3.7847655502115587</v>
      </c>
      <c r="BT50" s="156">
        <f t="shared" si="145"/>
        <v>4.0994515586446063</v>
      </c>
      <c r="BU50" s="156">
        <f t="shared" si="146"/>
        <v>2.1033415352507285</v>
      </c>
      <c r="BV50" s="156">
        <f t="shared" si="147"/>
        <v>-9.6157168093190872</v>
      </c>
      <c r="BW50" s="156">
        <f t="shared" si="148"/>
        <v>6.7517072300067902</v>
      </c>
      <c r="BX50" s="156">
        <f t="shared" si="149"/>
        <v>1.1427794813172447</v>
      </c>
      <c r="BY50" s="156">
        <f t="shared" si="150"/>
        <v>3.5930380369665804</v>
      </c>
      <c r="BZ50" s="363"/>
      <c r="CA50" s="363"/>
      <c r="CB50" s="363"/>
      <c r="CC50" s="363"/>
      <c r="CD50" s="363"/>
      <c r="CE50" s="363"/>
    </row>
    <row r="51" spans="1:83">
      <c r="A51" s="3" t="s">
        <v>5</v>
      </c>
      <c r="B51" s="252"/>
      <c r="C51" s="156">
        <f t="shared" si="81"/>
        <v>1.9562704982039703</v>
      </c>
      <c r="D51" s="156">
        <f t="shared" si="82"/>
        <v>1.6197271554748089</v>
      </c>
      <c r="E51" s="156">
        <f t="shared" si="83"/>
        <v>-5.3662948447392225</v>
      </c>
      <c r="F51" s="156">
        <f t="shared" si="84"/>
        <v>3.9503026441541889</v>
      </c>
      <c r="G51" s="156">
        <f t="shared" si="85"/>
        <v>6.5430585350904069</v>
      </c>
      <c r="H51" s="156">
        <f t="shared" si="86"/>
        <v>8.3072055227959218</v>
      </c>
      <c r="I51" s="156">
        <f t="shared" si="87"/>
        <v>1.2499668021140307</v>
      </c>
      <c r="J51" s="156">
        <f t="shared" si="88"/>
        <v>-5.0720484528632435</v>
      </c>
      <c r="K51" s="156">
        <f t="shared" si="89"/>
        <v>3.7036474164133701</v>
      </c>
      <c r="L51" s="156">
        <f t="shared" si="90"/>
        <v>1.278032312515075</v>
      </c>
      <c r="M51" s="156">
        <f t="shared" si="91"/>
        <v>-2.5914233096553536</v>
      </c>
      <c r="N51" s="156">
        <f t="shared" si="92"/>
        <v>-7.4760297096556432</v>
      </c>
      <c r="O51" s="156">
        <f t="shared" si="93"/>
        <v>2.4133753685378223</v>
      </c>
      <c r="P51" s="156">
        <f t="shared" si="94"/>
        <v>0.72469448106317547</v>
      </c>
      <c r="Q51" s="156">
        <f t="shared" si="95"/>
        <v>-1.7912728507555657</v>
      </c>
      <c r="R51" s="156">
        <f t="shared" si="96"/>
        <v>-5.2903039907794245</v>
      </c>
      <c r="S51" s="156">
        <f t="shared" si="97"/>
        <v>5.3059113450363595</v>
      </c>
      <c r="T51" s="156">
        <f t="shared" si="98"/>
        <v>2.9522144858868038</v>
      </c>
      <c r="U51" s="156">
        <f t="shared" si="99"/>
        <v>-0.18198477052660886</v>
      </c>
      <c r="V51" s="156">
        <f t="shared" si="100"/>
        <v>-3.8571830193983643</v>
      </c>
      <c r="W51" s="156">
        <f t="shared" si="101"/>
        <v>5.0007310369027387</v>
      </c>
      <c r="X51" s="156">
        <f t="shared" si="102"/>
        <v>3.3609361663020776</v>
      </c>
      <c r="Y51" s="156">
        <f t="shared" si="103"/>
        <v>-3.637343392159504</v>
      </c>
      <c r="Z51" s="156">
        <f t="shared" si="104"/>
        <v>-6.416888019013002</v>
      </c>
      <c r="AA51" s="156">
        <f t="shared" si="105"/>
        <v>2.718852703913953</v>
      </c>
      <c r="AB51" s="156">
        <f t="shared" si="106"/>
        <v>3.0996218731820844</v>
      </c>
      <c r="AC51" s="156">
        <f t="shared" si="107"/>
        <v>-2.9500093805586878</v>
      </c>
      <c r="AD51" s="156">
        <f t="shared" si="108"/>
        <v>-1.1918604651162792</v>
      </c>
      <c r="AE51" s="156">
        <f t="shared" si="109"/>
        <v>4.8014121800529512</v>
      </c>
      <c r="AF51" s="156">
        <f t="shared" si="110"/>
        <v>3.3967772724720682</v>
      </c>
      <c r="AG51" s="156">
        <f t="shared" si="111"/>
        <v>-2.0661381407471739</v>
      </c>
      <c r="AH51" s="156">
        <f t="shared" si="112"/>
        <v>-2.3869590529788449</v>
      </c>
      <c r="AI51" s="156">
        <f t="shared" si="113"/>
        <v>3.9335416074978702</v>
      </c>
      <c r="AJ51" s="156">
        <f t="shared" si="114"/>
        <v>3.3337887689575081</v>
      </c>
      <c r="AK51" s="156">
        <f t="shared" si="115"/>
        <v>-1.8907840803913791</v>
      </c>
      <c r="AL51" s="156">
        <f t="shared" si="116"/>
        <v>0.65229110512128896</v>
      </c>
      <c r="AM51" s="156">
        <f t="shared" si="117"/>
        <v>4.6087515398211227</v>
      </c>
      <c r="AN51" s="156">
        <f t="shared" si="118"/>
        <v>4.0370683255254285</v>
      </c>
      <c r="AO51" s="156">
        <f t="shared" si="119"/>
        <v>-2.4852362204724412</v>
      </c>
      <c r="AP51" s="156">
        <f t="shared" si="120"/>
        <v>-0.80494574817058018</v>
      </c>
      <c r="AQ51" s="156">
        <f t="shared" si="121"/>
        <v>4.5636081503904782</v>
      </c>
      <c r="AR51" s="156">
        <f t="shared" si="122"/>
        <v>2.7247293516603821</v>
      </c>
      <c r="AS51" s="156">
        <f t="shared" si="123"/>
        <v>0.43812907045589106</v>
      </c>
      <c r="AT51" s="156">
        <f t="shared" si="124"/>
        <v>-4.7111530299457725</v>
      </c>
      <c r="AU51" s="156">
        <f t="shared" si="125"/>
        <v>5.0727506681183812</v>
      </c>
      <c r="AV51" s="156">
        <f t="shared" si="126"/>
        <v>3.3300362677217406</v>
      </c>
      <c r="AW51" s="156">
        <f t="shared" si="127"/>
        <v>0.15726137296015213</v>
      </c>
      <c r="AX51" s="156">
        <f t="shared" si="128"/>
        <v>-4.730344749118216</v>
      </c>
      <c r="AY51" s="156">
        <f t="shared" si="129"/>
        <v>4.3710626100976322</v>
      </c>
      <c r="AZ51" s="156">
        <f t="shared" si="130"/>
        <v>4.4282976227937176</v>
      </c>
      <c r="BA51" s="156">
        <f t="shared" si="131"/>
        <v>-0.77797561977811258</v>
      </c>
      <c r="BB51" s="156">
        <f t="shared" si="132"/>
        <v>-10.146047872780983</v>
      </c>
      <c r="BC51" s="156">
        <f t="shared" si="151"/>
        <v>3.1954771707736742</v>
      </c>
      <c r="BD51" s="156">
        <f t="shared" si="151"/>
        <v>7.7294110641338651</v>
      </c>
      <c r="BE51" s="156">
        <f t="shared" si="151"/>
        <v>-4.7356143938975244</v>
      </c>
      <c r="BF51" s="156">
        <f t="shared" si="151"/>
        <v>-7.5190376389382028</v>
      </c>
      <c r="BG51" s="156">
        <f t="shared" si="151"/>
        <v>4.2257241429330374</v>
      </c>
      <c r="BH51" s="156">
        <f t="shared" si="133"/>
        <v>5.4055690779560948</v>
      </c>
      <c r="BI51" s="156">
        <f t="shared" si="134"/>
        <v>-0.83594937541661996</v>
      </c>
      <c r="BJ51" s="156">
        <f t="shared" si="135"/>
        <v>-5.4999274917358427</v>
      </c>
      <c r="BK51" s="156">
        <f t="shared" si="136"/>
        <v>3.9132998662405036</v>
      </c>
      <c r="BL51" s="156">
        <f t="shared" si="137"/>
        <v>4.5031069743175012</v>
      </c>
      <c r="BM51" s="156">
        <f t="shared" si="138"/>
        <v>-0.11162567046956871</v>
      </c>
      <c r="BN51" s="156">
        <f t="shared" si="139"/>
        <v>-5.8612613851702511</v>
      </c>
      <c r="BO51" s="156">
        <f t="shared" si="140"/>
        <v>4.0238323594167262</v>
      </c>
      <c r="BP51" s="156">
        <f t="shared" si="141"/>
        <v>3.4022395722948606</v>
      </c>
      <c r="BQ51" s="156">
        <f t="shared" si="142"/>
        <v>-0.73228163746198938</v>
      </c>
      <c r="BR51" s="156">
        <f t="shared" si="143"/>
        <v>-6.7718250669988809</v>
      </c>
      <c r="BS51" s="156">
        <f t="shared" si="144"/>
        <v>2.4004924013185702</v>
      </c>
      <c r="BT51" s="156">
        <f t="shared" si="145"/>
        <v>3.9213305246571761</v>
      </c>
      <c r="BU51" s="156">
        <f t="shared" si="146"/>
        <v>-1.71443219976113</v>
      </c>
      <c r="BV51" s="156">
        <f t="shared" si="147"/>
        <v>-6.9913032472180046</v>
      </c>
      <c r="BW51" s="156">
        <f t="shared" si="148"/>
        <v>5.3179989049184666</v>
      </c>
      <c r="BX51" s="156">
        <f t="shared" si="149"/>
        <v>4.8054088968474762</v>
      </c>
      <c r="BY51" s="156">
        <f t="shared" si="150"/>
        <v>-2.6035809416280227</v>
      </c>
      <c r="BZ51" s="363"/>
      <c r="CA51" s="363"/>
      <c r="CB51" s="363"/>
      <c r="CC51" s="363"/>
      <c r="CD51" s="363"/>
      <c r="CE51" s="363"/>
    </row>
    <row r="52" spans="1:83">
      <c r="A52" s="170" t="s">
        <v>6</v>
      </c>
      <c r="B52" s="253"/>
      <c r="C52" s="157">
        <f t="shared" si="81"/>
        <v>1.3602086649776255</v>
      </c>
      <c r="D52" s="157">
        <f t="shared" si="82"/>
        <v>-1.1182960608942956</v>
      </c>
      <c r="E52" s="157">
        <f t="shared" si="83"/>
        <v>-4.4734868350736701</v>
      </c>
      <c r="F52" s="157">
        <f t="shared" si="84"/>
        <v>6.4719771428236967</v>
      </c>
      <c r="G52" s="157">
        <f t="shared" si="85"/>
        <v>1.1860649397780312</v>
      </c>
      <c r="H52" s="157">
        <f t="shared" si="86"/>
        <v>-0.85470201584509475</v>
      </c>
      <c r="I52" s="157">
        <f t="shared" si="87"/>
        <v>-4.1871804557239454</v>
      </c>
      <c r="J52" s="157">
        <f t="shared" si="88"/>
        <v>6.0668288225099145</v>
      </c>
      <c r="K52" s="157">
        <f t="shared" si="89"/>
        <v>0.60591024666077453</v>
      </c>
      <c r="L52" s="157">
        <f t="shared" si="90"/>
        <v>-1.1804281527721452</v>
      </c>
      <c r="M52" s="157">
        <f t="shared" si="91"/>
        <v>4.0224288700123081</v>
      </c>
      <c r="N52" s="157">
        <f t="shared" si="92"/>
        <v>-6.1191605647497598</v>
      </c>
      <c r="O52" s="157">
        <f t="shared" si="93"/>
        <v>-2.5091600102767941</v>
      </c>
      <c r="P52" s="157">
        <f t="shared" si="94"/>
        <v>-2.7717289283992508</v>
      </c>
      <c r="Q52" s="157">
        <f t="shared" si="95"/>
        <v>4.194655673357544</v>
      </c>
      <c r="R52" s="157">
        <f t="shared" si="96"/>
        <v>-2.7164337626029855</v>
      </c>
      <c r="S52" s="157">
        <f t="shared" si="97"/>
        <v>-0.12052944949599433</v>
      </c>
      <c r="T52" s="157">
        <f t="shared" si="98"/>
        <v>-1.5687897569924423</v>
      </c>
      <c r="U52" s="157">
        <f t="shared" si="99"/>
        <v>5.0470112256177941</v>
      </c>
      <c r="V52" s="157">
        <f t="shared" si="100"/>
        <v>-1.5172188147200472</v>
      </c>
      <c r="W52" s="157">
        <f t="shared" si="101"/>
        <v>2.2911358505963033</v>
      </c>
      <c r="X52" s="157">
        <f t="shared" si="102"/>
        <v>1.1585161977699094</v>
      </c>
      <c r="Y52" s="157">
        <f t="shared" si="103"/>
        <v>7.5205198588040885</v>
      </c>
      <c r="Z52" s="157">
        <f t="shared" si="104"/>
        <v>-2.9824314404947128</v>
      </c>
      <c r="AA52" s="157">
        <f t="shared" si="105"/>
        <v>0.82342308656679264</v>
      </c>
      <c r="AB52" s="157">
        <f t="shared" si="106"/>
        <v>-1.4700509652877176</v>
      </c>
      <c r="AC52" s="157">
        <f t="shared" si="107"/>
        <v>5.9126992541700485</v>
      </c>
      <c r="AD52" s="157">
        <f t="shared" si="108"/>
        <v>-0.79730602466928735</v>
      </c>
      <c r="AE52" s="157">
        <f t="shared" si="109"/>
        <v>9.8107918710581651E-2</v>
      </c>
      <c r="AF52" s="157">
        <f t="shared" si="110"/>
        <v>2.00224026883226</v>
      </c>
      <c r="AG52" s="157">
        <f t="shared" si="111"/>
        <v>6.5065202470830474</v>
      </c>
      <c r="AH52" s="157">
        <f t="shared" si="112"/>
        <v>-0.52841861064570173</v>
      </c>
      <c r="AI52" s="157">
        <f t="shared" si="113"/>
        <v>1.2956724540036279E-2</v>
      </c>
      <c r="AJ52" s="157">
        <f t="shared" si="114"/>
        <v>1.8266614846482705</v>
      </c>
      <c r="AK52" s="157">
        <f t="shared" si="115"/>
        <v>5.3180661577608141</v>
      </c>
      <c r="AL52" s="157">
        <f t="shared" si="116"/>
        <v>-0.90601594588064749</v>
      </c>
      <c r="AM52" s="157">
        <f t="shared" si="117"/>
        <v>2.2918444471534802</v>
      </c>
      <c r="AN52" s="157">
        <f t="shared" si="118"/>
        <v>3.7897747586700037</v>
      </c>
      <c r="AO52" s="157">
        <f t="shared" si="119"/>
        <v>5.0407624296704565</v>
      </c>
      <c r="AP52" s="157">
        <f t="shared" si="120"/>
        <v>0.22955837341495411</v>
      </c>
      <c r="AQ52" s="157">
        <f t="shared" si="121"/>
        <v>2.8138292071109174</v>
      </c>
      <c r="AR52" s="157">
        <f t="shared" si="122"/>
        <v>3.4793677734167821</v>
      </c>
      <c r="AS52" s="157">
        <f t="shared" si="123"/>
        <v>4.6335212711430032</v>
      </c>
      <c r="AT52" s="157">
        <f t="shared" si="124"/>
        <v>-0.56823748407955321</v>
      </c>
      <c r="AU52" s="157">
        <f t="shared" si="125"/>
        <v>2.5027096265641933</v>
      </c>
      <c r="AV52" s="157">
        <f t="shared" si="126"/>
        <v>3.5278285110064402</v>
      </c>
      <c r="AW52" s="157">
        <f t="shared" si="127"/>
        <v>4.549675023212628</v>
      </c>
      <c r="AX52" s="157">
        <f t="shared" si="128"/>
        <v>3.9609236234458258</v>
      </c>
      <c r="AY52" s="157">
        <f t="shared" si="129"/>
        <v>1.1019989748846746</v>
      </c>
      <c r="AZ52" s="157">
        <f t="shared" si="130"/>
        <v>2.332065906210393</v>
      </c>
      <c r="BA52" s="157">
        <f t="shared" si="131"/>
        <v>9.9744034348938992</v>
      </c>
      <c r="BB52" s="157">
        <f t="shared" si="132"/>
        <v>-3.4454538629026179</v>
      </c>
      <c r="BC52" s="157">
        <f t="shared" si="151"/>
        <v>1.2216079190675062</v>
      </c>
      <c r="BD52" s="157">
        <f t="shared" si="151"/>
        <v>2.5111391082567618</v>
      </c>
      <c r="BE52" s="157">
        <f t="shared" si="151"/>
        <v>4.3458972068512782</v>
      </c>
      <c r="BF52" s="157">
        <f t="shared" si="151"/>
        <v>0.72450445274345876</v>
      </c>
      <c r="BG52" s="157">
        <f t="shared" si="151"/>
        <v>0.15686408725065742</v>
      </c>
      <c r="BH52" s="157">
        <f t="shared" si="133"/>
        <v>1.8011117059446653</v>
      </c>
      <c r="BI52" s="157">
        <f t="shared" si="134"/>
        <v>4.2447908653778912</v>
      </c>
      <c r="BJ52" s="157">
        <f t="shared" si="135"/>
        <v>-3.2795595054095772</v>
      </c>
      <c r="BK52" s="157">
        <f t="shared" si="136"/>
        <v>-1.088916631987793</v>
      </c>
      <c r="BL52" s="157">
        <f t="shared" si="137"/>
        <v>-0.14024261973213659</v>
      </c>
      <c r="BM52" s="157">
        <f t="shared" si="138"/>
        <v>3.8332982234393622</v>
      </c>
      <c r="BN52" s="157">
        <f t="shared" si="139"/>
        <v>-2.7375582441214812</v>
      </c>
      <c r="BO52" s="157">
        <f t="shared" si="140"/>
        <v>-0.4728099512588565</v>
      </c>
      <c r="BP52" s="157">
        <f t="shared" si="141"/>
        <v>5.5888948659014538E-2</v>
      </c>
      <c r="BQ52" s="157">
        <f t="shared" si="142"/>
        <v>3.6940113530836918</v>
      </c>
      <c r="BR52" s="157">
        <f t="shared" si="143"/>
        <v>-1.9127125423199232</v>
      </c>
      <c r="BS52" s="157">
        <f t="shared" si="144"/>
        <v>-0.12356611817039768</v>
      </c>
      <c r="BT52" s="157">
        <f t="shared" si="145"/>
        <v>1.0928511041920119</v>
      </c>
      <c r="BU52" s="157">
        <f t="shared" si="146"/>
        <v>4.582236998660596</v>
      </c>
      <c r="BV52" s="157">
        <f t="shared" si="147"/>
        <v>-3.3614483365687011</v>
      </c>
      <c r="BW52" s="157">
        <f t="shared" si="148"/>
        <v>7.3999327278842925E-2</v>
      </c>
      <c r="BX52" s="157">
        <f t="shared" si="149"/>
        <v>1.2705028233396074</v>
      </c>
      <c r="BY52" s="157">
        <f t="shared" si="150"/>
        <v>6.6910056422170596</v>
      </c>
      <c r="BZ52" s="363"/>
      <c r="CA52" s="363"/>
      <c r="CB52" s="363"/>
      <c r="CC52" s="363"/>
      <c r="CD52" s="363"/>
      <c r="CE52" s="363"/>
    </row>
    <row r="53" spans="1:83">
      <c r="A53" s="2" t="s">
        <v>7</v>
      </c>
      <c r="B53" s="254"/>
      <c r="C53" s="159">
        <f t="shared" si="81"/>
        <v>1.1398938126918079</v>
      </c>
      <c r="D53" s="159">
        <f t="shared" si="82"/>
        <v>3.3626470668456032</v>
      </c>
      <c r="E53" s="159">
        <f t="shared" si="83"/>
        <v>3.7820610837796731</v>
      </c>
      <c r="F53" s="159">
        <f t="shared" si="84"/>
        <v>-3.7682360282099605</v>
      </c>
      <c r="G53" s="159">
        <f t="shared" si="85"/>
        <v>1.1397244998711717</v>
      </c>
      <c r="H53" s="159">
        <f t="shared" si="86"/>
        <v>2.9605437260891194</v>
      </c>
      <c r="I53" s="159">
        <f t="shared" si="87"/>
        <v>3.7720029100950634</v>
      </c>
      <c r="J53" s="159">
        <f t="shared" si="88"/>
        <v>-4.1268033632966201</v>
      </c>
      <c r="K53" s="159">
        <f t="shared" si="89"/>
        <v>0.82803633884344174</v>
      </c>
      <c r="L53" s="159">
        <f t="shared" si="90"/>
        <v>1.9547127108650229</v>
      </c>
      <c r="M53" s="159">
        <f t="shared" si="91"/>
        <v>2.6270583861355239</v>
      </c>
      <c r="N53" s="159">
        <f t="shared" si="92"/>
        <v>-3.8952127509747103</v>
      </c>
      <c r="O53" s="159">
        <f t="shared" si="93"/>
        <v>1.6185001672609727</v>
      </c>
      <c r="P53" s="159">
        <f t="shared" si="94"/>
        <v>1.8889818837287944</v>
      </c>
      <c r="Q53" s="159">
        <f t="shared" si="95"/>
        <v>2.7884382432582475</v>
      </c>
      <c r="R53" s="159">
        <f t="shared" si="96"/>
        <v>-3.2363513837802684</v>
      </c>
      <c r="S53" s="159">
        <f t="shared" si="97"/>
        <v>1.9415133875758879</v>
      </c>
      <c r="T53" s="159">
        <f t="shared" si="98"/>
        <v>2.615889412959342</v>
      </c>
      <c r="U53" s="159">
        <f t="shared" si="99"/>
        <v>3.6139088092627882</v>
      </c>
      <c r="V53" s="159">
        <f t="shared" si="100"/>
        <v>-3.8620137276845128</v>
      </c>
      <c r="W53" s="159">
        <f t="shared" si="101"/>
        <v>1.7879656357004452</v>
      </c>
      <c r="X53" s="159">
        <f t="shared" si="102"/>
        <v>2.3672229135091309</v>
      </c>
      <c r="Y53" s="159">
        <f t="shared" si="103"/>
        <v>3.5583357737854109</v>
      </c>
      <c r="Z53" s="159">
        <f t="shared" si="104"/>
        <v>-3.9060189906438043</v>
      </c>
      <c r="AA53" s="159">
        <f t="shared" si="105"/>
        <v>1.6995316737528261</v>
      </c>
      <c r="AB53" s="159">
        <f t="shared" si="106"/>
        <v>2.1631610990011327</v>
      </c>
      <c r="AC53" s="159">
        <f t="shared" si="107"/>
        <v>3.7879200669996305</v>
      </c>
      <c r="AD53" s="159">
        <f t="shared" si="108"/>
        <v>-2.9162537425081609</v>
      </c>
      <c r="AE53" s="159">
        <f t="shared" si="109"/>
        <v>1.2012295538856064</v>
      </c>
      <c r="AF53" s="159">
        <f t="shared" si="110"/>
        <v>1.7523001828195328</v>
      </c>
      <c r="AG53" s="159">
        <f t="shared" si="111"/>
        <v>3.738081280304927</v>
      </c>
      <c r="AH53" s="159">
        <f t="shared" si="112"/>
        <v>-2.752140475123277</v>
      </c>
      <c r="AI53" s="159">
        <f t="shared" si="113"/>
        <v>1.2101614317087803</v>
      </c>
      <c r="AJ53" s="159">
        <f t="shared" si="114"/>
        <v>2.294399927104974</v>
      </c>
      <c r="AK53" s="159">
        <f t="shared" si="115"/>
        <v>3.7463635588321691</v>
      </c>
      <c r="AL53" s="159">
        <f t="shared" si="116"/>
        <v>-3.0796702669376357</v>
      </c>
      <c r="AM53" s="159">
        <f t="shared" si="117"/>
        <v>1.4936274158709522</v>
      </c>
      <c r="AN53" s="159">
        <f t="shared" si="118"/>
        <v>2.2524576190135752</v>
      </c>
      <c r="AO53" s="159">
        <f t="shared" si="119"/>
        <v>5.1057241319814937</v>
      </c>
      <c r="AP53" s="159">
        <f t="shared" si="120"/>
        <v>-3.2205557091512222</v>
      </c>
      <c r="AQ53" s="159">
        <f t="shared" si="121"/>
        <v>1.4198367381919048</v>
      </c>
      <c r="AR53" s="159">
        <f t="shared" si="122"/>
        <v>2.3345423273332524</v>
      </c>
      <c r="AS53" s="159">
        <f t="shared" si="123"/>
        <v>4.6107808381368995</v>
      </c>
      <c r="AT53" s="159">
        <f t="shared" si="124"/>
        <v>-2.4749320627037603</v>
      </c>
      <c r="AU53" s="159">
        <f t="shared" si="125"/>
        <v>1.6685004152281226</v>
      </c>
      <c r="AV53" s="159">
        <f t="shared" si="126"/>
        <v>2.5595309668832433</v>
      </c>
      <c r="AW53" s="159">
        <f t="shared" si="127"/>
        <v>4.9197493430361838</v>
      </c>
      <c r="AX53" s="159">
        <f t="shared" si="128"/>
        <v>-2.4345038320893653</v>
      </c>
      <c r="AY53" s="159">
        <f t="shared" si="129"/>
        <v>0.93088099968009608</v>
      </c>
      <c r="AZ53" s="159">
        <f t="shared" si="130"/>
        <v>2.429976756744066</v>
      </c>
      <c r="BA53" s="159">
        <f t="shared" si="131"/>
        <v>4.8260291555881549</v>
      </c>
      <c r="BB53" s="159">
        <f t="shared" si="132"/>
        <v>-3.2094041202473709</v>
      </c>
      <c r="BC53" s="159">
        <f t="shared" si="151"/>
        <v>1.22499286628308</v>
      </c>
      <c r="BD53" s="159">
        <f t="shared" si="151"/>
        <v>1.7276178954362165</v>
      </c>
      <c r="BE53" s="159">
        <f t="shared" si="151"/>
        <v>4.2438865215259085</v>
      </c>
      <c r="BF53" s="159">
        <f t="shared" si="151"/>
        <v>-5.1298117751638275</v>
      </c>
      <c r="BG53" s="159">
        <f t="shared" si="151"/>
        <v>0.40274562678521114</v>
      </c>
      <c r="BH53" s="159">
        <f t="shared" si="133"/>
        <v>1.4416752294270345</v>
      </c>
      <c r="BI53" s="159">
        <f t="shared" si="134"/>
        <v>3.9351135186610224</v>
      </c>
      <c r="BJ53" s="159">
        <f t="shared" si="135"/>
        <v>-4.2387239024067656</v>
      </c>
      <c r="BK53" s="159">
        <f t="shared" si="136"/>
        <v>1.4568077721371329</v>
      </c>
      <c r="BL53" s="159">
        <f t="shared" si="137"/>
        <v>1.8660570682719262</v>
      </c>
      <c r="BM53" s="159">
        <f t="shared" si="138"/>
        <v>4.3861094178376971</v>
      </c>
      <c r="BN53" s="159">
        <f t="shared" si="139"/>
        <v>-3.7655205282583251</v>
      </c>
      <c r="BO53" s="159">
        <f t="shared" si="140"/>
        <v>1.4843287397999867</v>
      </c>
      <c r="BP53" s="159">
        <f t="shared" si="141"/>
        <v>2.1560449502990875</v>
      </c>
      <c r="BQ53" s="159">
        <f t="shared" si="142"/>
        <v>4.7632277613754184</v>
      </c>
      <c r="BR53" s="159">
        <f t="shared" si="143"/>
        <v>-4.1595575987451863</v>
      </c>
      <c r="BS53" s="159">
        <f t="shared" si="144"/>
        <v>0.92900912458836715</v>
      </c>
      <c r="BT53" s="159">
        <f t="shared" si="145"/>
        <v>1.4338826771362472</v>
      </c>
      <c r="BU53" s="159">
        <f t="shared" si="146"/>
        <v>4.3761583217688695</v>
      </c>
      <c r="BV53" s="159">
        <f t="shared" si="147"/>
        <v>-4.598526295989867</v>
      </c>
      <c r="BW53" s="159">
        <f t="shared" si="148"/>
        <v>1.4799939059466094</v>
      </c>
      <c r="BX53" s="159">
        <f t="shared" si="149"/>
        <v>1.1773013357150479</v>
      </c>
      <c r="BY53" s="159">
        <f t="shared" si="150"/>
        <v>3.6473784118272476</v>
      </c>
      <c r="BZ53" s="363"/>
      <c r="CA53" s="363"/>
      <c r="CB53" s="363"/>
      <c r="CC53" s="363"/>
      <c r="CD53" s="363"/>
      <c r="CE53" s="363"/>
    </row>
    <row r="54" spans="1:83">
      <c r="A54" s="3" t="s">
        <v>8</v>
      </c>
      <c r="B54" s="252"/>
      <c r="C54" s="156">
        <f t="shared" si="81"/>
        <v>2.5858783892976298</v>
      </c>
      <c r="D54" s="156">
        <f t="shared" si="82"/>
        <v>6.6545654922044672</v>
      </c>
      <c r="E54" s="156">
        <f t="shared" si="83"/>
        <v>14.946511062484804</v>
      </c>
      <c r="F54" s="156">
        <f t="shared" si="84"/>
        <v>-15.981677330654117</v>
      </c>
      <c r="G54" s="156">
        <f t="shared" si="85"/>
        <v>1.6130641232246434</v>
      </c>
      <c r="H54" s="156">
        <f t="shared" si="86"/>
        <v>4.8467017652524005</v>
      </c>
      <c r="I54" s="156">
        <f t="shared" si="87"/>
        <v>14.012701225815979</v>
      </c>
      <c r="J54" s="156">
        <f t="shared" si="88"/>
        <v>-15.930794839244536</v>
      </c>
      <c r="K54" s="156">
        <f t="shared" si="89"/>
        <v>0.65023367965467349</v>
      </c>
      <c r="L54" s="156">
        <f t="shared" si="90"/>
        <v>3.8394565240104845</v>
      </c>
      <c r="M54" s="156">
        <f t="shared" si="91"/>
        <v>12.168702683461365</v>
      </c>
      <c r="N54" s="156">
        <f t="shared" si="92"/>
        <v>-14.658853872137865</v>
      </c>
      <c r="O54" s="156">
        <f t="shared" si="93"/>
        <v>2.1981268040376594</v>
      </c>
      <c r="P54" s="156">
        <f t="shared" si="94"/>
        <v>3.6920943970583804</v>
      </c>
      <c r="Q54" s="156">
        <f t="shared" si="95"/>
        <v>12.780490640623182</v>
      </c>
      <c r="R54" s="156">
        <f t="shared" si="96"/>
        <v>-12.631323934950133</v>
      </c>
      <c r="S54" s="156">
        <f t="shared" si="97"/>
        <v>3.8616020332791399</v>
      </c>
      <c r="T54" s="156">
        <f t="shared" si="98"/>
        <v>5.7542105711607823</v>
      </c>
      <c r="U54" s="156">
        <f t="shared" si="99"/>
        <v>15.638512152544648</v>
      </c>
      <c r="V54" s="156">
        <f t="shared" si="100"/>
        <v>-13.78805332342422</v>
      </c>
      <c r="W54" s="156">
        <f t="shared" si="101"/>
        <v>3.7471909537260975</v>
      </c>
      <c r="X54" s="156">
        <f t="shared" si="102"/>
        <v>4.2273942710012937</v>
      </c>
      <c r="Y54" s="156">
        <f t="shared" si="103"/>
        <v>13.925690454955388</v>
      </c>
      <c r="Z54" s="156">
        <f t="shared" si="104"/>
        <v>-15.529717909468616</v>
      </c>
      <c r="AA54" s="156">
        <f t="shared" si="105"/>
        <v>2.0529011661410581</v>
      </c>
      <c r="AB54" s="156">
        <f t="shared" si="106"/>
        <v>2.7523219704291542</v>
      </c>
      <c r="AC54" s="156">
        <f t="shared" si="107"/>
        <v>13.602835709838429</v>
      </c>
      <c r="AD54" s="156">
        <f t="shared" si="108"/>
        <v>-15.002218780926565</v>
      </c>
      <c r="AE54" s="156">
        <f t="shared" si="109"/>
        <v>2.4697797140578017</v>
      </c>
      <c r="AF54" s="156">
        <f t="shared" si="110"/>
        <v>3.8199746499396183</v>
      </c>
      <c r="AG54" s="156">
        <f t="shared" si="111"/>
        <v>14.28990285942254</v>
      </c>
      <c r="AH54" s="156">
        <f t="shared" si="112"/>
        <v>-16.396948426900618</v>
      </c>
      <c r="AI54" s="156">
        <f t="shared" si="113"/>
        <v>2.6711538026213528</v>
      </c>
      <c r="AJ54" s="156">
        <f t="shared" si="114"/>
        <v>5.4798983833944588</v>
      </c>
      <c r="AK54" s="156">
        <f t="shared" si="115"/>
        <v>14.290359291172166</v>
      </c>
      <c r="AL54" s="156">
        <f t="shared" si="116"/>
        <v>-15.547652916073968</v>
      </c>
      <c r="AM54" s="156">
        <f t="shared" si="117"/>
        <v>2.9668663827329822</v>
      </c>
      <c r="AN54" s="156">
        <f t="shared" si="118"/>
        <v>4.5499158721256308</v>
      </c>
      <c r="AO54" s="156">
        <f t="shared" si="119"/>
        <v>18.654864882987997</v>
      </c>
      <c r="AP54" s="156">
        <f t="shared" si="120"/>
        <v>-15.76980314589809</v>
      </c>
      <c r="AQ54" s="156">
        <f t="shared" si="121"/>
        <v>2.296840334931654</v>
      </c>
      <c r="AR54" s="156">
        <f t="shared" si="122"/>
        <v>4.7144112670144285</v>
      </c>
      <c r="AS54" s="156">
        <f t="shared" si="123"/>
        <v>18.297596926738628</v>
      </c>
      <c r="AT54" s="156">
        <f t="shared" si="124"/>
        <v>-16.83521293305801</v>
      </c>
      <c r="AU54" s="156">
        <f t="shared" si="125"/>
        <v>2.9158354908535293</v>
      </c>
      <c r="AV54" s="156">
        <f t="shared" si="126"/>
        <v>4.9839161992741667</v>
      </c>
      <c r="AW54" s="156">
        <f t="shared" si="127"/>
        <v>18.054327971245065</v>
      </c>
      <c r="AX54" s="156">
        <f t="shared" si="128"/>
        <v>-16.714083686881288</v>
      </c>
      <c r="AY54" s="156">
        <f t="shared" si="129"/>
        <v>2.5050440480233327</v>
      </c>
      <c r="AZ54" s="156">
        <f t="shared" si="130"/>
        <v>4.6537914368678504</v>
      </c>
      <c r="BA54" s="156">
        <f t="shared" si="131"/>
        <v>16.448483268467999</v>
      </c>
      <c r="BB54" s="156">
        <f t="shared" si="132"/>
        <v>-16.594798029871743</v>
      </c>
      <c r="BC54" s="156">
        <f t="shared" si="151"/>
        <v>0.30966353659992496</v>
      </c>
      <c r="BD54" s="156">
        <f t="shared" si="151"/>
        <v>1.5413971591753906</v>
      </c>
      <c r="BE54" s="156">
        <f t="shared" si="151"/>
        <v>16.988970579307878</v>
      </c>
      <c r="BF54" s="156">
        <f t="shared" si="151"/>
        <v>-17.12578835451334</v>
      </c>
      <c r="BG54" s="156">
        <f t="shared" si="151"/>
        <v>-0.54891440369840816</v>
      </c>
      <c r="BH54" s="156">
        <f t="shared" si="133"/>
        <v>3.583387650867325</v>
      </c>
      <c r="BI54" s="156">
        <f t="shared" si="134"/>
        <v>15.50384270195719</v>
      </c>
      <c r="BJ54" s="156">
        <f t="shared" si="135"/>
        <v>-15.090142389500294</v>
      </c>
      <c r="BK54" s="156">
        <f t="shared" si="136"/>
        <v>2.0812195402894829</v>
      </c>
      <c r="BL54" s="156">
        <f t="shared" si="137"/>
        <v>4.5212583012221925</v>
      </c>
      <c r="BM54" s="156">
        <f t="shared" si="138"/>
        <v>16.455502209029579</v>
      </c>
      <c r="BN54" s="156">
        <f t="shared" si="139"/>
        <v>-16.137175713118459</v>
      </c>
      <c r="BO54" s="156">
        <f t="shared" si="140"/>
        <v>1.7999282018971792</v>
      </c>
      <c r="BP54" s="156">
        <f t="shared" si="141"/>
        <v>5.0128521105838031</v>
      </c>
      <c r="BQ54" s="156">
        <f t="shared" si="142"/>
        <v>17.139370452830537</v>
      </c>
      <c r="BR54" s="156">
        <f t="shared" si="143"/>
        <v>-16.37678096210243</v>
      </c>
      <c r="BS54" s="156">
        <f t="shared" si="144"/>
        <v>1.2521089296041921</v>
      </c>
      <c r="BT54" s="156">
        <f t="shared" si="145"/>
        <v>4.3241236806275456</v>
      </c>
      <c r="BU54" s="156">
        <f t="shared" si="146"/>
        <v>16.745081896423812</v>
      </c>
      <c r="BV54" s="156">
        <f t="shared" si="147"/>
        <v>-17.091671406417291</v>
      </c>
      <c r="BW54" s="156">
        <f t="shared" si="148"/>
        <v>1.4389116870339977</v>
      </c>
      <c r="BX54" s="156">
        <f t="shared" si="149"/>
        <v>3.9114353709124021</v>
      </c>
      <c r="BY54" s="156">
        <f t="shared" si="150"/>
        <v>16.78952183186496</v>
      </c>
      <c r="BZ54" s="363"/>
      <c r="CA54" s="363"/>
      <c r="CB54" s="363"/>
      <c r="CC54" s="363"/>
      <c r="CD54" s="363"/>
      <c r="CE54" s="363"/>
    </row>
    <row r="55" spans="1:83">
      <c r="A55" s="3" t="s">
        <v>9</v>
      </c>
      <c r="B55" s="252"/>
      <c r="C55" s="156">
        <f t="shared" si="81"/>
        <v>0.23525001958087408</v>
      </c>
      <c r="D55" s="156">
        <f t="shared" si="82"/>
        <v>8.2121936857615587</v>
      </c>
      <c r="E55" s="156">
        <f t="shared" si="83"/>
        <v>2.0734474932948213</v>
      </c>
      <c r="F55" s="156">
        <f t="shared" si="84"/>
        <v>-2.6376958059626072</v>
      </c>
      <c r="G55" s="156">
        <f t="shared" si="85"/>
        <v>-0.45152584596221712</v>
      </c>
      <c r="H55" s="156">
        <f t="shared" si="86"/>
        <v>6.8264428340545384</v>
      </c>
      <c r="I55" s="156">
        <f t="shared" si="87"/>
        <v>0.54962377466888834</v>
      </c>
      <c r="J55" s="156">
        <f t="shared" si="88"/>
        <v>-0.94646410716885887</v>
      </c>
      <c r="K55" s="156">
        <f t="shared" si="89"/>
        <v>0.93884751078007911</v>
      </c>
      <c r="L55" s="156">
        <f t="shared" si="90"/>
        <v>6.9049884463776063</v>
      </c>
      <c r="M55" s="156">
        <f t="shared" si="91"/>
        <v>2.4339297066569796</v>
      </c>
      <c r="N55" s="156">
        <f t="shared" si="92"/>
        <v>-2.2484262789254399</v>
      </c>
      <c r="O55" s="156">
        <f t="shared" si="93"/>
        <v>0.40452047091262328</v>
      </c>
      <c r="P55" s="156">
        <f t="shared" si="94"/>
        <v>3.5235772357723532</v>
      </c>
      <c r="Q55" s="156">
        <f t="shared" si="95"/>
        <v>1.1513028727598331</v>
      </c>
      <c r="R55" s="156">
        <f t="shared" si="96"/>
        <v>-2.7562111801242235</v>
      </c>
      <c r="S55" s="156">
        <f t="shared" si="97"/>
        <v>2.27811044577511</v>
      </c>
      <c r="T55" s="156">
        <f t="shared" si="98"/>
        <v>5.872212536754196</v>
      </c>
      <c r="U55" s="156">
        <f t="shared" si="99"/>
        <v>2.2994226353959877</v>
      </c>
      <c r="V55" s="156">
        <f t="shared" si="100"/>
        <v>-1.7418114839433012</v>
      </c>
      <c r="W55" s="156">
        <f t="shared" si="101"/>
        <v>2.5575614328212173</v>
      </c>
      <c r="X55" s="156">
        <f t="shared" si="102"/>
        <v>4.9479866171830986</v>
      </c>
      <c r="Y55" s="156">
        <f t="shared" si="103"/>
        <v>1.3068381453166453</v>
      </c>
      <c r="Z55" s="156">
        <f t="shared" si="104"/>
        <v>-3.124266547071791</v>
      </c>
      <c r="AA55" s="156">
        <f t="shared" si="105"/>
        <v>1.9017755460429022</v>
      </c>
      <c r="AB55" s="156">
        <f t="shared" si="106"/>
        <v>5.5046566214886044</v>
      </c>
      <c r="AC55" s="156">
        <f t="shared" si="107"/>
        <v>3.1326252332424289</v>
      </c>
      <c r="AD55" s="156">
        <f t="shared" si="108"/>
        <v>-1.8162207299676418</v>
      </c>
      <c r="AE55" s="156">
        <f t="shared" si="109"/>
        <v>2.6847159715085529</v>
      </c>
      <c r="AF55" s="156">
        <f t="shared" si="110"/>
        <v>5.0005866802868528</v>
      </c>
      <c r="AG55" s="156">
        <f t="shared" si="111"/>
        <v>2.3079249053428716</v>
      </c>
      <c r="AH55" s="156">
        <f t="shared" si="112"/>
        <v>-2.7236104061321367</v>
      </c>
      <c r="AI55" s="156">
        <f t="shared" si="113"/>
        <v>1.955085865257596</v>
      </c>
      <c r="AJ55" s="156">
        <f t="shared" si="114"/>
        <v>3.912930811090956</v>
      </c>
      <c r="AK55" s="156">
        <f t="shared" si="115"/>
        <v>3.0392768079800501</v>
      </c>
      <c r="AL55" s="156">
        <f t="shared" si="116"/>
        <v>-4.595371350779005</v>
      </c>
      <c r="AM55" s="156">
        <f t="shared" si="117"/>
        <v>2.1150431253170976</v>
      </c>
      <c r="AN55" s="156">
        <f t="shared" si="118"/>
        <v>5.4653293171443655</v>
      </c>
      <c r="AO55" s="156">
        <f t="shared" si="119"/>
        <v>2.3378382357271148</v>
      </c>
      <c r="AP55" s="156">
        <f t="shared" si="120"/>
        <v>-4.1203210863998576</v>
      </c>
      <c r="AQ55" s="156">
        <f t="shared" si="121"/>
        <v>2.1305390263736723</v>
      </c>
      <c r="AR55" s="156">
        <f t="shared" si="122"/>
        <v>4.8541350202292302</v>
      </c>
      <c r="AS55" s="156">
        <f t="shared" si="123"/>
        <v>2.0679799366716169</v>
      </c>
      <c r="AT55" s="156">
        <f t="shared" si="124"/>
        <v>-4.2964996568291012</v>
      </c>
      <c r="AU55" s="156">
        <f t="shared" si="125"/>
        <v>2.4354561101549055</v>
      </c>
      <c r="AV55" s="156">
        <f t="shared" si="126"/>
        <v>5.8276624940491191</v>
      </c>
      <c r="AW55" s="156">
        <f t="shared" si="127"/>
        <v>1.2119608362000529</v>
      </c>
      <c r="AX55" s="156">
        <f t="shared" si="128"/>
        <v>-2.2432545492574776</v>
      </c>
      <c r="AY55" s="156">
        <f t="shared" si="129"/>
        <v>2.241240973522332</v>
      </c>
      <c r="AZ55" s="156">
        <f t="shared" si="130"/>
        <v>4.6405775871089254</v>
      </c>
      <c r="BA55" s="156">
        <f t="shared" si="131"/>
        <v>1.6674166291685415</v>
      </c>
      <c r="BB55" s="156">
        <f t="shared" si="132"/>
        <v>-4.061437458506477</v>
      </c>
      <c r="BC55" s="156">
        <f t="shared" si="151"/>
        <v>1.9501679949081037</v>
      </c>
      <c r="BD55" s="156">
        <f t="shared" si="151"/>
        <v>4.4427247959910376</v>
      </c>
      <c r="BE55" s="156">
        <f t="shared" si="151"/>
        <v>1.5304923121434217</v>
      </c>
      <c r="BF55" s="156">
        <f t="shared" si="151"/>
        <v>-5.4516630011745217</v>
      </c>
      <c r="BG55" s="156">
        <f t="shared" si="151"/>
        <v>0.50164160669315172</v>
      </c>
      <c r="BH55" s="156">
        <f t="shared" si="133"/>
        <v>4.0181007188740443</v>
      </c>
      <c r="BI55" s="156">
        <f t="shared" si="134"/>
        <v>1.5627917583813475</v>
      </c>
      <c r="BJ55" s="156">
        <f t="shared" si="135"/>
        <v>-5.2016622972755524</v>
      </c>
      <c r="BK55" s="156">
        <f t="shared" si="136"/>
        <v>1.8739262286644465</v>
      </c>
      <c r="BL55" s="156">
        <f t="shared" si="137"/>
        <v>4.5566765040216044</v>
      </c>
      <c r="BM55" s="156">
        <f t="shared" si="138"/>
        <v>1.7894054673420943</v>
      </c>
      <c r="BN55" s="156">
        <f t="shared" si="139"/>
        <v>-4.9816873887916637</v>
      </c>
      <c r="BO55" s="156">
        <f t="shared" si="140"/>
        <v>2.128090109458868</v>
      </c>
      <c r="BP55" s="156">
        <f t="shared" si="141"/>
        <v>4.2595937286308931</v>
      </c>
      <c r="BQ55" s="156">
        <f t="shared" si="142"/>
        <v>1.9913005818613088</v>
      </c>
      <c r="BR55" s="156">
        <f t="shared" si="143"/>
        <v>-5.1751877146420346</v>
      </c>
      <c r="BS55" s="156">
        <f t="shared" si="144"/>
        <v>1.8104473454894692</v>
      </c>
      <c r="BT55" s="156">
        <f t="shared" si="145"/>
        <v>3.7799374188198098</v>
      </c>
      <c r="BU55" s="156">
        <f t="shared" si="146"/>
        <v>1.7042034114960283</v>
      </c>
      <c r="BV55" s="156">
        <f t="shared" si="147"/>
        <v>-5.2285508032894885</v>
      </c>
      <c r="BW55" s="156">
        <f t="shared" si="148"/>
        <v>1.7400936253558077</v>
      </c>
      <c r="BX55" s="156">
        <f t="shared" si="149"/>
        <v>4.0854425407619521</v>
      </c>
      <c r="BY55" s="156">
        <f t="shared" si="150"/>
        <v>1.6577021472729589</v>
      </c>
      <c r="BZ55" s="363"/>
      <c r="CA55" s="363"/>
      <c r="CB55" s="363"/>
      <c r="CC55" s="363"/>
      <c r="CD55" s="363"/>
      <c r="CE55" s="363"/>
    </row>
    <row r="56" spans="1:83">
      <c r="A56" s="3" t="s">
        <v>10</v>
      </c>
      <c r="B56" s="252"/>
      <c r="C56" s="156">
        <f t="shared" si="81"/>
        <v>0.97964804105639736</v>
      </c>
      <c r="D56" s="156">
        <f t="shared" si="82"/>
        <v>2.9490610383263975</v>
      </c>
      <c r="E56" s="156">
        <f t="shared" si="83"/>
        <v>1.6055496911187213</v>
      </c>
      <c r="F56" s="156">
        <f t="shared" si="84"/>
        <v>-1.1692836135668903</v>
      </c>
      <c r="G56" s="156">
        <f t="shared" si="85"/>
        <v>3.1696117051209871</v>
      </c>
      <c r="H56" s="156">
        <f t="shared" si="86"/>
        <v>3.6375457911422187</v>
      </c>
      <c r="I56" s="156">
        <f t="shared" si="87"/>
        <v>2.7719824927421448</v>
      </c>
      <c r="J56" s="156">
        <f t="shared" si="88"/>
        <v>-1.4384333326505052</v>
      </c>
      <c r="K56" s="156">
        <f t="shared" si="89"/>
        <v>1.6044959139391621</v>
      </c>
      <c r="L56" s="156">
        <f t="shared" si="90"/>
        <v>0.58297945457669553</v>
      </c>
      <c r="M56" s="156">
        <f t="shared" si="91"/>
        <v>2.1557071329498908E-2</v>
      </c>
      <c r="N56" s="156">
        <f t="shared" si="92"/>
        <v>-1.3130713425941045</v>
      </c>
      <c r="O56" s="156">
        <f t="shared" si="93"/>
        <v>2.8549589382033442</v>
      </c>
      <c r="P56" s="156">
        <f t="shared" si="94"/>
        <v>1.4282194530300085</v>
      </c>
      <c r="Q56" s="156">
        <f t="shared" si="95"/>
        <v>0.24390099397060944</v>
      </c>
      <c r="R56" s="156">
        <f t="shared" si="96"/>
        <v>0.58196805283023667</v>
      </c>
      <c r="S56" s="156">
        <f t="shared" si="97"/>
        <v>2.4264409196501031</v>
      </c>
      <c r="T56" s="156">
        <f t="shared" si="98"/>
        <v>1.6897099038112147</v>
      </c>
      <c r="U56" s="156">
        <f t="shared" si="99"/>
        <v>0.68864876656274443</v>
      </c>
      <c r="V56" s="156">
        <f t="shared" si="100"/>
        <v>-1.2227601096692819</v>
      </c>
      <c r="W56" s="156">
        <f t="shared" si="101"/>
        <v>1.5343716261313982</v>
      </c>
      <c r="X56" s="156">
        <f t="shared" si="102"/>
        <v>1.717703670045962</v>
      </c>
      <c r="Y56" s="156">
        <f t="shared" si="103"/>
        <v>1.6760645893595987</v>
      </c>
      <c r="Z56" s="156">
        <f t="shared" si="104"/>
        <v>1.2263785730362342</v>
      </c>
      <c r="AA56" s="156">
        <f t="shared" si="105"/>
        <v>3.3261233826527188</v>
      </c>
      <c r="AB56" s="156">
        <f t="shared" si="106"/>
        <v>2.3667335186827048</v>
      </c>
      <c r="AC56" s="156">
        <f t="shared" si="107"/>
        <v>2.0456315071649138</v>
      </c>
      <c r="AD56" s="156">
        <f t="shared" si="108"/>
        <v>2.8070343129580451</v>
      </c>
      <c r="AE56" s="156">
        <f t="shared" si="109"/>
        <v>-0.25327412916980585</v>
      </c>
      <c r="AF56" s="156">
        <f t="shared" si="110"/>
        <v>-0.48212133386902367</v>
      </c>
      <c r="AG56" s="156">
        <f t="shared" si="111"/>
        <v>1.1417036737989503</v>
      </c>
      <c r="AH56" s="156">
        <f t="shared" si="112"/>
        <v>4.0889641078043173</v>
      </c>
      <c r="AI56" s="156">
        <f t="shared" si="113"/>
        <v>-0.56601168837145088</v>
      </c>
      <c r="AJ56" s="156">
        <f t="shared" si="114"/>
        <v>0.45816364309514995</v>
      </c>
      <c r="AK56" s="156">
        <f t="shared" si="115"/>
        <v>1.326760952688073</v>
      </c>
      <c r="AL56" s="156">
        <f t="shared" si="116"/>
        <v>4.9647647192543758</v>
      </c>
      <c r="AM56" s="156">
        <f t="shared" si="117"/>
        <v>0.13427470004764586</v>
      </c>
      <c r="AN56" s="156">
        <f t="shared" si="118"/>
        <v>0.52916918995299478</v>
      </c>
      <c r="AO56" s="156">
        <f t="shared" si="119"/>
        <v>2.1327863914745917</v>
      </c>
      <c r="AP56" s="156">
        <f t="shared" si="120"/>
        <v>2.7540444893832237</v>
      </c>
      <c r="AQ56" s="156">
        <f t="shared" si="121"/>
        <v>0.16250029042313513</v>
      </c>
      <c r="AR56" s="156">
        <f t="shared" si="122"/>
        <v>0.91147254666521116</v>
      </c>
      <c r="AS56" s="156">
        <f t="shared" si="123"/>
        <v>1.534696305911623</v>
      </c>
      <c r="AT56" s="156">
        <f t="shared" si="124"/>
        <v>5.6118576127631803</v>
      </c>
      <c r="AU56" s="156">
        <f t="shared" si="125"/>
        <v>1.1966458609167139</v>
      </c>
      <c r="AV56" s="156">
        <f t="shared" si="126"/>
        <v>1.3955690682084381</v>
      </c>
      <c r="AW56" s="156">
        <f t="shared" si="127"/>
        <v>2.0829749059896279</v>
      </c>
      <c r="AX56" s="156">
        <f t="shared" si="128"/>
        <v>3.6379395442343117</v>
      </c>
      <c r="AY56" s="156">
        <f t="shared" si="129"/>
        <v>-0.43790872448920332</v>
      </c>
      <c r="AZ56" s="156">
        <f t="shared" si="130"/>
        <v>1.7161723872412908</v>
      </c>
      <c r="BA56" s="156">
        <f t="shared" si="131"/>
        <v>3.8148764122268739</v>
      </c>
      <c r="BB56" s="156">
        <f t="shared" si="132"/>
        <v>1.1611848283634034</v>
      </c>
      <c r="BC56" s="156">
        <f t="shared" si="151"/>
        <v>1.3957755400712086</v>
      </c>
      <c r="BD56" s="156">
        <f t="shared" si="151"/>
        <v>1.4498061180525637</v>
      </c>
      <c r="BE56" s="156">
        <f t="shared" si="151"/>
        <v>2.6192852440914787</v>
      </c>
      <c r="BF56" s="156">
        <f t="shared" si="151"/>
        <v>-2.4335509503067736</v>
      </c>
      <c r="BG56" s="156">
        <f t="shared" si="151"/>
        <v>-8.3763781681819249E-2</v>
      </c>
      <c r="BH56" s="156">
        <f t="shared" si="133"/>
        <v>0.10304397353014443</v>
      </c>
      <c r="BI56" s="156">
        <f t="shared" si="134"/>
        <v>1.9359832059288162</v>
      </c>
      <c r="BJ56" s="156">
        <f t="shared" si="135"/>
        <v>-0.5059025430339531</v>
      </c>
      <c r="BK56" s="156">
        <f t="shared" si="136"/>
        <v>0.69252529307348409</v>
      </c>
      <c r="BL56" s="156">
        <f t="shared" si="137"/>
        <v>0.3425419113950805</v>
      </c>
      <c r="BM56" s="156">
        <f t="shared" si="138"/>
        <v>1.9730783954640922</v>
      </c>
      <c r="BN56" s="156">
        <f t="shared" si="139"/>
        <v>1.0157470727896323</v>
      </c>
      <c r="BO56" s="156">
        <f t="shared" si="140"/>
        <v>0.80052953471857413</v>
      </c>
      <c r="BP56" s="156">
        <f t="shared" si="141"/>
        <v>1.2046303114608861</v>
      </c>
      <c r="BQ56" s="156">
        <f t="shared" si="142"/>
        <v>2.3964746917787205</v>
      </c>
      <c r="BR56" s="156">
        <f t="shared" si="143"/>
        <v>1.0212598198059653</v>
      </c>
      <c r="BS56" s="156">
        <f t="shared" si="144"/>
        <v>-0.42451487753316874</v>
      </c>
      <c r="BT56" s="156">
        <f t="shared" si="145"/>
        <v>-0.26955955688997091</v>
      </c>
      <c r="BU56" s="156">
        <f t="shared" si="146"/>
        <v>2.042467826605364</v>
      </c>
      <c r="BV56" s="156">
        <f t="shared" si="147"/>
        <v>0.31459439790343635</v>
      </c>
      <c r="BW56" s="156">
        <f t="shared" si="148"/>
        <v>1.4663058642871187</v>
      </c>
      <c r="BX56" s="156">
        <f t="shared" si="149"/>
        <v>-0.50292991279472155</v>
      </c>
      <c r="BY56" s="156">
        <f t="shared" si="150"/>
        <v>-0.19198664440734559</v>
      </c>
      <c r="BZ56" s="363"/>
      <c r="CA56" s="363"/>
      <c r="CB56" s="363"/>
      <c r="CC56" s="363"/>
      <c r="CD56" s="363"/>
      <c r="CE56" s="363"/>
    </row>
    <row r="57" spans="1:83">
      <c r="A57" s="3" t="s">
        <v>11</v>
      </c>
      <c r="B57" s="252"/>
      <c r="C57" s="156">
        <f t="shared" si="81"/>
        <v>2.8298823640472142</v>
      </c>
      <c r="D57" s="156">
        <f t="shared" si="82"/>
        <v>1.7787883942272598</v>
      </c>
      <c r="E57" s="156">
        <f t="shared" si="83"/>
        <v>-0.11150273001199905</v>
      </c>
      <c r="F57" s="156">
        <f t="shared" si="84"/>
        <v>1.1756128936649801</v>
      </c>
      <c r="G57" s="156">
        <f t="shared" si="85"/>
        <v>-0.39601170436992728</v>
      </c>
      <c r="H57" s="156">
        <f t="shared" si="86"/>
        <v>0.52364746309822752</v>
      </c>
      <c r="I57" s="156">
        <f t="shared" si="87"/>
        <v>4.8990100351517324E-2</v>
      </c>
      <c r="J57" s="156">
        <f t="shared" si="88"/>
        <v>-1.0892804361612374</v>
      </c>
      <c r="K57" s="156">
        <f t="shared" si="89"/>
        <v>1.1346553166327504</v>
      </c>
      <c r="L57" s="156">
        <f t="shared" si="90"/>
        <v>0.81779278638257402</v>
      </c>
      <c r="M57" s="156">
        <f t="shared" si="91"/>
        <v>-1.556141459536166</v>
      </c>
      <c r="N57" s="156">
        <f t="shared" si="92"/>
        <v>2.8168253431507546</v>
      </c>
      <c r="O57" s="156">
        <f t="shared" si="93"/>
        <v>2.912957238101646</v>
      </c>
      <c r="P57" s="156">
        <f t="shared" si="94"/>
        <v>3.0304253128316323</v>
      </c>
      <c r="Q57" s="156">
        <f t="shared" si="95"/>
        <v>0.2433291113359087</v>
      </c>
      <c r="R57" s="156">
        <f t="shared" si="96"/>
        <v>-0.50980539534315572</v>
      </c>
      <c r="S57" s="156">
        <f t="shared" si="97"/>
        <v>1.2796090825245983</v>
      </c>
      <c r="T57" s="156">
        <f t="shared" si="98"/>
        <v>2.1711124072719956</v>
      </c>
      <c r="U57" s="156">
        <f t="shared" si="99"/>
        <v>-0.36642327162463278</v>
      </c>
      <c r="V57" s="156">
        <f t="shared" si="100"/>
        <v>0.74129984442336916</v>
      </c>
      <c r="W57" s="156">
        <f t="shared" si="101"/>
        <v>1.8097826086956523</v>
      </c>
      <c r="X57" s="156">
        <f t="shared" si="102"/>
        <v>3.0966743180483558</v>
      </c>
      <c r="Y57" s="156">
        <f t="shared" si="103"/>
        <v>-0.12330014249589501</v>
      </c>
      <c r="Z57" s="156">
        <f t="shared" si="104"/>
        <v>-0.76309383762546812</v>
      </c>
      <c r="AA57" s="156">
        <f t="shared" si="105"/>
        <v>0.48482558968646189</v>
      </c>
      <c r="AB57" s="156">
        <f t="shared" si="106"/>
        <v>1.9590496176347509</v>
      </c>
      <c r="AC57" s="156">
        <f t="shared" si="107"/>
        <v>-0.82762228262403237</v>
      </c>
      <c r="AD57" s="156">
        <f t="shared" si="108"/>
        <v>-0.37387831772371882</v>
      </c>
      <c r="AE57" s="156">
        <f t="shared" si="109"/>
        <v>1.2264153525895667</v>
      </c>
      <c r="AF57" s="156">
        <f t="shared" si="110"/>
        <v>2.7680822114249559</v>
      </c>
      <c r="AG57" s="156">
        <f t="shared" si="111"/>
        <v>0.20062561098821524</v>
      </c>
      <c r="AH57" s="156">
        <f t="shared" si="112"/>
        <v>0.81340635532330485</v>
      </c>
      <c r="AI57" s="156">
        <f t="shared" si="113"/>
        <v>2.3278656320597189</v>
      </c>
      <c r="AJ57" s="156">
        <f t="shared" si="114"/>
        <v>3.0380111345747745</v>
      </c>
      <c r="AK57" s="156">
        <f t="shared" si="115"/>
        <v>-1.7699939447575574</v>
      </c>
      <c r="AL57" s="156">
        <f t="shared" si="116"/>
        <v>-1.5050500260799538</v>
      </c>
      <c r="AM57" s="156">
        <f t="shared" si="117"/>
        <v>2.0354715091760043</v>
      </c>
      <c r="AN57" s="156">
        <f t="shared" si="118"/>
        <v>2.1449062016381615</v>
      </c>
      <c r="AO57" s="156">
        <f t="shared" si="119"/>
        <v>-0.2078617950020786</v>
      </c>
      <c r="AP57" s="156">
        <f t="shared" si="120"/>
        <v>0.87576374745417851</v>
      </c>
      <c r="AQ57" s="156">
        <f t="shared" si="121"/>
        <v>0.97278050033955532</v>
      </c>
      <c r="AR57" s="156">
        <f t="shared" si="122"/>
        <v>1.6723319942559032</v>
      </c>
      <c r="AS57" s="156">
        <f t="shared" si="123"/>
        <v>-0.40271396134662085</v>
      </c>
      <c r="AT57" s="156">
        <f t="shared" si="124"/>
        <v>3.4461093833443348</v>
      </c>
      <c r="AU57" s="156">
        <f t="shared" si="125"/>
        <v>0.55095223634549473</v>
      </c>
      <c r="AV57" s="156">
        <f t="shared" si="126"/>
        <v>0.87583052894986624</v>
      </c>
      <c r="AW57" s="156">
        <f t="shared" si="127"/>
        <v>0.35071211667593344</v>
      </c>
      <c r="AX57" s="156">
        <f t="shared" si="128"/>
        <v>4.6541362997059199</v>
      </c>
      <c r="AY57" s="156">
        <f t="shared" si="129"/>
        <v>1.1728772144166157</v>
      </c>
      <c r="AZ57" s="156">
        <f t="shared" si="130"/>
        <v>-1.6101115002213902E-2</v>
      </c>
      <c r="BA57" s="156">
        <f t="shared" si="131"/>
        <v>-3.3374934578686739</v>
      </c>
      <c r="BB57" s="156">
        <f t="shared" si="132"/>
        <v>6.6493127863390251</v>
      </c>
      <c r="BC57" s="156">
        <f t="shared" si="151"/>
        <v>1.58202019018608</v>
      </c>
      <c r="BD57" s="156">
        <f t="shared" si="151"/>
        <v>-0.65355456796198619</v>
      </c>
      <c r="BE57" s="156">
        <f t="shared" si="151"/>
        <v>-4.6260680453222607</v>
      </c>
      <c r="BF57" s="156">
        <f t="shared" si="151"/>
        <v>2.3463218393136387</v>
      </c>
      <c r="BG57" s="156">
        <f t="shared" si="151"/>
        <v>0.8086407350842546</v>
      </c>
      <c r="BH57" s="156">
        <f t="shared" si="133"/>
        <v>8.6179222501706731E-2</v>
      </c>
      <c r="BI57" s="156">
        <f t="shared" si="134"/>
        <v>-1.258746600287924</v>
      </c>
      <c r="BJ57" s="156">
        <f t="shared" si="135"/>
        <v>-5.0298524128258304E-3</v>
      </c>
      <c r="BK57" s="156">
        <f t="shared" si="136"/>
        <v>1.4908452479312737</v>
      </c>
      <c r="BL57" s="156">
        <f t="shared" si="137"/>
        <v>0.52118296090611405</v>
      </c>
      <c r="BM57" s="156">
        <f t="shared" si="138"/>
        <v>-0.91148287032810182</v>
      </c>
      <c r="BN57" s="156">
        <f t="shared" si="139"/>
        <v>2.3925131690379371</v>
      </c>
      <c r="BO57" s="156">
        <f t="shared" si="140"/>
        <v>0.60831199534247482</v>
      </c>
      <c r="BP57" s="156">
        <f t="shared" si="141"/>
        <v>-0.44539705488582304</v>
      </c>
      <c r="BQ57" s="156">
        <f t="shared" si="142"/>
        <v>-0.98718689888268751</v>
      </c>
      <c r="BR57" s="156">
        <f t="shared" si="143"/>
        <v>2.4549730420733522</v>
      </c>
      <c r="BS57" s="156">
        <f t="shared" si="144"/>
        <v>1.9894482690589645</v>
      </c>
      <c r="BT57" s="156">
        <f t="shared" si="145"/>
        <v>-0.60004777053404235</v>
      </c>
      <c r="BU57" s="156">
        <f t="shared" si="146"/>
        <v>-2.9311232505022473</v>
      </c>
      <c r="BV57" s="156">
        <f t="shared" si="147"/>
        <v>3.5790090041038489</v>
      </c>
      <c r="BW57" s="156">
        <f t="shared" si="148"/>
        <v>1.5313728464390672</v>
      </c>
      <c r="BX57" s="156">
        <f t="shared" si="149"/>
        <v>-0.31178669159966144</v>
      </c>
      <c r="BY57" s="156">
        <f t="shared" si="150"/>
        <v>-2.8326825444610058</v>
      </c>
      <c r="BZ57" s="363"/>
      <c r="CA57" s="363"/>
      <c r="CB57" s="363"/>
      <c r="CC57" s="363"/>
      <c r="CD57" s="363"/>
      <c r="CE57" s="363"/>
    </row>
    <row r="58" spans="1:83">
      <c r="A58" s="170" t="s">
        <v>12</v>
      </c>
      <c r="B58" s="253"/>
      <c r="C58" s="157">
        <f t="shared" si="81"/>
        <v>0.15962463008042141</v>
      </c>
      <c r="D58" s="157">
        <f t="shared" si="82"/>
        <v>0.3126592391748938</v>
      </c>
      <c r="E58" s="157">
        <f t="shared" si="83"/>
        <v>0.12751689076192385</v>
      </c>
      <c r="F58" s="157">
        <f t="shared" si="84"/>
        <v>1.2984938765454719</v>
      </c>
      <c r="G58" s="157">
        <f t="shared" si="85"/>
        <v>0.12159996702373775</v>
      </c>
      <c r="H58" s="157">
        <f t="shared" si="86"/>
        <v>0.36023981679232175</v>
      </c>
      <c r="I58" s="157">
        <f t="shared" si="87"/>
        <v>0.2420326641540394</v>
      </c>
      <c r="J58" s="157">
        <f t="shared" si="88"/>
        <v>0.14988208934609462</v>
      </c>
      <c r="K58" s="157">
        <f t="shared" si="89"/>
        <v>3.473286341812238E-2</v>
      </c>
      <c r="L58" s="157">
        <f t="shared" si="90"/>
        <v>0.3655896409460398</v>
      </c>
      <c r="M58" s="157">
        <f t="shared" si="91"/>
        <v>0.14448220426934738</v>
      </c>
      <c r="N58" s="157">
        <f t="shared" si="92"/>
        <v>-1.132447370560032</v>
      </c>
      <c r="O58" s="157">
        <f t="shared" si="93"/>
        <v>0.10276499495423874</v>
      </c>
      <c r="P58" s="157">
        <f t="shared" si="94"/>
        <v>-1.4167010575969424E-2</v>
      </c>
      <c r="Q58" s="157">
        <f t="shared" si="95"/>
        <v>7.3925310794327459E-2</v>
      </c>
      <c r="R58" s="157">
        <f t="shared" si="96"/>
        <v>-0.95785676470950942</v>
      </c>
      <c r="S58" s="157">
        <f t="shared" si="97"/>
        <v>0.16574471170779206</v>
      </c>
      <c r="T58" s="157">
        <f t="shared" si="98"/>
        <v>-5.5846277948993737E-2</v>
      </c>
      <c r="U58" s="157">
        <f t="shared" si="99"/>
        <v>-0.25869205298013248</v>
      </c>
      <c r="V58" s="157">
        <f t="shared" si="100"/>
        <v>-0.76927067123145554</v>
      </c>
      <c r="W58" s="157">
        <f t="shared" si="101"/>
        <v>0.14438281834007416</v>
      </c>
      <c r="X58" s="157">
        <f t="shared" si="102"/>
        <v>-4.1759494543078049E-2</v>
      </c>
      <c r="Y58" s="157">
        <f t="shared" si="103"/>
        <v>-0.25933035742261645</v>
      </c>
      <c r="Z58" s="157">
        <f t="shared" si="104"/>
        <v>-0.45110750662577542</v>
      </c>
      <c r="AA58" s="157">
        <f t="shared" si="105"/>
        <v>-0.13253740763141977</v>
      </c>
      <c r="AB58" s="157">
        <f t="shared" si="106"/>
        <v>-0.3517955793830938</v>
      </c>
      <c r="AC58" s="157">
        <f t="shared" si="107"/>
        <v>-0.1268398382792062</v>
      </c>
      <c r="AD58" s="157">
        <f t="shared" si="108"/>
        <v>-0.21113903955549676</v>
      </c>
      <c r="AE58" s="157">
        <f t="shared" si="109"/>
        <v>1.1751230273205497</v>
      </c>
      <c r="AF58" s="157">
        <f t="shared" si="110"/>
        <v>0.53880665856010734</v>
      </c>
      <c r="AG58" s="157">
        <f t="shared" si="111"/>
        <v>0.32947554999478679</v>
      </c>
      <c r="AH58" s="157">
        <f t="shared" si="112"/>
        <v>0.31384449109388313</v>
      </c>
      <c r="AI58" s="157">
        <f t="shared" si="113"/>
        <v>1.4669318746892095</v>
      </c>
      <c r="AJ58" s="157">
        <f t="shared" si="114"/>
        <v>0.73307195948705384</v>
      </c>
      <c r="AK58" s="157">
        <f t="shared" si="115"/>
        <v>0.59800125681620075</v>
      </c>
      <c r="AL58" s="157">
        <f t="shared" si="116"/>
        <v>-1.0720186998750654</v>
      </c>
      <c r="AM58" s="157">
        <f t="shared" si="117"/>
        <v>1.5358292255672792</v>
      </c>
      <c r="AN58" s="157">
        <f t="shared" si="118"/>
        <v>0.64796982827796501</v>
      </c>
      <c r="AO58" s="157">
        <f t="shared" si="119"/>
        <v>1.3214805365649478</v>
      </c>
      <c r="AP58" s="157">
        <f t="shared" si="120"/>
        <v>0.38950308848408544</v>
      </c>
      <c r="AQ58" s="157">
        <f t="shared" si="121"/>
        <v>2.1809844803260701</v>
      </c>
      <c r="AR58" s="157">
        <f t="shared" si="122"/>
        <v>0.88196375491418444</v>
      </c>
      <c r="AS58" s="157">
        <f t="shared" si="123"/>
        <v>0.33076766612996128</v>
      </c>
      <c r="AT58" s="157">
        <f t="shared" si="124"/>
        <v>0.19344851825255652</v>
      </c>
      <c r="AU58" s="157">
        <f t="shared" si="125"/>
        <v>1.2461942852820485</v>
      </c>
      <c r="AV58" s="157">
        <f t="shared" si="126"/>
        <v>0.65745237205827411</v>
      </c>
      <c r="AW58" s="157">
        <f t="shared" si="127"/>
        <v>1.3768277295331404</v>
      </c>
      <c r="AX58" s="157">
        <f t="shared" si="128"/>
        <v>0.86393088552915775</v>
      </c>
      <c r="AY58" s="157">
        <f t="shared" si="129"/>
        <v>0.64239828693790146</v>
      </c>
      <c r="AZ58" s="157">
        <f t="shared" si="130"/>
        <v>1.0476018752253877</v>
      </c>
      <c r="BA58" s="157">
        <f t="shared" si="131"/>
        <v>1.1348833889473779</v>
      </c>
      <c r="BB58" s="157">
        <f t="shared" si="132"/>
        <v>1.0145208814863174</v>
      </c>
      <c r="BC58" s="157">
        <f t="shared" si="151"/>
        <v>1.1318381890588975</v>
      </c>
      <c r="BD58" s="157">
        <f t="shared" si="151"/>
        <v>1.5457685664939551</v>
      </c>
      <c r="BE58" s="157">
        <f t="shared" si="151"/>
        <v>1.1463559826515861</v>
      </c>
      <c r="BF58" s="157">
        <f t="shared" si="151"/>
        <v>0.15470245001597471</v>
      </c>
      <c r="BG58" s="157">
        <f t="shared" si="151"/>
        <v>1.757861688017327</v>
      </c>
      <c r="BH58" s="157">
        <f t="shared" si="133"/>
        <v>0.57748152059134106</v>
      </c>
      <c r="BI58" s="157">
        <f t="shared" si="134"/>
        <v>0.74969651235276746</v>
      </c>
      <c r="BJ58" s="157">
        <f t="shared" si="135"/>
        <v>-0.32239680859724823</v>
      </c>
      <c r="BK58" s="157">
        <f t="shared" si="136"/>
        <v>1.8328242154956955</v>
      </c>
      <c r="BL58" s="157">
        <f t="shared" si="137"/>
        <v>0.74271322927862171</v>
      </c>
      <c r="BM58" s="157">
        <f t="shared" si="138"/>
        <v>1.3598293047992103</v>
      </c>
      <c r="BN58" s="157">
        <f t="shared" si="139"/>
        <v>-0.22778685434208876</v>
      </c>
      <c r="BO58" s="157">
        <f t="shared" si="140"/>
        <v>2.2263859803813513</v>
      </c>
      <c r="BP58" s="157">
        <f t="shared" si="141"/>
        <v>0.87793608009241431</v>
      </c>
      <c r="BQ58" s="157">
        <f t="shared" si="142"/>
        <v>1.630658828918238</v>
      </c>
      <c r="BR58" s="157">
        <f t="shared" si="143"/>
        <v>-1.6690954434145095</v>
      </c>
      <c r="BS58" s="157">
        <f t="shared" si="144"/>
        <v>1.8196540976593536</v>
      </c>
      <c r="BT58" s="157">
        <f t="shared" si="145"/>
        <v>0.91082334228651163</v>
      </c>
      <c r="BU58" s="157">
        <f t="shared" si="146"/>
        <v>1.6639405204460964</v>
      </c>
      <c r="BV58" s="157">
        <f t="shared" si="147"/>
        <v>-2.1427840102970648</v>
      </c>
      <c r="BW58" s="157">
        <f t="shared" si="148"/>
        <v>1.3482004065526725</v>
      </c>
      <c r="BX58" s="157">
        <f t="shared" si="149"/>
        <v>0.19614783352505677</v>
      </c>
      <c r="BY58" s="157">
        <f t="shared" si="150"/>
        <v>1.8487172316342602</v>
      </c>
      <c r="BZ58" s="363"/>
      <c r="CA58" s="363"/>
      <c r="CB58" s="363"/>
      <c r="CC58" s="363"/>
      <c r="CD58" s="363"/>
      <c r="CE58" s="363"/>
    </row>
    <row r="59" spans="1:83">
      <c r="A59" s="2" t="s">
        <v>13</v>
      </c>
      <c r="B59" s="254"/>
      <c r="C59" s="159">
        <f t="shared" si="81"/>
        <v>2.0449459101720553</v>
      </c>
      <c r="D59" s="159">
        <f t="shared" si="82"/>
        <v>3.8450478366849508</v>
      </c>
      <c r="E59" s="159">
        <f t="shared" si="83"/>
        <v>1.0895678019753681</v>
      </c>
      <c r="F59" s="159">
        <f t="shared" si="84"/>
        <v>-3.4732138822152674</v>
      </c>
      <c r="G59" s="159">
        <f t="shared" si="85"/>
        <v>3.7233076929682354</v>
      </c>
      <c r="H59" s="159">
        <f t="shared" si="86"/>
        <v>2.0289526547621306</v>
      </c>
      <c r="I59" s="159">
        <f t="shared" si="87"/>
        <v>1.2169411393208751</v>
      </c>
      <c r="J59" s="159">
        <f t="shared" si="88"/>
        <v>-3.7157794187603859</v>
      </c>
      <c r="K59" s="159">
        <f t="shared" si="89"/>
        <v>3.7947473319577587</v>
      </c>
      <c r="L59" s="159">
        <f t="shared" si="90"/>
        <v>1.0892430823444226</v>
      </c>
      <c r="M59" s="159">
        <f t="shared" si="91"/>
        <v>0.44596601126763785</v>
      </c>
      <c r="N59" s="159">
        <f t="shared" si="92"/>
        <v>-3.9972948650471194</v>
      </c>
      <c r="O59" s="159">
        <f t="shared" si="93"/>
        <v>3.5619103520925051</v>
      </c>
      <c r="P59" s="159">
        <f t="shared" si="94"/>
        <v>0.55419854708301364</v>
      </c>
      <c r="Q59" s="159">
        <f t="shared" si="95"/>
        <v>0.4206254802582573</v>
      </c>
      <c r="R59" s="159">
        <f t="shared" si="96"/>
        <v>-3.1214715499674441</v>
      </c>
      <c r="S59" s="159">
        <f t="shared" si="97"/>
        <v>4.3353589301080024</v>
      </c>
      <c r="T59" s="159">
        <f t="shared" si="98"/>
        <v>1.4165018144200561</v>
      </c>
      <c r="U59" s="159">
        <f t="shared" si="99"/>
        <v>1.3210565768040929</v>
      </c>
      <c r="V59" s="159">
        <f t="shared" si="100"/>
        <v>-3.275261546805039</v>
      </c>
      <c r="W59" s="159">
        <f t="shared" si="101"/>
        <v>4.140400429755565</v>
      </c>
      <c r="X59" s="159">
        <f t="shared" si="102"/>
        <v>3.2124338990201293</v>
      </c>
      <c r="Y59" s="159">
        <f t="shared" si="103"/>
        <v>0.60330591154061053</v>
      </c>
      <c r="Z59" s="159">
        <f t="shared" si="104"/>
        <v>-3.8913586428538949</v>
      </c>
      <c r="AA59" s="159">
        <f t="shared" si="105"/>
        <v>4.1015674846601096</v>
      </c>
      <c r="AB59" s="159">
        <f t="shared" si="106"/>
        <v>0.95881032670322108</v>
      </c>
      <c r="AC59" s="159">
        <f t="shared" si="107"/>
        <v>0.99969810406532134</v>
      </c>
      <c r="AD59" s="159">
        <f t="shared" si="108"/>
        <v>-2.5413114269439809</v>
      </c>
      <c r="AE59" s="159">
        <f t="shared" si="109"/>
        <v>4.3325645237799115</v>
      </c>
      <c r="AF59" s="159">
        <f t="shared" si="110"/>
        <v>0.802324072577142</v>
      </c>
      <c r="AG59" s="159">
        <f t="shared" si="111"/>
        <v>1.4715315381348943</v>
      </c>
      <c r="AH59" s="159">
        <f t="shared" si="112"/>
        <v>-3.2480942911425124</v>
      </c>
      <c r="AI59" s="159">
        <f t="shared" si="113"/>
        <v>4.2997098993425675</v>
      </c>
      <c r="AJ59" s="159">
        <f t="shared" si="114"/>
        <v>0.70807753619405855</v>
      </c>
      <c r="AK59" s="159">
        <f t="shared" si="115"/>
        <v>0.72056399415143979</v>
      </c>
      <c r="AL59" s="159">
        <f t="shared" si="116"/>
        <v>-1.8905992180788589</v>
      </c>
      <c r="AM59" s="159">
        <f t="shared" si="117"/>
        <v>4.1326368936579669</v>
      </c>
      <c r="AN59" s="159">
        <f t="shared" si="118"/>
        <v>1.9624524471073059</v>
      </c>
      <c r="AO59" s="159">
        <f t="shared" si="119"/>
        <v>1.3738142719348603</v>
      </c>
      <c r="AP59" s="159">
        <f t="shared" si="120"/>
        <v>-2.0420190590079836</v>
      </c>
      <c r="AQ59" s="159">
        <f t="shared" si="121"/>
        <v>3.8760097585160498</v>
      </c>
      <c r="AR59" s="159">
        <f t="shared" si="122"/>
        <v>2.2809330080443972</v>
      </c>
      <c r="AS59" s="159">
        <f t="shared" si="123"/>
        <v>1.0199369997258756</v>
      </c>
      <c r="AT59" s="159">
        <f t="shared" si="124"/>
        <v>-2.1063497664084041</v>
      </c>
      <c r="AU59" s="159">
        <f t="shared" si="125"/>
        <v>3.664949452713385</v>
      </c>
      <c r="AV59" s="159">
        <f t="shared" si="126"/>
        <v>2.6605004034231983</v>
      </c>
      <c r="AW59" s="159">
        <f t="shared" si="127"/>
        <v>2.5921543574579089</v>
      </c>
      <c r="AX59" s="159">
        <f t="shared" si="128"/>
        <v>-2.4097256425638518</v>
      </c>
      <c r="AY59" s="159">
        <f t="shared" si="129"/>
        <v>2.7025805637037283</v>
      </c>
      <c r="AZ59" s="159">
        <f t="shared" si="130"/>
        <v>2.1736792527394502</v>
      </c>
      <c r="BA59" s="159">
        <f t="shared" si="131"/>
        <v>2.7635916327966905</v>
      </c>
      <c r="BB59" s="159">
        <f t="shared" si="132"/>
        <v>-3.7217152188448828</v>
      </c>
      <c r="BC59" s="159">
        <f t="shared" si="151"/>
        <v>4.062764227772317</v>
      </c>
      <c r="BD59" s="159">
        <f t="shared" si="151"/>
        <v>1.1838245633154538</v>
      </c>
      <c r="BE59" s="159">
        <f t="shared" si="151"/>
        <v>0.5522198139254848</v>
      </c>
      <c r="BF59" s="159">
        <f t="shared" si="151"/>
        <v>-6.2548827462123118</v>
      </c>
      <c r="BG59" s="159">
        <f t="shared" si="151"/>
        <v>2.3244734164397358</v>
      </c>
      <c r="BH59" s="159">
        <f t="shared" si="133"/>
        <v>1.8603599652159175</v>
      </c>
      <c r="BI59" s="159">
        <f t="shared" si="134"/>
        <v>1.879962187614721</v>
      </c>
      <c r="BJ59" s="159">
        <f t="shared" si="135"/>
        <v>-3.5970802870423748</v>
      </c>
      <c r="BK59" s="159">
        <f t="shared" si="136"/>
        <v>3.2398474402118618</v>
      </c>
      <c r="BL59" s="159">
        <f t="shared" si="137"/>
        <v>1.8174573443557021</v>
      </c>
      <c r="BM59" s="159">
        <f t="shared" si="138"/>
        <v>2.033850644930975</v>
      </c>
      <c r="BN59" s="159">
        <f t="shared" si="139"/>
        <v>-3.3008386663533984</v>
      </c>
      <c r="BO59" s="159">
        <f t="shared" si="140"/>
        <v>3.0193159536437411</v>
      </c>
      <c r="BP59" s="159">
        <f t="shared" si="141"/>
        <v>1.4123337068837281</v>
      </c>
      <c r="BQ59" s="159">
        <f t="shared" si="142"/>
        <v>2.4033485829393473</v>
      </c>
      <c r="BR59" s="159">
        <f t="shared" si="143"/>
        <v>-4.1744140442022566</v>
      </c>
      <c r="BS59" s="159">
        <f t="shared" si="144"/>
        <v>3.3857221810431701</v>
      </c>
      <c r="BT59" s="159">
        <f t="shared" si="145"/>
        <v>0.77588063701224919</v>
      </c>
      <c r="BU59" s="159">
        <f t="shared" si="146"/>
        <v>2.2959780271805035</v>
      </c>
      <c r="BV59" s="159">
        <f t="shared" si="147"/>
        <v>-4.64835522548253</v>
      </c>
      <c r="BW59" s="159">
        <f t="shared" si="148"/>
        <v>4.0655410970846777</v>
      </c>
      <c r="BX59" s="159">
        <f t="shared" si="149"/>
        <v>0.14544215193731497</v>
      </c>
      <c r="BY59" s="159">
        <f t="shared" si="150"/>
        <v>2.5340076734681216</v>
      </c>
      <c r="BZ59" s="363"/>
      <c r="CA59" s="363"/>
      <c r="CB59" s="363"/>
      <c r="CC59" s="363"/>
      <c r="CD59" s="363"/>
      <c r="CE59" s="363"/>
    </row>
    <row r="60" spans="1:83">
      <c r="A60" s="3" t="s">
        <v>14</v>
      </c>
      <c r="B60" s="252"/>
      <c r="C60" s="156">
        <f t="shared" si="81"/>
        <v>1.7004519156480807E-2</v>
      </c>
      <c r="D60" s="156">
        <f t="shared" si="82"/>
        <v>0.87361221721182891</v>
      </c>
      <c r="E60" s="156">
        <f t="shared" si="83"/>
        <v>0.40401468996518197</v>
      </c>
      <c r="F60" s="156">
        <f t="shared" si="84"/>
        <v>2.4998658791518884</v>
      </c>
      <c r="G60" s="156">
        <f t="shared" si="85"/>
        <v>1.0712660260190292</v>
      </c>
      <c r="H60" s="156">
        <f t="shared" si="86"/>
        <v>0.9098877064347618</v>
      </c>
      <c r="I60" s="156">
        <f t="shared" si="87"/>
        <v>1.2187019538096877</v>
      </c>
      <c r="J60" s="156">
        <f t="shared" si="88"/>
        <v>0.7834545671099048</v>
      </c>
      <c r="K60" s="156">
        <f t="shared" si="89"/>
        <v>0.29155094259809861</v>
      </c>
      <c r="L60" s="156">
        <f t="shared" si="90"/>
        <v>0.43874693325996161</v>
      </c>
      <c r="M60" s="156">
        <f t="shared" si="91"/>
        <v>0.16128886785079818</v>
      </c>
      <c r="N60" s="156">
        <f t="shared" si="92"/>
        <v>-2.1352291368029537</v>
      </c>
      <c r="O60" s="156">
        <f t="shared" si="93"/>
        <v>-0.9824560985840568</v>
      </c>
      <c r="P60" s="156">
        <f t="shared" si="94"/>
        <v>2.006052804125154</v>
      </c>
      <c r="Q60" s="156">
        <f t="shared" si="95"/>
        <v>1.3715687009540032</v>
      </c>
      <c r="R60" s="156">
        <f t="shared" si="96"/>
        <v>-4.1853747318764043</v>
      </c>
      <c r="S60" s="156">
        <f t="shared" si="97"/>
        <v>-0.17036485567787876</v>
      </c>
      <c r="T60" s="156">
        <f t="shared" si="98"/>
        <v>3.1938173792559685</v>
      </c>
      <c r="U60" s="156">
        <f t="shared" si="99"/>
        <v>2.0436845602453628</v>
      </c>
      <c r="V60" s="156">
        <f t="shared" si="100"/>
        <v>-3.6458003322453538</v>
      </c>
      <c r="W60" s="156">
        <f t="shared" si="101"/>
        <v>0.16369518239160188</v>
      </c>
      <c r="X60" s="156">
        <f t="shared" si="102"/>
        <v>3.283876253744423</v>
      </c>
      <c r="Y60" s="156">
        <f t="shared" si="103"/>
        <v>1.9901092060458436</v>
      </c>
      <c r="Z60" s="156">
        <f t="shared" si="104"/>
        <v>-3.6843233350244744</v>
      </c>
      <c r="AA60" s="156">
        <f t="shared" si="105"/>
        <v>9.267725782520797E-2</v>
      </c>
      <c r="AB60" s="156">
        <f t="shared" si="106"/>
        <v>2.9444646527289708</v>
      </c>
      <c r="AC60" s="156">
        <f t="shared" si="107"/>
        <v>2.1390724943747457</v>
      </c>
      <c r="AD60" s="156">
        <f t="shared" si="108"/>
        <v>-3.7049669239221394</v>
      </c>
      <c r="AE60" s="156">
        <f t="shared" si="109"/>
        <v>2.8388732704922552</v>
      </c>
      <c r="AF60" s="156">
        <f t="shared" si="110"/>
        <v>1.8921526586620927</v>
      </c>
      <c r="AG60" s="156">
        <f t="shared" si="111"/>
        <v>1.4072281550844337</v>
      </c>
      <c r="AH60" s="156">
        <f t="shared" si="112"/>
        <v>-3.21116385235909</v>
      </c>
      <c r="AI60" s="156">
        <f t="shared" si="113"/>
        <v>3.119388985662602</v>
      </c>
      <c r="AJ60" s="156">
        <f t="shared" si="114"/>
        <v>0.81343070246108262</v>
      </c>
      <c r="AK60" s="156">
        <f t="shared" si="115"/>
        <v>2.1009486492060221</v>
      </c>
      <c r="AL60" s="156">
        <f t="shared" si="116"/>
        <v>-2.6207488575251849</v>
      </c>
      <c r="AM60" s="156">
        <f t="shared" si="117"/>
        <v>4.3350877647851904</v>
      </c>
      <c r="AN60" s="156">
        <f t="shared" si="118"/>
        <v>2.0501478591486295</v>
      </c>
      <c r="AO60" s="156">
        <f t="shared" si="119"/>
        <v>2.4302342570496274</v>
      </c>
      <c r="AP60" s="156">
        <f t="shared" si="120"/>
        <v>-3.2379231647014075</v>
      </c>
      <c r="AQ60" s="156">
        <f t="shared" si="121"/>
        <v>4.0931649550390645</v>
      </c>
      <c r="AR60" s="156">
        <f t="shared" si="122"/>
        <v>1.8126888217522661</v>
      </c>
      <c r="AS60" s="156">
        <f t="shared" si="123"/>
        <v>1.5601817507418398</v>
      </c>
      <c r="AT60" s="156">
        <f t="shared" si="124"/>
        <v>-2.2689401721107538</v>
      </c>
      <c r="AU60" s="156">
        <f t="shared" si="125"/>
        <v>4.4960878196893619</v>
      </c>
      <c r="AV60" s="156">
        <f t="shared" si="126"/>
        <v>1.4997764863656682</v>
      </c>
      <c r="AW60" s="156">
        <f t="shared" si="127"/>
        <v>4.9613529761511534</v>
      </c>
      <c r="AX60" s="156">
        <f t="shared" si="128"/>
        <v>-3.3862034239677743</v>
      </c>
      <c r="AY60" s="156">
        <f t="shared" si="129"/>
        <v>2.3344191096634095</v>
      </c>
      <c r="AZ60" s="156">
        <f t="shared" si="130"/>
        <v>1.6848806366047746</v>
      </c>
      <c r="BA60" s="156">
        <f t="shared" si="131"/>
        <v>2.2454558734531189</v>
      </c>
      <c r="BB60" s="156">
        <f t="shared" si="132"/>
        <v>-2.881926727217063</v>
      </c>
      <c r="BC60" s="156">
        <f t="shared" si="151"/>
        <v>2.8581636298678101</v>
      </c>
      <c r="BD60" s="156">
        <f t="shared" si="151"/>
        <v>-8.5814110291563661E-2</v>
      </c>
      <c r="BE60" s="156">
        <f t="shared" si="151"/>
        <v>0.94885585161857633</v>
      </c>
      <c r="BF60" s="156">
        <f t="shared" si="151"/>
        <v>-5.5707485060265372</v>
      </c>
      <c r="BG60" s="156">
        <f t="shared" si="151"/>
        <v>-5.1485573313311168E-2</v>
      </c>
      <c r="BH60" s="156">
        <f t="shared" si="133"/>
        <v>0.76838874460732765</v>
      </c>
      <c r="BI60" s="156">
        <f t="shared" si="134"/>
        <v>3.6954993716586082</v>
      </c>
      <c r="BJ60" s="156">
        <f t="shared" si="135"/>
        <v>-2.2553611042642348</v>
      </c>
      <c r="BK60" s="156">
        <f t="shared" si="136"/>
        <v>2.0068927835918124</v>
      </c>
      <c r="BL60" s="156">
        <f t="shared" si="137"/>
        <v>1.3349539564491872</v>
      </c>
      <c r="BM60" s="156">
        <f t="shared" si="138"/>
        <v>2.4964931183801253</v>
      </c>
      <c r="BN60" s="156">
        <f t="shared" si="139"/>
        <v>-1.2396612253803281</v>
      </c>
      <c r="BO60" s="156">
        <f t="shared" si="140"/>
        <v>2.2091902313624678</v>
      </c>
      <c r="BP60" s="156">
        <f t="shared" si="141"/>
        <v>1.332232963923603</v>
      </c>
      <c r="BQ60" s="156">
        <f t="shared" si="142"/>
        <v>3.3313942214465779</v>
      </c>
      <c r="BR60" s="156">
        <f t="shared" si="143"/>
        <v>-2.6835310013511484</v>
      </c>
      <c r="BS60" s="156">
        <f t="shared" si="144"/>
        <v>1.428902001619808</v>
      </c>
      <c r="BT60" s="156">
        <f t="shared" si="145"/>
        <v>-0.2984847620677199</v>
      </c>
      <c r="BU60" s="156">
        <f t="shared" si="146"/>
        <v>3.3370199458449337</v>
      </c>
      <c r="BV60" s="156">
        <f t="shared" si="147"/>
        <v>-2.9081783289046355</v>
      </c>
      <c r="BW60" s="156">
        <f t="shared" si="148"/>
        <v>2.2407632659267143</v>
      </c>
      <c r="BX60" s="156">
        <f t="shared" si="149"/>
        <v>-0.66548935774700246</v>
      </c>
      <c r="BY60" s="156">
        <f t="shared" si="150"/>
        <v>4.1057694107079366</v>
      </c>
      <c r="BZ60" s="363"/>
      <c r="CA60" s="363"/>
      <c r="CB60" s="363"/>
      <c r="CC60" s="363"/>
      <c r="CD60" s="363"/>
      <c r="CE60" s="363"/>
    </row>
    <row r="61" spans="1:83" ht="13.5" thickBot="1">
      <c r="A61" s="105" t="s">
        <v>283</v>
      </c>
      <c r="B61" s="255"/>
      <c r="C61" s="158">
        <f t="shared" si="81"/>
        <v>1.8015684636744733</v>
      </c>
      <c r="D61" s="158">
        <f t="shared" si="82"/>
        <v>3.4946909729830686</v>
      </c>
      <c r="E61" s="158">
        <f t="shared" si="83"/>
        <v>1.0107825528995282</v>
      </c>
      <c r="F61" s="158">
        <f t="shared" si="84"/>
        <v>-2.7908980278111266</v>
      </c>
      <c r="G61" s="158">
        <f t="shared" si="85"/>
        <v>3.4038716938595908</v>
      </c>
      <c r="H61" s="158">
        <f t="shared" si="86"/>
        <v>1.8972029310554945</v>
      </c>
      <c r="I61" s="158">
        <f t="shared" si="87"/>
        <v>1.2171464348461805</v>
      </c>
      <c r="J61" s="158">
        <f t="shared" si="88"/>
        <v>-3.1912001370346244</v>
      </c>
      <c r="K61" s="158">
        <f t="shared" si="89"/>
        <v>3.3695295247336317</v>
      </c>
      <c r="L61" s="158">
        <f t="shared" si="90"/>
        <v>1.0126369570077434</v>
      </c>
      <c r="M61" s="158">
        <f t="shared" si="91"/>
        <v>0.41263128115475878</v>
      </c>
      <c r="N61" s="158">
        <f t="shared" si="92"/>
        <v>-3.7797990486740276</v>
      </c>
      <c r="O61" s="158">
        <f t="shared" si="93"/>
        <v>3.0220401348519825</v>
      </c>
      <c r="P61" s="158">
        <f t="shared" si="94"/>
        <v>0.71997431588424299</v>
      </c>
      <c r="Q61" s="158">
        <f t="shared" si="95"/>
        <v>0.53059262559089793</v>
      </c>
      <c r="R61" s="158">
        <f t="shared" si="96"/>
        <v>-3.2455305844243325</v>
      </c>
      <c r="S61" s="158">
        <f t="shared" si="97"/>
        <v>3.8150615687992548</v>
      </c>
      <c r="T61" s="158">
        <f t="shared" si="98"/>
        <v>1.6138579901179655</v>
      </c>
      <c r="U61" s="158">
        <f t="shared" si="99"/>
        <v>1.4025460836992405</v>
      </c>
      <c r="V61" s="158">
        <f t="shared" si="100"/>
        <v>-3.3173107586497239</v>
      </c>
      <c r="W61" s="158">
        <f t="shared" si="101"/>
        <v>3.6906521454820864</v>
      </c>
      <c r="X61" s="158">
        <f t="shared" si="102"/>
        <v>3.22023889359017</v>
      </c>
      <c r="Y61" s="158">
        <f t="shared" si="103"/>
        <v>0.75490597336281162</v>
      </c>
      <c r="Z61" s="158">
        <f t="shared" si="104"/>
        <v>-3.8684488699158699</v>
      </c>
      <c r="AA61" s="158">
        <f t="shared" si="105"/>
        <v>3.6571086297697795</v>
      </c>
      <c r="AB61" s="158">
        <f t="shared" si="106"/>
        <v>1.1713863410705061</v>
      </c>
      <c r="AC61" s="158">
        <f t="shared" si="107"/>
        <v>1.1238125594030772</v>
      </c>
      <c r="AD61" s="158">
        <f t="shared" si="108"/>
        <v>-2.6693435102841043</v>
      </c>
      <c r="AE61" s="158">
        <f t="shared" si="109"/>
        <v>4.1699686729821179</v>
      </c>
      <c r="AF61" s="158">
        <f t="shared" si="110"/>
        <v>0.91944151839081412</v>
      </c>
      <c r="AG61" s="158">
        <f t="shared" si="111"/>
        <v>1.4645546281729385</v>
      </c>
      <c r="AH61" s="158">
        <f t="shared" si="112"/>
        <v>-3.2440896064980067</v>
      </c>
      <c r="AI61" s="158">
        <f t="shared" si="113"/>
        <v>4.1716740103831897</v>
      </c>
      <c r="AJ61" s="158">
        <f t="shared" si="114"/>
        <v>0.71939033071751879</v>
      </c>
      <c r="AK61" s="158">
        <f t="shared" si="115"/>
        <v>0.86892772142533847</v>
      </c>
      <c r="AL61" s="158">
        <f t="shared" si="116"/>
        <v>-1.9700342109232927</v>
      </c>
      <c r="AM61" s="158">
        <f t="shared" si="117"/>
        <v>4.1545158808919558</v>
      </c>
      <c r="AN61" s="158">
        <f t="shared" si="118"/>
        <v>1.9719461736711557</v>
      </c>
      <c r="AO61" s="158">
        <f t="shared" si="119"/>
        <v>1.4882678528086455</v>
      </c>
      <c r="AP61" s="158">
        <f t="shared" si="120"/>
        <v>-2.172787052186739</v>
      </c>
      <c r="AQ61" s="158">
        <f t="shared" si="121"/>
        <v>3.8994963951544177</v>
      </c>
      <c r="AR61" s="158">
        <f t="shared" si="122"/>
        <v>2.2301951922709216</v>
      </c>
      <c r="AS61" s="158">
        <f t="shared" si="123"/>
        <v>1.0782375489950227</v>
      </c>
      <c r="AT61" s="158">
        <f t="shared" si="124"/>
        <v>-2.1239793808258227</v>
      </c>
      <c r="AU61" s="158">
        <f t="shared" si="125"/>
        <v>3.7549359887712837</v>
      </c>
      <c r="AV61" s="158">
        <f t="shared" si="126"/>
        <v>2.5339322623340248</v>
      </c>
      <c r="AW61" s="158">
        <f t="shared" si="127"/>
        <v>2.8478918553372647</v>
      </c>
      <c r="AX61" s="158">
        <f t="shared" si="128"/>
        <v>-2.5172951879013779</v>
      </c>
      <c r="AY61" s="158">
        <f t="shared" si="129"/>
        <v>2.6623851168140225</v>
      </c>
      <c r="AZ61" s="158">
        <f t="shared" si="130"/>
        <v>2.1204832632625465</v>
      </c>
      <c r="BA61" s="158">
        <f t="shared" si="131"/>
        <v>2.7074434103390623</v>
      </c>
      <c r="BB61" s="158">
        <f t="shared" si="132"/>
        <v>-3.631120170495219</v>
      </c>
      <c r="BC61" s="158">
        <f t="shared" si="151"/>
        <v>3.9318035651964767</v>
      </c>
      <c r="BD61" s="158">
        <f t="shared" si="151"/>
        <v>1.0472190477999412</v>
      </c>
      <c r="BE61" s="158">
        <f t="shared" si="151"/>
        <v>0.59441695727283006</v>
      </c>
      <c r="BF61" s="158">
        <f t="shared" si="151"/>
        <v>-6.1818429201302907</v>
      </c>
      <c r="BG61" s="158">
        <f t="shared" si="151"/>
        <v>2.0691580269521093</v>
      </c>
      <c r="BH61" s="158">
        <f t="shared" si="133"/>
        <v>1.7454570475310363</v>
      </c>
      <c r="BI61" s="158">
        <f t="shared" si="134"/>
        <v>2.0691679241754271</v>
      </c>
      <c r="BJ61" s="158">
        <f t="shared" si="135"/>
        <v>-3.4550254214360123</v>
      </c>
      <c r="BK61" s="158">
        <f t="shared" si="136"/>
        <v>3.1076859692337431</v>
      </c>
      <c r="BL61" s="158">
        <f t="shared" si="137"/>
        <v>1.7662895608777072</v>
      </c>
      <c r="BM61" s="158">
        <f t="shared" si="138"/>
        <v>2.082704301225772</v>
      </c>
      <c r="BN61" s="158">
        <f t="shared" si="139"/>
        <v>-3.0823022626638052</v>
      </c>
      <c r="BO61" s="158">
        <f t="shared" si="140"/>
        <v>2.9317893019468309</v>
      </c>
      <c r="BP61" s="158">
        <f t="shared" si="141"/>
        <v>1.4037403101422308</v>
      </c>
      <c r="BQ61" s="158">
        <f t="shared" si="142"/>
        <v>2.5028412999634706</v>
      </c>
      <c r="BR61" s="158">
        <f t="shared" si="143"/>
        <v>-4.0132894199564273</v>
      </c>
      <c r="BS61" s="158">
        <f t="shared" si="144"/>
        <v>3.1713124487389441</v>
      </c>
      <c r="BT61" s="158">
        <f t="shared" si="145"/>
        <v>0.66014999611175862</v>
      </c>
      <c r="BU61" s="158">
        <f t="shared" si="146"/>
        <v>2.4070510900437467</v>
      </c>
      <c r="BV61" s="158">
        <f t="shared" si="147"/>
        <v>-4.4610025058315559</v>
      </c>
      <c r="BW61" s="158">
        <f t="shared" si="148"/>
        <v>3.8658868425757156</v>
      </c>
      <c r="BX61" s="158">
        <f t="shared" si="149"/>
        <v>5.8104020090114859E-2</v>
      </c>
      <c r="BY61" s="158">
        <f t="shared" si="150"/>
        <v>2.7020637893630171</v>
      </c>
      <c r="BZ61" s="363"/>
      <c r="CA61" s="363"/>
      <c r="CB61" s="363"/>
      <c r="CC61" s="363"/>
      <c r="CD61" s="363"/>
      <c r="CE61" s="363"/>
    </row>
    <row r="62" spans="1:83">
      <c r="BZ62" s="363"/>
      <c r="CA62" s="363"/>
      <c r="CB62" s="363"/>
      <c r="CC62" s="363"/>
      <c r="CD62" s="363"/>
      <c r="CE62" s="363"/>
    </row>
    <row r="63" spans="1:83" ht="18">
      <c r="A63" s="407" t="s">
        <v>168</v>
      </c>
      <c r="B63" s="407"/>
      <c r="C63" s="407"/>
      <c r="D63" s="407"/>
      <c r="E63" s="407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8"/>
      <c r="AA63" s="408"/>
      <c r="AB63" s="408"/>
      <c r="AC63" s="408"/>
      <c r="AD63" s="408"/>
      <c r="AE63" s="408"/>
      <c r="AF63" s="408"/>
      <c r="AG63" s="408"/>
      <c r="AH63" s="408"/>
      <c r="AI63" s="408"/>
      <c r="AJ63" s="408"/>
      <c r="AK63" s="408"/>
      <c r="AL63" s="408"/>
      <c r="AM63" s="408"/>
      <c r="AN63" s="408"/>
      <c r="AO63" s="408"/>
      <c r="AP63" s="408"/>
      <c r="AQ63" s="408"/>
      <c r="AR63" s="408"/>
      <c r="AS63" s="408"/>
      <c r="AT63" s="408"/>
      <c r="AU63" s="408"/>
      <c r="AV63" s="408"/>
      <c r="AW63" s="408"/>
      <c r="AX63" s="408"/>
      <c r="AY63" s="408"/>
      <c r="AZ63" s="408"/>
      <c r="BA63" s="408"/>
      <c r="BB63" s="408"/>
      <c r="BC63" s="408"/>
      <c r="BD63" s="408"/>
      <c r="BE63" s="408"/>
      <c r="BF63" s="408"/>
      <c r="BG63" s="408"/>
      <c r="BH63" s="408"/>
      <c r="BZ63" s="363"/>
      <c r="CA63" s="363"/>
      <c r="CB63" s="363"/>
      <c r="CC63" s="363"/>
      <c r="CD63" s="363"/>
      <c r="CE63" s="363"/>
    </row>
    <row r="64" spans="1:83" ht="13.5" thickBot="1">
      <c r="A64" s="1" t="s">
        <v>172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77" ht="13.5" thickBot="1">
      <c r="A65" s="144" t="s">
        <v>167</v>
      </c>
      <c r="B65" s="249" t="str">
        <f>B45</f>
        <v>1995q1</v>
      </c>
      <c r="C65" s="248" t="str">
        <f t="shared" ref="C65:BH65" si="152">C45</f>
        <v>1995q2</v>
      </c>
      <c r="D65" s="248" t="str">
        <f t="shared" si="152"/>
        <v>1995q3</v>
      </c>
      <c r="E65" s="248" t="str">
        <f t="shared" si="152"/>
        <v>1995q4</v>
      </c>
      <c r="F65" s="248" t="str">
        <f t="shared" si="152"/>
        <v>1996q1</v>
      </c>
      <c r="G65" s="248" t="str">
        <f t="shared" si="152"/>
        <v>1996q2</v>
      </c>
      <c r="H65" s="248" t="str">
        <f t="shared" si="152"/>
        <v>1996q3</v>
      </c>
      <c r="I65" s="248" t="str">
        <f t="shared" si="152"/>
        <v>1996q4</v>
      </c>
      <c r="J65" s="248" t="str">
        <f t="shared" si="152"/>
        <v>1997q1</v>
      </c>
      <c r="K65" s="248" t="str">
        <f t="shared" si="152"/>
        <v>1997q2</v>
      </c>
      <c r="L65" s="248" t="str">
        <f t="shared" si="152"/>
        <v>1997q3</v>
      </c>
      <c r="M65" s="248" t="str">
        <f t="shared" si="152"/>
        <v>1997q4</v>
      </c>
      <c r="N65" s="248" t="str">
        <f t="shared" si="152"/>
        <v>1998q1</v>
      </c>
      <c r="O65" s="248" t="str">
        <f t="shared" si="152"/>
        <v>1998q2</v>
      </c>
      <c r="P65" s="248" t="str">
        <f t="shared" si="152"/>
        <v>1998q3</v>
      </c>
      <c r="Q65" s="248" t="str">
        <f t="shared" si="152"/>
        <v>1998q4</v>
      </c>
      <c r="R65" s="248" t="str">
        <f t="shared" si="152"/>
        <v>1999q1</v>
      </c>
      <c r="S65" s="248" t="str">
        <f t="shared" si="152"/>
        <v>1999q2</v>
      </c>
      <c r="T65" s="248" t="str">
        <f t="shared" si="152"/>
        <v>1999q3</v>
      </c>
      <c r="U65" s="248" t="str">
        <f t="shared" si="152"/>
        <v>1999q4</v>
      </c>
      <c r="V65" s="248" t="str">
        <f t="shared" si="152"/>
        <v>2000q1</v>
      </c>
      <c r="W65" s="248" t="str">
        <f t="shared" si="152"/>
        <v>2000q2</v>
      </c>
      <c r="X65" s="248" t="str">
        <f t="shared" si="152"/>
        <v>2000q3</v>
      </c>
      <c r="Y65" s="248" t="str">
        <f t="shared" si="152"/>
        <v>2000q4</v>
      </c>
      <c r="Z65" s="248" t="str">
        <f t="shared" si="152"/>
        <v>2001q1</v>
      </c>
      <c r="AA65" s="248" t="str">
        <f t="shared" si="152"/>
        <v>2001q2</v>
      </c>
      <c r="AB65" s="248" t="str">
        <f t="shared" si="152"/>
        <v>2001q3</v>
      </c>
      <c r="AC65" s="248" t="str">
        <f t="shared" si="152"/>
        <v>2001q4</v>
      </c>
      <c r="AD65" s="248" t="str">
        <f t="shared" si="152"/>
        <v>2002q1</v>
      </c>
      <c r="AE65" s="248" t="str">
        <f t="shared" si="152"/>
        <v>2002q2</v>
      </c>
      <c r="AF65" s="248" t="str">
        <f t="shared" si="152"/>
        <v>2002q3</v>
      </c>
      <c r="AG65" s="248" t="str">
        <f t="shared" si="152"/>
        <v>2002q4</v>
      </c>
      <c r="AH65" s="248" t="str">
        <f t="shared" si="152"/>
        <v>2003q1</v>
      </c>
      <c r="AI65" s="248" t="str">
        <f t="shared" si="152"/>
        <v>2003q2</v>
      </c>
      <c r="AJ65" s="248" t="str">
        <f t="shared" si="152"/>
        <v>2003q3</v>
      </c>
      <c r="AK65" s="248" t="str">
        <f t="shared" si="152"/>
        <v>2003q4</v>
      </c>
      <c r="AL65" s="248" t="str">
        <f t="shared" si="152"/>
        <v>2004q1</v>
      </c>
      <c r="AM65" s="248" t="str">
        <f t="shared" si="152"/>
        <v>2004q2</v>
      </c>
      <c r="AN65" s="248" t="str">
        <f t="shared" si="152"/>
        <v>2004q3</v>
      </c>
      <c r="AO65" s="248" t="str">
        <f t="shared" si="152"/>
        <v>2004q4</v>
      </c>
      <c r="AP65" s="248" t="str">
        <f t="shared" si="152"/>
        <v>2005q1</v>
      </c>
      <c r="AQ65" s="248" t="str">
        <f t="shared" si="152"/>
        <v>2005q2</v>
      </c>
      <c r="AR65" s="248" t="str">
        <f t="shared" si="152"/>
        <v>2005q3</v>
      </c>
      <c r="AS65" s="248" t="str">
        <f t="shared" si="152"/>
        <v>2005q4</v>
      </c>
      <c r="AT65" s="248" t="str">
        <f t="shared" si="152"/>
        <v>2006q1</v>
      </c>
      <c r="AU65" s="248" t="str">
        <f t="shared" si="152"/>
        <v>2006q2</v>
      </c>
      <c r="AV65" s="248" t="str">
        <f t="shared" si="152"/>
        <v>2006q3</v>
      </c>
      <c r="AW65" s="248" t="str">
        <f t="shared" si="152"/>
        <v>2006q4</v>
      </c>
      <c r="AX65" s="248" t="str">
        <f t="shared" si="152"/>
        <v>2007q1</v>
      </c>
      <c r="AY65" s="248" t="str">
        <f t="shared" si="152"/>
        <v>2007q2</v>
      </c>
      <c r="AZ65" s="248" t="str">
        <f t="shared" si="152"/>
        <v>2007q3</v>
      </c>
      <c r="BA65" s="248" t="str">
        <f t="shared" si="152"/>
        <v>2007q4</v>
      </c>
      <c r="BB65" s="248" t="str">
        <f t="shared" si="152"/>
        <v>2008q1</v>
      </c>
      <c r="BC65" s="248" t="str">
        <f t="shared" si="152"/>
        <v>2008q2</v>
      </c>
      <c r="BD65" s="248" t="str">
        <f t="shared" si="152"/>
        <v>2008q3</v>
      </c>
      <c r="BE65" s="248" t="str">
        <f t="shared" si="152"/>
        <v>2008q4</v>
      </c>
      <c r="BF65" s="248" t="str">
        <f t="shared" si="152"/>
        <v>2009q1</v>
      </c>
      <c r="BG65" s="248" t="str">
        <f t="shared" si="152"/>
        <v>2009q2</v>
      </c>
      <c r="BH65" s="248" t="str">
        <f t="shared" si="152"/>
        <v>2009q3</v>
      </c>
      <c r="BI65" s="248" t="str">
        <f>BI45</f>
        <v>2009q4</v>
      </c>
      <c r="BJ65" s="248" t="str">
        <f t="shared" ref="BJ65:BQ65" si="153">BJ45</f>
        <v>2010q1</v>
      </c>
      <c r="BK65" s="248" t="str">
        <f t="shared" si="153"/>
        <v>2010q2</v>
      </c>
      <c r="BL65" s="248" t="str">
        <f t="shared" si="153"/>
        <v>2010q3</v>
      </c>
      <c r="BM65" s="248" t="str">
        <f t="shared" si="153"/>
        <v>2010q4</v>
      </c>
      <c r="BN65" s="248" t="str">
        <f t="shared" si="153"/>
        <v>2011q1</v>
      </c>
      <c r="BO65" s="248" t="str">
        <f t="shared" si="153"/>
        <v>2011q2</v>
      </c>
      <c r="BP65" s="248" t="str">
        <f t="shared" si="153"/>
        <v>2011q3</v>
      </c>
      <c r="BQ65" s="248" t="str">
        <f t="shared" si="153"/>
        <v>2011q4</v>
      </c>
      <c r="BR65" s="248" t="str">
        <f t="shared" ref="BR65:BX65" si="154">BR45</f>
        <v>2012q1</v>
      </c>
      <c r="BS65" s="248" t="str">
        <f t="shared" si="154"/>
        <v>2012q2</v>
      </c>
      <c r="BT65" s="248" t="str">
        <f t="shared" si="154"/>
        <v>2012q3</v>
      </c>
      <c r="BU65" s="248" t="str">
        <f t="shared" si="154"/>
        <v>2012q4</v>
      </c>
      <c r="BV65" s="248" t="str">
        <f t="shared" si="154"/>
        <v>2013q1</v>
      </c>
      <c r="BW65" s="248" t="str">
        <f t="shared" si="154"/>
        <v>2013q2</v>
      </c>
      <c r="BX65" s="248" t="str">
        <f t="shared" si="154"/>
        <v>2013q3</v>
      </c>
      <c r="BY65" s="248" t="str">
        <f t="shared" ref="BY65" si="155">BY45</f>
        <v>2013q4</v>
      </c>
    </row>
    <row r="66" spans="1:77" ht="13.5" thickTop="1">
      <c r="A66" s="145" t="s">
        <v>0</v>
      </c>
      <c r="B66" s="251"/>
      <c r="C66" s="154">
        <f t="shared" ref="C66:C81" si="156">(C26-B26)/B26*100</f>
        <v>26.425744879759506</v>
      </c>
      <c r="D66" s="154">
        <f t="shared" ref="D66:D81" si="157">(D26-C26)/C26*100</f>
        <v>5.3947063214698838</v>
      </c>
      <c r="E66" s="154">
        <f t="shared" ref="E66:E81" si="158">(E26-D26)/D26*100</f>
        <v>-15.913470774132419</v>
      </c>
      <c r="F66" s="154">
        <f t="shared" ref="F66:F81" si="159">(F26-E26)/E26*100</f>
        <v>5.0533324145550607</v>
      </c>
      <c r="G66" s="154">
        <f t="shared" ref="G66:G81" si="160">(G26-F26)/F26*100</f>
        <v>63.022590298400679</v>
      </c>
      <c r="H66" s="154">
        <f t="shared" ref="H66:H81" si="161">(H26-G26)/G26*100</f>
        <v>-19.487784260371662</v>
      </c>
      <c r="I66" s="154">
        <f t="shared" ref="I66:I81" si="162">(I26-H26)/H26*100</f>
        <v>-20.777445900058201</v>
      </c>
      <c r="J66" s="154">
        <f t="shared" ref="J66:J81" si="163">(J26-I26)/I26*100</f>
        <v>0.20014425160235502</v>
      </c>
      <c r="K66" s="154">
        <f t="shared" ref="K66:K81" si="164">(K26-J26)/J26*100</f>
        <v>53.720173027698117</v>
      </c>
      <c r="L66" s="154">
        <f t="shared" ref="L66:L81" si="165">(L26-K26)/K26*100</f>
        <v>-18.437300146426423</v>
      </c>
      <c r="M66" s="154">
        <f t="shared" ref="M66:M81" si="166">(M26-L26)/L26*100</f>
        <v>-20.130966404532128</v>
      </c>
      <c r="N66" s="154">
        <f t="shared" ref="N66:N81" si="167">(N26-M26)/M26*100</f>
        <v>2.0402192411616054</v>
      </c>
      <c r="O66" s="154">
        <f t="shared" ref="O66:O81" si="168">(O26-N26)/N26*100</f>
        <v>53.034802858193927</v>
      </c>
      <c r="P66" s="154">
        <f t="shared" ref="P66:P81" si="169">(P26-O26)/O26*100</f>
        <v>-19.212933047470205</v>
      </c>
      <c r="Q66" s="154">
        <f t="shared" ref="Q66:Q81" si="170">(Q26-P26)/P26*100</f>
        <v>-25.243403629317584</v>
      </c>
      <c r="R66" s="154">
        <f t="shared" ref="R66:R81" si="171">(R26-Q26)/Q26*100</f>
        <v>-5.3167877079785963</v>
      </c>
      <c r="S66" s="154">
        <f t="shared" ref="S66:S81" si="172">(S26-R26)/R26*100</f>
        <v>62.056047332823802</v>
      </c>
      <c r="T66" s="154">
        <f t="shared" ref="T66:T81" si="173">(T26-S26)/S26*100</f>
        <v>-22.865006619721676</v>
      </c>
      <c r="U66" s="154">
        <f t="shared" ref="U66:U81" si="174">(U26-T26)/T26*100</f>
        <v>-33.56350898299268</v>
      </c>
      <c r="V66" s="154">
        <f t="shared" ref="V66:V81" si="175">(V26-U26)/U26*100</f>
        <v>7.3216749960355711</v>
      </c>
      <c r="W66" s="154">
        <f t="shared" ref="W66:W81" si="176">(W26-V26)/V26*100</f>
        <v>59.954442555968242</v>
      </c>
      <c r="X66" s="154">
        <f t="shared" ref="X66:X81" si="177">(X26-W26)/W26*100</f>
        <v>8.5033304574730568</v>
      </c>
      <c r="Y66" s="154">
        <f t="shared" ref="Y66:Y81" si="178">(Y26-X26)/X26*100</f>
        <v>-40.636258380939744</v>
      </c>
      <c r="Z66" s="154">
        <f t="shared" ref="Z66:Z81" si="179">(Z26-Y26)/Y26*100</f>
        <v>3.1727394946980576</v>
      </c>
      <c r="AA66" s="154">
        <f t="shared" ref="AA66:AA81" si="180">(AA26-Z26)/Z26*100</f>
        <v>70.013541644387999</v>
      </c>
      <c r="AB66" s="154">
        <f t="shared" ref="AB66:AB81" si="181">(AB26-AA26)/AA26*100</f>
        <v>-18.241787735934139</v>
      </c>
      <c r="AC66" s="154">
        <f t="shared" ref="AC66:AC81" si="182">(AC26-AB26)/AB26*100</f>
        <v>-37.71888471231437</v>
      </c>
      <c r="AD66" s="154">
        <f t="shared" ref="AD66:AD81" si="183">(AD26-AC26)/AC26*100</f>
        <v>15.99729404004686</v>
      </c>
      <c r="AE66" s="154">
        <f t="shared" ref="AE66:AE81" si="184">(AE26-AD26)/AD26*100</f>
        <v>75.53192767175328</v>
      </c>
      <c r="AF66" s="154">
        <f t="shared" ref="AF66:AF81" si="185">(AF26-AE26)/AE26*100</f>
        <v>-27.644009015713532</v>
      </c>
      <c r="AG66" s="154">
        <f t="shared" ref="AG66:AG81" si="186">(AG26-AF26)/AF26*100</f>
        <v>-27.957879427891253</v>
      </c>
      <c r="AH66" s="154">
        <f t="shared" ref="AH66:AH81" si="187">(AH26-AG26)/AG26*100</f>
        <v>8.132859403226151</v>
      </c>
      <c r="AI66" s="154">
        <f t="shared" ref="AI66:AI81" si="188">(AI26-AH26)/AH26*100</f>
        <v>101.84956317826553</v>
      </c>
      <c r="AJ66" s="154">
        <f t="shared" ref="AJ66:AJ81" si="189">(AJ26-AI26)/AI26*100</f>
        <v>-30.712570818118991</v>
      </c>
      <c r="AK66" s="154">
        <f t="shared" ref="AK66:AK81" si="190">(AK26-AJ26)/AJ26*100</f>
        <v>-39.647438543802437</v>
      </c>
      <c r="AL66" s="154">
        <f t="shared" ref="AL66:AL81" si="191">(AL26-AK26)/AK26*100</f>
        <v>20.691367199157483</v>
      </c>
      <c r="AM66" s="154">
        <f t="shared" ref="AM66:AM81" si="192">(AM26-AL26)/AL26*100</f>
        <v>82.742839548846405</v>
      </c>
      <c r="AN66" s="154">
        <f t="shared" ref="AN66:AN81" si="193">(AN26-AM26)/AM26*100</f>
        <v>-19.151640011426135</v>
      </c>
      <c r="AO66" s="154">
        <f t="shared" ref="AO66:AO81" si="194">(AO26-AN26)/AN26*100</f>
        <v>-39.182691333408279</v>
      </c>
      <c r="AP66" s="154">
        <f t="shared" ref="AP66:AP81" si="195">(AP26-AO26)/AO26*100</f>
        <v>13.996415660411362</v>
      </c>
      <c r="AQ66" s="154">
        <f t="shared" ref="AQ66:AQ81" si="196">(AQ26-AP26)/AP26*100</f>
        <v>55.054882425123274</v>
      </c>
      <c r="AR66" s="154">
        <f t="shared" ref="AR66:AR81" si="197">(AR26-AQ26)/AQ26*100</f>
        <v>-8.764743193343417</v>
      </c>
      <c r="AS66" s="154">
        <f t="shared" ref="AS66:AS81" si="198">(AS26-AR26)/AR26*100</f>
        <v>-42.566118223539107</v>
      </c>
      <c r="AT66" s="154">
        <f t="shared" ref="AT66:AT81" si="199">(AT26-AS26)/AS26*100</f>
        <v>24.062365410237302</v>
      </c>
      <c r="AU66" s="154">
        <f t="shared" ref="AU66:AU81" si="200">(AU26-AT26)/AT26*100</f>
        <v>48.678988722889933</v>
      </c>
      <c r="AV66" s="154">
        <f t="shared" ref="AV66:AV81" si="201">(AV26-AU26)/AU26*100</f>
        <v>-9.0989377058452412</v>
      </c>
      <c r="AW66" s="154">
        <f t="shared" ref="AW66:AW81" si="202">(AW26-AV26)/AV26*100</f>
        <v>-35.085903146547778</v>
      </c>
      <c r="AX66" s="154">
        <f t="shared" ref="AX66:AX81" si="203">(AX26-AW26)/AW26*100</f>
        <v>19.332771105601278</v>
      </c>
      <c r="AY66" s="154">
        <f t="shared" ref="AY66:AY81" si="204">(AY26-AX26)/AX26*100</f>
        <v>47.940173313671956</v>
      </c>
      <c r="AZ66" s="154">
        <f t="shared" ref="AZ66:AZ81" si="205">(AZ26-AY26)/AY26*100</f>
        <v>-9.8064548058537664</v>
      </c>
      <c r="BA66" s="154">
        <f t="shared" ref="BA66:BA81" si="206">(BA26-AZ26)/AZ26*100</f>
        <v>-35.860922881290492</v>
      </c>
      <c r="BB66" s="154">
        <f t="shared" ref="BB66:BB81" si="207">(BB26-BA26)/BA26*100</f>
        <v>27.624919435529776</v>
      </c>
      <c r="BC66" s="154">
        <f t="shared" ref="BC66:BC81" si="208">(BC26-BB26)/BB26*100</f>
        <v>50.419994526426194</v>
      </c>
      <c r="BD66" s="154">
        <f t="shared" ref="BD66:BD81" si="209">(BD26-BC26)/BC26*100</f>
        <v>-11.480276749546851</v>
      </c>
      <c r="BE66" s="154">
        <f t="shared" ref="BE66:BE81" si="210">(BE26-BD26)/BD26*100</f>
        <v>-37.762815528508149</v>
      </c>
      <c r="BF66" s="154">
        <f t="shared" ref="BF66:BF81" si="211">(BF26-BE26)/BE26*100</f>
        <v>15.538272533246126</v>
      </c>
      <c r="BG66" s="154">
        <f t="shared" ref="BG66:BG81" si="212">(BG26-BF26)/BF26*100</f>
        <v>48.830835434813956</v>
      </c>
      <c r="BH66" s="154">
        <f t="shared" ref="BH66:BH81" si="213">(BH26-BG26)/BG26*100</f>
        <v>-10.493891929477481</v>
      </c>
      <c r="BI66" s="154">
        <f t="shared" ref="BI66:BI81" si="214">(BI26-BH26)/BH26*100</f>
        <v>-34.461692157365611</v>
      </c>
      <c r="BJ66" s="154">
        <f t="shared" ref="BJ66:BJ81" si="215">(BJ26-BI26)/BI26*100</f>
        <v>21.514018152148484</v>
      </c>
      <c r="BK66" s="154">
        <f t="shared" ref="BK66:BK81" si="216">(BK26-BJ26)/BJ26*100</f>
        <v>46.312723473752399</v>
      </c>
      <c r="BL66" s="154">
        <f t="shared" ref="BL66:BL81" si="217">(BL26-BK26)/BK26*100</f>
        <v>-12.317655871614983</v>
      </c>
      <c r="BM66" s="154">
        <f t="shared" ref="BM66:BM81" si="218">(BM26-BL26)/BL26*100</f>
        <v>-33.787861045933681</v>
      </c>
      <c r="BN66" s="154">
        <f t="shared" ref="BN66:BN81" si="219">(BN26-BM26)/BM26*100</f>
        <v>17.01061511706131</v>
      </c>
      <c r="BO66" s="154">
        <f t="shared" ref="BO66:BO81" si="220">(BO26-BN26)/BN26*100</f>
        <v>49.611310340181944</v>
      </c>
      <c r="BP66" s="154">
        <f t="shared" ref="BP66:BP81" si="221">(BP26-BO26)/BO26*100</f>
        <v>-13.267282099114382</v>
      </c>
      <c r="BQ66" s="154">
        <f>(BQ26-BP26)/BP26*100</f>
        <v>-34.291470423821366</v>
      </c>
      <c r="BR66" s="154">
        <f t="shared" ref="BR66:BT81" si="222">(BR26-BQ26)/BQ26*100</f>
        <v>21.078325980675146</v>
      </c>
      <c r="BS66" s="154">
        <f t="shared" si="222"/>
        <v>54.051485386944506</v>
      </c>
      <c r="BT66" s="154">
        <f t="shared" si="222"/>
        <v>-19.120443987123576</v>
      </c>
      <c r="BU66" s="154">
        <f t="shared" ref="BU66:BU81" si="223">(BU26-BT26)/BT26*100</f>
        <v>-34.038161802242747</v>
      </c>
      <c r="BV66" s="154">
        <f t="shared" ref="BV66:BV81" si="224">(BV26-BU26)/BU26*100</f>
        <v>27.767064549926246</v>
      </c>
      <c r="BW66" s="154">
        <f t="shared" ref="BW66:BW81" si="225">(BW26-BV26)/BV26*100</f>
        <v>55.214415323689423</v>
      </c>
      <c r="BX66" s="154">
        <f t="shared" ref="BX66:BX81" si="226">(BX26-BW26)/BW26*100</f>
        <v>-24.539561919279095</v>
      </c>
      <c r="BY66" s="154">
        <f t="shared" ref="BY66:BY81" si="227">(BY26-BX26)/BX26*100</f>
        <v>-32.001549262070796</v>
      </c>
    </row>
    <row r="67" spans="1:77">
      <c r="A67" s="146" t="s">
        <v>1</v>
      </c>
      <c r="B67" s="252"/>
      <c r="C67" s="156">
        <f t="shared" si="156"/>
        <v>45.315580490310346</v>
      </c>
      <c r="D67" s="156">
        <f t="shared" si="157"/>
        <v>7.231899858891075</v>
      </c>
      <c r="E67" s="156">
        <f t="shared" si="158"/>
        <v>-22.680020283975654</v>
      </c>
      <c r="F67" s="156">
        <f t="shared" si="159"/>
        <v>-14.503089734979961</v>
      </c>
      <c r="G67" s="156">
        <f t="shared" si="160"/>
        <v>122.81211205267985</v>
      </c>
      <c r="H67" s="156">
        <f t="shared" si="161"/>
        <v>-28.391359256854741</v>
      </c>
      <c r="I67" s="156">
        <f t="shared" si="162"/>
        <v>-33.108219348000141</v>
      </c>
      <c r="J67" s="156">
        <f t="shared" si="163"/>
        <v>2.1661977554848098</v>
      </c>
      <c r="K67" s="156">
        <f t="shared" si="164"/>
        <v>97.799261206153489</v>
      </c>
      <c r="L67" s="156">
        <f t="shared" si="165"/>
        <v>-27.465194826591986</v>
      </c>
      <c r="M67" s="156">
        <f t="shared" si="166"/>
        <v>-32.356615559341272</v>
      </c>
      <c r="N67" s="156">
        <f t="shared" si="167"/>
        <v>6.2679242156493258</v>
      </c>
      <c r="O67" s="156">
        <f t="shared" si="168"/>
        <v>97.324410774410779</v>
      </c>
      <c r="P67" s="156">
        <f t="shared" si="169"/>
        <v>-27.472491845880974</v>
      </c>
      <c r="Q67" s="156">
        <f t="shared" si="170"/>
        <v>-39.724738266086334</v>
      </c>
      <c r="R67" s="156">
        <f t="shared" si="171"/>
        <v>16.628324280002005</v>
      </c>
      <c r="S67" s="156">
        <f t="shared" si="172"/>
        <v>98.757893574063004</v>
      </c>
      <c r="T67" s="156">
        <f t="shared" si="173"/>
        <v>-30.055978559563279</v>
      </c>
      <c r="U67" s="156">
        <f t="shared" si="174"/>
        <v>-48.222535155310212</v>
      </c>
      <c r="V67" s="156">
        <f t="shared" si="175"/>
        <v>16.954020422921456</v>
      </c>
      <c r="W67" s="156">
        <f t="shared" si="176"/>
        <v>100.48508972173265</v>
      </c>
      <c r="X67" s="156">
        <f t="shared" si="177"/>
        <v>11.485348298817218</v>
      </c>
      <c r="Y67" s="156">
        <f t="shared" si="178"/>
        <v>-53.352833283506108</v>
      </c>
      <c r="Z67" s="156">
        <f t="shared" si="179"/>
        <v>9.8281234480672008</v>
      </c>
      <c r="AA67" s="156">
        <f t="shared" si="180"/>
        <v>108.54723635240775</v>
      </c>
      <c r="AB67" s="156">
        <f t="shared" si="181"/>
        <v>-23.347661960767212</v>
      </c>
      <c r="AC67" s="156">
        <f t="shared" si="182"/>
        <v>-51.016254376725776</v>
      </c>
      <c r="AD67" s="156">
        <f t="shared" si="183"/>
        <v>37.259943949247628</v>
      </c>
      <c r="AE67" s="156">
        <f t="shared" si="184"/>
        <v>109.43536404160474</v>
      </c>
      <c r="AF67" s="156">
        <f t="shared" si="185"/>
        <v>-34.295849592053926</v>
      </c>
      <c r="AG67" s="156">
        <f t="shared" si="186"/>
        <v>-38.019652305366591</v>
      </c>
      <c r="AH67" s="156">
        <f t="shared" si="187"/>
        <v>12.495847910582578</v>
      </c>
      <c r="AI67" s="156">
        <f t="shared" si="188"/>
        <v>152.22455913282639</v>
      </c>
      <c r="AJ67" s="156">
        <f t="shared" si="189"/>
        <v>-37.57536882617061</v>
      </c>
      <c r="AK67" s="156">
        <f t="shared" si="190"/>
        <v>-53.072338676531039</v>
      </c>
      <c r="AL67" s="156">
        <f t="shared" si="191"/>
        <v>35.375661474885881</v>
      </c>
      <c r="AM67" s="156">
        <f t="shared" si="192"/>
        <v>127.52131253015924</v>
      </c>
      <c r="AN67" s="156">
        <f t="shared" si="193"/>
        <v>-24.397313538352773</v>
      </c>
      <c r="AO67" s="156">
        <f t="shared" si="194"/>
        <v>-50.21507387319992</v>
      </c>
      <c r="AP67" s="156">
        <f t="shared" si="195"/>
        <v>23.240374578919329</v>
      </c>
      <c r="AQ67" s="156">
        <f t="shared" si="196"/>
        <v>83.223987269326344</v>
      </c>
      <c r="AR67" s="156">
        <f t="shared" si="197"/>
        <v>-10.742202380045413</v>
      </c>
      <c r="AS67" s="156">
        <f t="shared" si="198"/>
        <v>-53.935710749586022</v>
      </c>
      <c r="AT67" s="156">
        <f t="shared" si="199"/>
        <v>39.607773509660795</v>
      </c>
      <c r="AU67" s="156">
        <f t="shared" si="200"/>
        <v>69.185279277372018</v>
      </c>
      <c r="AV67" s="156">
        <f t="shared" si="201"/>
        <v>-11.644921249332638</v>
      </c>
      <c r="AW67" s="156">
        <f t="shared" si="202"/>
        <v>-46.227092047246316</v>
      </c>
      <c r="AX67" s="156">
        <f t="shared" si="203"/>
        <v>30.223807996542391</v>
      </c>
      <c r="AY67" s="156">
        <f t="shared" si="204"/>
        <v>68.883496804620492</v>
      </c>
      <c r="AZ67" s="156">
        <f t="shared" si="205"/>
        <v>-12.505817835967385</v>
      </c>
      <c r="BA67" s="156">
        <f t="shared" si="206"/>
        <v>-46.136410944330088</v>
      </c>
      <c r="BB67" s="156">
        <f t="shared" si="207"/>
        <v>47.48502638668009</v>
      </c>
      <c r="BC67" s="156">
        <f t="shared" si="208"/>
        <v>65.469795765949499</v>
      </c>
      <c r="BD67" s="156">
        <f t="shared" si="209"/>
        <v>-13.554378960159699</v>
      </c>
      <c r="BE67" s="156">
        <f t="shared" si="210"/>
        <v>-47.069984135590502</v>
      </c>
      <c r="BF67" s="156">
        <f t="shared" si="211"/>
        <v>27.893238826588114</v>
      </c>
      <c r="BG67" s="156">
        <f t="shared" si="212"/>
        <v>62.807604776563565</v>
      </c>
      <c r="BH67" s="156">
        <f t="shared" si="213"/>
        <v>-12.820227742292358</v>
      </c>
      <c r="BI67" s="156">
        <f t="shared" si="214"/>
        <v>-42.981940820886486</v>
      </c>
      <c r="BJ67" s="156">
        <f t="shared" si="215"/>
        <v>28.216158524311112</v>
      </c>
      <c r="BK67" s="156">
        <f t="shared" si="216"/>
        <v>63.975617284199359</v>
      </c>
      <c r="BL67" s="156">
        <f t="shared" si="217"/>
        <v>-16.383477192897967</v>
      </c>
      <c r="BM67" s="156">
        <f t="shared" si="218"/>
        <v>-43.113943101247514</v>
      </c>
      <c r="BN67" s="156">
        <f t="shared" si="219"/>
        <v>27.222887236825059</v>
      </c>
      <c r="BO67" s="156">
        <f t="shared" si="220"/>
        <v>66.142112925040806</v>
      </c>
      <c r="BP67" s="156">
        <f t="shared" si="221"/>
        <v>-15.115185918356364</v>
      </c>
      <c r="BQ67" s="156">
        <f t="shared" ref="BQ67:BQ81" si="228">(BQ27-BP27)/BP27*100</f>
        <v>-42.803487213986784</v>
      </c>
      <c r="BR67" s="156">
        <f t="shared" si="222"/>
        <v>31.186330448490196</v>
      </c>
      <c r="BS67" s="156">
        <f t="shared" si="222"/>
        <v>67.531827157696895</v>
      </c>
      <c r="BT67" s="156">
        <f t="shared" si="222"/>
        <v>-22.269555978985696</v>
      </c>
      <c r="BU67" s="156">
        <f t="shared" si="223"/>
        <v>-42.500634644978561</v>
      </c>
      <c r="BV67" s="156">
        <f t="shared" si="224"/>
        <v>41.578377729245055</v>
      </c>
      <c r="BW67" s="156">
        <f t="shared" si="225"/>
        <v>70.571216144450332</v>
      </c>
      <c r="BX67" s="156">
        <f t="shared" si="226"/>
        <v>-29.343034058812112</v>
      </c>
      <c r="BY67" s="156">
        <f t="shared" si="227"/>
        <v>-41.897770335771561</v>
      </c>
    </row>
    <row r="68" spans="1:77">
      <c r="A68" s="149" t="s">
        <v>2</v>
      </c>
      <c r="B68" s="253"/>
      <c r="C68" s="157">
        <f t="shared" si="156"/>
        <v>-0.69413851813928751</v>
      </c>
      <c r="D68" s="157">
        <f t="shared" si="157"/>
        <v>1.5350214612857662</v>
      </c>
      <c r="E68" s="157">
        <f t="shared" si="158"/>
        <v>-0.90030303996435579</v>
      </c>
      <c r="F68" s="157">
        <f t="shared" si="159"/>
        <v>38.907635766678709</v>
      </c>
      <c r="G68" s="157">
        <f t="shared" si="160"/>
        <v>-0.68245929454313947</v>
      </c>
      <c r="H68" s="157">
        <f t="shared" si="161"/>
        <v>1.7948821603266412</v>
      </c>
      <c r="I68" s="157">
        <f t="shared" si="162"/>
        <v>-4.3048330090156572E-2</v>
      </c>
      <c r="J68" s="157">
        <f t="shared" si="163"/>
        <v>-2.012217743061202</v>
      </c>
      <c r="K68" s="157">
        <f t="shared" si="164"/>
        <v>2.0037164082244772</v>
      </c>
      <c r="L68" s="157">
        <f t="shared" si="165"/>
        <v>2.102268236781792</v>
      </c>
      <c r="M68" s="157">
        <f t="shared" si="166"/>
        <v>-0.37092654230203692</v>
      </c>
      <c r="N68" s="157">
        <f t="shared" si="167"/>
        <v>-2.5991591802663834</v>
      </c>
      <c r="O68" s="157">
        <f t="shared" si="168"/>
        <v>7.8767757206283009E-3</v>
      </c>
      <c r="P68" s="157">
        <f t="shared" si="169"/>
        <v>0.29890009490766956</v>
      </c>
      <c r="Q68" s="157">
        <f t="shared" si="170"/>
        <v>-0.50586988103182495</v>
      </c>
      <c r="R68" s="157">
        <f t="shared" si="171"/>
        <v>-28.027317068321985</v>
      </c>
      <c r="S68" s="157">
        <f t="shared" si="172"/>
        <v>0.50808053539841791</v>
      </c>
      <c r="T68" s="157">
        <f t="shared" si="173"/>
        <v>0.98216075365804623</v>
      </c>
      <c r="U68" s="157">
        <f t="shared" si="174"/>
        <v>0.10782056371576036</v>
      </c>
      <c r="V68" s="157">
        <f t="shared" si="175"/>
        <v>-4.121853871458601</v>
      </c>
      <c r="W68" s="157">
        <f t="shared" si="176"/>
        <v>1.2180882313397905</v>
      </c>
      <c r="X68" s="157">
        <f t="shared" si="177"/>
        <v>-5.635163419738453E-2</v>
      </c>
      <c r="Y68" s="157">
        <f t="shared" si="178"/>
        <v>8.1151832460742049E-2</v>
      </c>
      <c r="Z68" s="157">
        <f t="shared" si="179"/>
        <v>-6.7597035737858135</v>
      </c>
      <c r="AA68" s="157">
        <f t="shared" si="180"/>
        <v>2.2753592591605507</v>
      </c>
      <c r="AB68" s="157">
        <f t="shared" si="181"/>
        <v>6.0122650206419201E-2</v>
      </c>
      <c r="AC68" s="157">
        <f t="shared" si="182"/>
        <v>-1.2051353949687402</v>
      </c>
      <c r="AD68" s="157">
        <f t="shared" si="183"/>
        <v>-12.95118139677064</v>
      </c>
      <c r="AE68" s="157">
        <f t="shared" si="184"/>
        <v>2.7484230865891415</v>
      </c>
      <c r="AF68" s="157">
        <f t="shared" si="185"/>
        <v>1.4635593764034083</v>
      </c>
      <c r="AG68" s="157">
        <f t="shared" si="186"/>
        <v>0.55370254740318325</v>
      </c>
      <c r="AH68" s="157">
        <f t="shared" si="187"/>
        <v>0.51230065174456219</v>
      </c>
      <c r="AI68" s="157">
        <f t="shared" si="188"/>
        <v>3.3725085740046858</v>
      </c>
      <c r="AJ68" s="157">
        <f t="shared" si="189"/>
        <v>2.0217669158371763</v>
      </c>
      <c r="AK68" s="157">
        <f t="shared" si="190"/>
        <v>-0.46634524125887783</v>
      </c>
      <c r="AL68" s="157">
        <f t="shared" si="191"/>
        <v>0.48549852191854448</v>
      </c>
      <c r="AM68" s="157">
        <f t="shared" si="192"/>
        <v>-0.26725842138646727</v>
      </c>
      <c r="AN68" s="157">
        <f t="shared" si="193"/>
        <v>3.0327367293865728</v>
      </c>
      <c r="AO68" s="157">
        <f t="shared" si="194"/>
        <v>-4.9471437585835689</v>
      </c>
      <c r="AP68" s="157">
        <f t="shared" si="195"/>
        <v>-1.0280373067224045</v>
      </c>
      <c r="AQ68" s="157">
        <f t="shared" si="196"/>
        <v>-1.9555762204274838</v>
      </c>
      <c r="AR68" s="157">
        <f t="shared" si="197"/>
        <v>-1.2856585405927068</v>
      </c>
      <c r="AS68" s="157">
        <f t="shared" si="198"/>
        <v>-3.6838372279961904</v>
      </c>
      <c r="AT68" s="157">
        <f t="shared" si="199"/>
        <v>-1.3634075395450791</v>
      </c>
      <c r="AU68" s="157">
        <f t="shared" si="200"/>
        <v>1.2077369498980011</v>
      </c>
      <c r="AV68" s="157">
        <f t="shared" si="201"/>
        <v>0.75359824032897638</v>
      </c>
      <c r="AW68" s="157">
        <f t="shared" si="202"/>
        <v>2.7230738564635075</v>
      </c>
      <c r="AX68" s="157">
        <f t="shared" si="203"/>
        <v>-1.4874981764846827E-2</v>
      </c>
      <c r="AY68" s="157">
        <f t="shared" si="204"/>
        <v>-0.51715917936697642</v>
      </c>
      <c r="AZ68" s="157">
        <f t="shared" si="205"/>
        <v>0.79619047619046546</v>
      </c>
      <c r="BA68" s="157">
        <f t="shared" si="206"/>
        <v>-0.82686420499640323</v>
      </c>
      <c r="BB68" s="157">
        <f t="shared" si="207"/>
        <v>-9.1516164768703732</v>
      </c>
      <c r="BC68" s="157">
        <f t="shared" si="208"/>
        <v>5.1770641102107957</v>
      </c>
      <c r="BD68" s="157">
        <f t="shared" si="209"/>
        <v>-1.6707556917312953</v>
      </c>
      <c r="BE68" s="157">
        <f t="shared" si="210"/>
        <v>0.93580892351038414</v>
      </c>
      <c r="BF68" s="157">
        <f t="shared" si="211"/>
        <v>-11.400404762002381</v>
      </c>
      <c r="BG68" s="157">
        <f t="shared" si="212"/>
        <v>4.8404923689706276</v>
      </c>
      <c r="BH68" s="157">
        <f t="shared" si="213"/>
        <v>0.87632086046746438</v>
      </c>
      <c r="BI68" s="157">
        <f t="shared" si="214"/>
        <v>1.5277364539066332</v>
      </c>
      <c r="BJ68" s="157">
        <f t="shared" si="215"/>
        <v>5.6152334586234591</v>
      </c>
      <c r="BK68" s="157">
        <f t="shared" si="216"/>
        <v>-4.5533792367318897</v>
      </c>
      <c r="BL68" s="157">
        <f t="shared" si="217"/>
        <v>7.7979729045758992</v>
      </c>
      <c r="BM68" s="157">
        <f t="shared" si="218"/>
        <v>2.0024987950308528</v>
      </c>
      <c r="BN68" s="157">
        <f t="shared" si="219"/>
        <v>-4.8460667825371946</v>
      </c>
      <c r="BO68" s="157">
        <f t="shared" si="220"/>
        <v>2.3076992836962207</v>
      </c>
      <c r="BP68" s="157">
        <f t="shared" si="221"/>
        <v>-4.6800909604304062</v>
      </c>
      <c r="BQ68" s="157">
        <f t="shared" si="228"/>
        <v>0.9334986808888357</v>
      </c>
      <c r="BR68" s="157">
        <f t="shared" si="222"/>
        <v>-2.6254644058878887</v>
      </c>
      <c r="BS68" s="157">
        <f t="shared" si="222"/>
        <v>11.462581708321414</v>
      </c>
      <c r="BT68" s="157">
        <f t="shared" si="222"/>
        <v>-4.1666328849774965</v>
      </c>
      <c r="BU68" s="157">
        <f t="shared" si="223"/>
        <v>-1.4443259754338287</v>
      </c>
      <c r="BV68" s="157">
        <f t="shared" si="224"/>
        <v>-3.2681375440636726</v>
      </c>
      <c r="BW68" s="157">
        <f t="shared" si="225"/>
        <v>4.7078613442285846</v>
      </c>
      <c r="BX68" s="157">
        <f t="shared" si="226"/>
        <v>1.1957075069325089</v>
      </c>
      <c r="BY68" s="157">
        <f t="shared" si="227"/>
        <v>5.0183919884929065</v>
      </c>
    </row>
    <row r="69" spans="1:77">
      <c r="A69" s="145" t="s">
        <v>3</v>
      </c>
      <c r="B69" s="254"/>
      <c r="C69" s="159">
        <f t="shared" si="156"/>
        <v>1.8669839106056623</v>
      </c>
      <c r="D69" s="159">
        <f t="shared" si="157"/>
        <v>5.7919398321406046</v>
      </c>
      <c r="E69" s="159">
        <f t="shared" si="158"/>
        <v>-1.830784471204274</v>
      </c>
      <c r="F69" s="159">
        <f t="shared" si="159"/>
        <v>-3.4334482944250087</v>
      </c>
      <c r="G69" s="159">
        <f t="shared" si="160"/>
        <v>1.3796705803961102</v>
      </c>
      <c r="H69" s="159">
        <f t="shared" si="161"/>
        <v>5.8349064987705885</v>
      </c>
      <c r="I69" s="159">
        <f t="shared" si="162"/>
        <v>-0.11932182601825944</v>
      </c>
      <c r="J69" s="159">
        <f t="shared" si="163"/>
        <v>-4.198115379197696</v>
      </c>
      <c r="K69" s="159">
        <f t="shared" si="164"/>
        <v>3.1973937466655533</v>
      </c>
      <c r="L69" s="159">
        <f t="shared" si="165"/>
        <v>3.9412048221639266</v>
      </c>
      <c r="M69" s="159">
        <f t="shared" si="166"/>
        <v>-0.51347046230777993</v>
      </c>
      <c r="N69" s="159">
        <f t="shared" si="167"/>
        <v>-6.2230568067159062</v>
      </c>
      <c r="O69" s="159">
        <f t="shared" si="168"/>
        <v>1.419158173563926</v>
      </c>
      <c r="P69" s="159">
        <f t="shared" si="169"/>
        <v>2.3488501515013671</v>
      </c>
      <c r="Q69" s="159">
        <f t="shared" si="170"/>
        <v>-0.37489555815494607</v>
      </c>
      <c r="R69" s="159">
        <f t="shared" si="171"/>
        <v>-5.1906881912548375</v>
      </c>
      <c r="S69" s="159">
        <f t="shared" si="172"/>
        <v>2.6469502411011661</v>
      </c>
      <c r="T69" s="159">
        <f t="shared" si="173"/>
        <v>4.8733656695485097</v>
      </c>
      <c r="U69" s="159">
        <f t="shared" si="174"/>
        <v>2.2617686694217727</v>
      </c>
      <c r="V69" s="159">
        <f t="shared" si="175"/>
        <v>-2.9034787956070258</v>
      </c>
      <c r="W69" s="159">
        <f t="shared" si="176"/>
        <v>3.5924794454035882</v>
      </c>
      <c r="X69" s="159">
        <f t="shared" si="177"/>
        <v>5.4932565779616889</v>
      </c>
      <c r="Y69" s="159">
        <f t="shared" si="178"/>
        <v>2.3138513995239327</v>
      </c>
      <c r="Z69" s="159">
        <f t="shared" si="179"/>
        <v>-3.2910477456469924</v>
      </c>
      <c r="AA69" s="159">
        <f t="shared" si="180"/>
        <v>1.9590377536337145</v>
      </c>
      <c r="AB69" s="159">
        <f t="shared" si="181"/>
        <v>2.4569523591338776</v>
      </c>
      <c r="AC69" s="159">
        <f t="shared" si="182"/>
        <v>1.3568513092046699</v>
      </c>
      <c r="AD69" s="159">
        <f t="shared" si="183"/>
        <v>-6.6788438047606453</v>
      </c>
      <c r="AE69" s="159">
        <f t="shared" si="184"/>
        <v>3.6508040599080318</v>
      </c>
      <c r="AF69" s="159">
        <f t="shared" si="185"/>
        <v>4.9023702126796787</v>
      </c>
      <c r="AG69" s="159">
        <f t="shared" si="186"/>
        <v>0.40554873467855757</v>
      </c>
      <c r="AH69" s="159">
        <f t="shared" si="187"/>
        <v>-7.0936871709253486</v>
      </c>
      <c r="AI69" s="159">
        <f t="shared" si="188"/>
        <v>0.60681111640846686</v>
      </c>
      <c r="AJ69" s="159">
        <f t="shared" si="189"/>
        <v>4.0647939207846377</v>
      </c>
      <c r="AK69" s="159">
        <f t="shared" si="190"/>
        <v>-0.56359933877237223</v>
      </c>
      <c r="AL69" s="159">
        <f t="shared" si="191"/>
        <v>-1.5444208383403153</v>
      </c>
      <c r="AM69" s="159">
        <f t="shared" si="192"/>
        <v>2.8732031117526717</v>
      </c>
      <c r="AN69" s="159">
        <f t="shared" si="193"/>
        <v>5.7933788135702109</v>
      </c>
      <c r="AO69" s="159">
        <f t="shared" si="194"/>
        <v>5.8604190696001845E-3</v>
      </c>
      <c r="AP69" s="159">
        <f t="shared" si="195"/>
        <v>-3.8773257833923545</v>
      </c>
      <c r="AQ69" s="159">
        <f t="shared" si="196"/>
        <v>5.838478126343114</v>
      </c>
      <c r="AR69" s="159">
        <f t="shared" si="197"/>
        <v>5.5244892738969487</v>
      </c>
      <c r="AS69" s="159">
        <f t="shared" si="198"/>
        <v>8.1253675922617383E-2</v>
      </c>
      <c r="AT69" s="159">
        <f t="shared" si="199"/>
        <v>-4.8654094628181515</v>
      </c>
      <c r="AU69" s="159">
        <f t="shared" si="200"/>
        <v>4.6219113693861713</v>
      </c>
      <c r="AV69" s="159">
        <f t="shared" si="201"/>
        <v>5.6311419538236454</v>
      </c>
      <c r="AW69" s="159">
        <f t="shared" si="202"/>
        <v>1.8383755151536629</v>
      </c>
      <c r="AX69" s="159">
        <f t="shared" si="203"/>
        <v>-4.5480950192816056</v>
      </c>
      <c r="AY69" s="159">
        <f t="shared" si="204"/>
        <v>3.334744807726465</v>
      </c>
      <c r="AZ69" s="159">
        <f t="shared" si="205"/>
        <v>3.8853140435325262</v>
      </c>
      <c r="BA69" s="159">
        <f t="shared" si="206"/>
        <v>3.4530170743900537</v>
      </c>
      <c r="BB69" s="159">
        <f t="shared" si="207"/>
        <v>-7.3018916469108577</v>
      </c>
      <c r="BC69" s="159">
        <f t="shared" si="208"/>
        <v>6.4504537516820806</v>
      </c>
      <c r="BD69" s="159">
        <f t="shared" si="209"/>
        <v>2.517250154057066</v>
      </c>
      <c r="BE69" s="159">
        <f t="shared" si="210"/>
        <v>-4.0609311287156045</v>
      </c>
      <c r="BF69" s="159">
        <f t="shared" si="211"/>
        <v>-11.573795394251274</v>
      </c>
      <c r="BG69" s="159">
        <f t="shared" si="212"/>
        <v>1.7366049943348676</v>
      </c>
      <c r="BH69" s="159">
        <f t="shared" si="213"/>
        <v>5.9994708917412858</v>
      </c>
      <c r="BI69" s="159">
        <f t="shared" si="214"/>
        <v>1.6485767663592252</v>
      </c>
      <c r="BJ69" s="159">
        <f t="shared" si="215"/>
        <v>-4.925602567997255</v>
      </c>
      <c r="BK69" s="159">
        <f t="shared" si="216"/>
        <v>5.322755374251785</v>
      </c>
      <c r="BL69" s="159">
        <f t="shared" si="217"/>
        <v>3.0678715197719053</v>
      </c>
      <c r="BM69" s="159">
        <f t="shared" si="218"/>
        <v>0.56178622041494719</v>
      </c>
      <c r="BN69" s="159">
        <f t="shared" si="219"/>
        <v>-3.971417462404065</v>
      </c>
      <c r="BO69" s="159">
        <f t="shared" si="220"/>
        <v>2.2141096005095693</v>
      </c>
      <c r="BP69" s="159">
        <f t="shared" si="221"/>
        <v>3.419757515036348</v>
      </c>
      <c r="BQ69" s="159">
        <f t="shared" si="228"/>
        <v>1.1303106991492502</v>
      </c>
      <c r="BR69" s="159">
        <f t="shared" si="222"/>
        <v>-5.9148557535225663</v>
      </c>
      <c r="BS69" s="159">
        <f t="shared" si="222"/>
        <v>3.2334765813268427</v>
      </c>
      <c r="BT69" s="159">
        <f t="shared" si="222"/>
        <v>3.7509999568669961</v>
      </c>
      <c r="BU69" s="159">
        <f t="shared" si="223"/>
        <v>2.0981241256971823</v>
      </c>
      <c r="BV69" s="159">
        <f t="shared" si="224"/>
        <v>-8.7456000661930204</v>
      </c>
      <c r="BW69" s="159">
        <f t="shared" si="225"/>
        <v>5.86169425890039</v>
      </c>
      <c r="BX69" s="159">
        <f t="shared" si="226"/>
        <v>1.4137098305075055</v>
      </c>
      <c r="BY69" s="159">
        <f t="shared" si="227"/>
        <v>3.4898270940847529</v>
      </c>
    </row>
    <row r="70" spans="1:77">
      <c r="A70" s="146" t="s">
        <v>4</v>
      </c>
      <c r="B70" s="252"/>
      <c r="C70" s="156">
        <f t="shared" si="156"/>
        <v>1.9165013746270967</v>
      </c>
      <c r="D70" s="156">
        <f t="shared" si="157"/>
        <v>7.0731261902898384</v>
      </c>
      <c r="E70" s="156">
        <f t="shared" si="158"/>
        <v>-1.1651422194716772</v>
      </c>
      <c r="F70" s="156">
        <f t="shared" si="159"/>
        <v>-4.8461071023729989</v>
      </c>
      <c r="G70" s="156">
        <f t="shared" si="160"/>
        <v>0.81944114284597769</v>
      </c>
      <c r="H70" s="156">
        <f t="shared" si="161"/>
        <v>6.2962515249569071</v>
      </c>
      <c r="I70" s="156">
        <f t="shared" si="162"/>
        <v>0.14318150944129357</v>
      </c>
      <c r="J70" s="156">
        <f t="shared" si="163"/>
        <v>-5.3100111468195177</v>
      </c>
      <c r="K70" s="156">
        <f t="shared" si="164"/>
        <v>3.4345211307940904</v>
      </c>
      <c r="L70" s="156">
        <f t="shared" si="165"/>
        <v>4.8432710372787628</v>
      </c>
      <c r="M70" s="156">
        <f t="shared" si="166"/>
        <v>-0.74697249783077291</v>
      </c>
      <c r="N70" s="156">
        <f t="shared" si="167"/>
        <v>-5.5173144226687798</v>
      </c>
      <c r="O70" s="156">
        <f t="shared" si="168"/>
        <v>1.7138300832887965</v>
      </c>
      <c r="P70" s="156">
        <f t="shared" si="169"/>
        <v>3.0457253323864721</v>
      </c>
      <c r="Q70" s="156">
        <f t="shared" si="170"/>
        <v>-0.64512423905970306</v>
      </c>
      <c r="R70" s="156">
        <f t="shared" si="171"/>
        <v>-5.0607914201415731</v>
      </c>
      <c r="S70" s="156">
        <f t="shared" si="172"/>
        <v>2.6177203472912232</v>
      </c>
      <c r="T70" s="156">
        <f t="shared" si="173"/>
        <v>5.6985918306201979</v>
      </c>
      <c r="U70" s="156">
        <f t="shared" si="174"/>
        <v>2.2903359915340822</v>
      </c>
      <c r="V70" s="156">
        <f t="shared" si="175"/>
        <v>-3.0619024769252201</v>
      </c>
      <c r="W70" s="156">
        <f t="shared" si="176"/>
        <v>3.5534223245955321</v>
      </c>
      <c r="X70" s="156">
        <f t="shared" si="177"/>
        <v>6.1173556163573251</v>
      </c>
      <c r="Y70" s="156">
        <f t="shared" si="178"/>
        <v>2.5243462657445042</v>
      </c>
      <c r="Z70" s="156">
        <f t="shared" si="179"/>
        <v>-5.7449652818665697</v>
      </c>
      <c r="AA70" s="156">
        <f t="shared" si="180"/>
        <v>2.0111646622178889</v>
      </c>
      <c r="AB70" s="156">
        <f t="shared" si="181"/>
        <v>2.8414493416059354</v>
      </c>
      <c r="AC70" s="156">
        <f t="shared" si="182"/>
        <v>1.3134655944031779</v>
      </c>
      <c r="AD70" s="156">
        <f t="shared" si="183"/>
        <v>-5.6212553382271189</v>
      </c>
      <c r="AE70" s="156">
        <f t="shared" si="184"/>
        <v>3.8422287075000479</v>
      </c>
      <c r="AF70" s="156">
        <f t="shared" si="185"/>
        <v>5.3283677304780941</v>
      </c>
      <c r="AG70" s="156">
        <f t="shared" si="186"/>
        <v>0.16729579927124152</v>
      </c>
      <c r="AH70" s="156">
        <f t="shared" si="187"/>
        <v>-6.4498774539708936</v>
      </c>
      <c r="AI70" s="156">
        <f t="shared" si="188"/>
        <v>0.33388981636060244</v>
      </c>
      <c r="AJ70" s="156">
        <f t="shared" si="189"/>
        <v>4.3471407303616854</v>
      </c>
      <c r="AK70" s="156">
        <f t="shared" si="190"/>
        <v>-0.96178055289793185</v>
      </c>
      <c r="AL70" s="156">
        <f t="shared" si="191"/>
        <v>-1.9007303261582527</v>
      </c>
      <c r="AM70" s="156">
        <f t="shared" si="192"/>
        <v>2.7504742196930745</v>
      </c>
      <c r="AN70" s="156">
        <f t="shared" si="193"/>
        <v>6.1726944700847328</v>
      </c>
      <c r="AO70" s="156">
        <f t="shared" si="194"/>
        <v>-0.21497557814204932</v>
      </c>
      <c r="AP70" s="156">
        <f t="shared" si="195"/>
        <v>-4.8540464574706732</v>
      </c>
      <c r="AQ70" s="156">
        <f t="shared" si="196"/>
        <v>6.2968104016457289</v>
      </c>
      <c r="AR70" s="156">
        <f t="shared" si="197"/>
        <v>6.028237202522158</v>
      </c>
      <c r="AS70" s="156">
        <f t="shared" si="198"/>
        <v>-0.41363870630470345</v>
      </c>
      <c r="AT70" s="156">
        <f t="shared" si="199"/>
        <v>-5.0544928281908046</v>
      </c>
      <c r="AU70" s="156">
        <f t="shared" si="200"/>
        <v>4.8047150934647913</v>
      </c>
      <c r="AV70" s="156">
        <f t="shared" si="201"/>
        <v>6.0895332713760091</v>
      </c>
      <c r="AW70" s="156">
        <f t="shared" si="202"/>
        <v>1.7268401903162613</v>
      </c>
      <c r="AX70" s="156">
        <f t="shared" si="203"/>
        <v>-5.3718797749084892</v>
      </c>
      <c r="AY70" s="156">
        <f t="shared" si="204"/>
        <v>3.4907567669774391</v>
      </c>
      <c r="AZ70" s="156">
        <f t="shared" si="205"/>
        <v>4.0068584599384494</v>
      </c>
      <c r="BA70" s="156">
        <f t="shared" si="206"/>
        <v>3.1511810172423118</v>
      </c>
      <c r="BB70" s="156">
        <f t="shared" si="207"/>
        <v>-7.4070871610315976</v>
      </c>
      <c r="BC70" s="156">
        <f t="shared" si="208"/>
        <v>7.3997206372185858</v>
      </c>
      <c r="BD70" s="156">
        <f t="shared" si="209"/>
        <v>2.0535894816655809</v>
      </c>
      <c r="BE70" s="156">
        <f t="shared" si="210"/>
        <v>-4.9829556208941206</v>
      </c>
      <c r="BF70" s="156">
        <f t="shared" si="211"/>
        <v>-13.392053956373676</v>
      </c>
      <c r="BG70" s="156">
        <f t="shared" si="212"/>
        <v>1.7302055318898359</v>
      </c>
      <c r="BH70" s="156">
        <f t="shared" si="213"/>
        <v>6.6815559855370577</v>
      </c>
      <c r="BI70" s="156">
        <f t="shared" si="214"/>
        <v>1.5281199908135452</v>
      </c>
      <c r="BJ70" s="156">
        <f t="shared" si="215"/>
        <v>-5.1219070128659316</v>
      </c>
      <c r="BK70" s="156">
        <f t="shared" si="216"/>
        <v>6.4151315132141544</v>
      </c>
      <c r="BL70" s="156">
        <f t="shared" si="217"/>
        <v>3.3795670639764492</v>
      </c>
      <c r="BM70" s="156">
        <f t="shared" si="218"/>
        <v>0.18643054885152774</v>
      </c>
      <c r="BN70" s="156">
        <f t="shared" si="219"/>
        <v>-3.9590792386654678</v>
      </c>
      <c r="BO70" s="156">
        <f t="shared" si="220"/>
        <v>2.4267191600930147</v>
      </c>
      <c r="BP70" s="156">
        <f t="shared" si="221"/>
        <v>3.8821744222562162</v>
      </c>
      <c r="BQ70" s="156">
        <f t="shared" si="228"/>
        <v>0.96495580676299109</v>
      </c>
      <c r="BR70" s="156">
        <f t="shared" si="222"/>
        <v>-6.2619230635801353</v>
      </c>
      <c r="BS70" s="156">
        <f t="shared" si="222"/>
        <v>3.7847655502115529</v>
      </c>
      <c r="BT70" s="156">
        <f t="shared" si="222"/>
        <v>4.0994515586446134</v>
      </c>
      <c r="BU70" s="156">
        <f t="shared" si="223"/>
        <v>2.1033415352507232</v>
      </c>
      <c r="BV70" s="156">
        <f t="shared" si="224"/>
        <v>-9.6216532524018064</v>
      </c>
      <c r="BW70" s="156">
        <f t="shared" si="225"/>
        <v>6.7517072300067937</v>
      </c>
      <c r="BX70" s="156">
        <f t="shared" si="226"/>
        <v>1.1427794813172467</v>
      </c>
      <c r="BY70" s="156">
        <f t="shared" si="227"/>
        <v>3.5930380369665729</v>
      </c>
    </row>
    <row r="71" spans="1:77">
      <c r="A71" s="146" t="s">
        <v>5</v>
      </c>
      <c r="B71" s="252"/>
      <c r="C71" s="156">
        <f t="shared" si="156"/>
        <v>1.9562704982039787</v>
      </c>
      <c r="D71" s="156">
        <f t="shared" si="157"/>
        <v>1.6197271554747972</v>
      </c>
      <c r="E71" s="156">
        <f t="shared" si="158"/>
        <v>-5.366294844739218</v>
      </c>
      <c r="F71" s="156">
        <f t="shared" si="159"/>
        <v>4.207419802688019</v>
      </c>
      <c r="G71" s="156">
        <f t="shared" si="160"/>
        <v>6.5430585350904114</v>
      </c>
      <c r="H71" s="156">
        <f t="shared" si="161"/>
        <v>8.3072055227959325</v>
      </c>
      <c r="I71" s="156">
        <f t="shared" si="162"/>
        <v>1.2499668021140156</v>
      </c>
      <c r="J71" s="156">
        <f t="shared" si="163"/>
        <v>-5.489441725152016</v>
      </c>
      <c r="K71" s="156">
        <f t="shared" si="164"/>
        <v>3.7036474164133653</v>
      </c>
      <c r="L71" s="156">
        <f t="shared" si="165"/>
        <v>1.2780323125150888</v>
      </c>
      <c r="M71" s="156">
        <f t="shared" si="166"/>
        <v>-2.5914233096553567</v>
      </c>
      <c r="N71" s="156">
        <f t="shared" si="167"/>
        <v>-7.2899537282560569</v>
      </c>
      <c r="O71" s="156">
        <f t="shared" si="168"/>
        <v>2.4133753685378068</v>
      </c>
      <c r="P71" s="156">
        <f t="shared" si="169"/>
        <v>0.72469448106318179</v>
      </c>
      <c r="Q71" s="156">
        <f t="shared" si="170"/>
        <v>-1.7912728507555744</v>
      </c>
      <c r="R71" s="156">
        <f t="shared" si="171"/>
        <v>-4.7584655577867494</v>
      </c>
      <c r="S71" s="156">
        <f t="shared" si="172"/>
        <v>5.3059113450363462</v>
      </c>
      <c r="T71" s="156">
        <f t="shared" si="173"/>
        <v>2.9522144858868047</v>
      </c>
      <c r="U71" s="156">
        <f t="shared" si="174"/>
        <v>-0.18198477052660145</v>
      </c>
      <c r="V71" s="156">
        <f t="shared" si="175"/>
        <v>-1.2763155261051207</v>
      </c>
      <c r="W71" s="156">
        <f t="shared" si="176"/>
        <v>5.0007310369027325</v>
      </c>
      <c r="X71" s="156">
        <f t="shared" si="177"/>
        <v>3.3609361663020634</v>
      </c>
      <c r="Y71" s="156">
        <f t="shared" si="178"/>
        <v>-3.6373433921594942</v>
      </c>
      <c r="Z71" s="156">
        <f t="shared" si="179"/>
        <v>-2.9723507068480233</v>
      </c>
      <c r="AA71" s="156">
        <f t="shared" si="180"/>
        <v>2.7188527039139481</v>
      </c>
      <c r="AB71" s="156">
        <f t="shared" si="181"/>
        <v>3.099621873182099</v>
      </c>
      <c r="AC71" s="156">
        <f t="shared" si="182"/>
        <v>-2.9500093805586927</v>
      </c>
      <c r="AD71" s="156">
        <f t="shared" si="183"/>
        <v>4.7306937531123623</v>
      </c>
      <c r="AE71" s="156">
        <f t="shared" si="184"/>
        <v>4.8014121800529237</v>
      </c>
      <c r="AF71" s="156">
        <f t="shared" si="185"/>
        <v>3.3967772724720944</v>
      </c>
      <c r="AG71" s="156">
        <f t="shared" si="186"/>
        <v>-2.0661381407471908</v>
      </c>
      <c r="AH71" s="156">
        <f t="shared" si="187"/>
        <v>-16.097740349704033</v>
      </c>
      <c r="AI71" s="156">
        <f t="shared" si="188"/>
        <v>3.9335416074978786</v>
      </c>
      <c r="AJ71" s="156">
        <f t="shared" si="189"/>
        <v>3.3337887689575081</v>
      </c>
      <c r="AK71" s="156">
        <f t="shared" si="190"/>
        <v>-1.8907840803913813</v>
      </c>
      <c r="AL71" s="156">
        <f t="shared" si="191"/>
        <v>1.1550556592847054</v>
      </c>
      <c r="AM71" s="156">
        <f t="shared" si="192"/>
        <v>4.6087515398211414</v>
      </c>
      <c r="AN71" s="156">
        <f t="shared" si="193"/>
        <v>4.037068325525409</v>
      </c>
      <c r="AO71" s="156">
        <f t="shared" si="194"/>
        <v>-2.4852362204724288</v>
      </c>
      <c r="AP71" s="156">
        <f t="shared" si="195"/>
        <v>0.29191496465298367</v>
      </c>
      <c r="AQ71" s="156">
        <f t="shared" si="196"/>
        <v>4.5636081503904755</v>
      </c>
      <c r="AR71" s="156">
        <f t="shared" si="197"/>
        <v>2.7247293516603888</v>
      </c>
      <c r="AS71" s="156">
        <f t="shared" si="198"/>
        <v>0.43812907045588312</v>
      </c>
      <c r="AT71" s="156">
        <f t="shared" si="199"/>
        <v>-4.8196214556204886</v>
      </c>
      <c r="AU71" s="156">
        <f t="shared" si="200"/>
        <v>5.0727506681183883</v>
      </c>
      <c r="AV71" s="156">
        <f t="shared" si="201"/>
        <v>3.3300362677217414</v>
      </c>
      <c r="AW71" s="156">
        <f t="shared" si="202"/>
        <v>0.1572613729601588</v>
      </c>
      <c r="AX71" s="156">
        <f t="shared" si="203"/>
        <v>-4.7762755905901377</v>
      </c>
      <c r="AY71" s="156">
        <f t="shared" si="204"/>
        <v>4.371062610097634</v>
      </c>
      <c r="AZ71" s="156">
        <f t="shared" si="205"/>
        <v>4.428297622793715</v>
      </c>
      <c r="BA71" s="156">
        <f t="shared" si="206"/>
        <v>-0.7779756197781158</v>
      </c>
      <c r="BB71" s="156">
        <f t="shared" si="207"/>
        <v>-10.991757364790997</v>
      </c>
      <c r="BC71" s="156">
        <f t="shared" si="208"/>
        <v>3.1954771707736627</v>
      </c>
      <c r="BD71" s="156">
        <f t="shared" si="209"/>
        <v>7.7294110641338687</v>
      </c>
      <c r="BE71" s="156">
        <f t="shared" si="210"/>
        <v>-4.7356143938975235</v>
      </c>
      <c r="BF71" s="156">
        <f t="shared" si="211"/>
        <v>-9.8669230226601474</v>
      </c>
      <c r="BG71" s="156">
        <f t="shared" si="212"/>
        <v>4.2257241429330614</v>
      </c>
      <c r="BH71" s="156">
        <f t="shared" si="213"/>
        <v>5.4055690779560814</v>
      </c>
      <c r="BI71" s="156">
        <f t="shared" si="214"/>
        <v>-0.83594937541661696</v>
      </c>
      <c r="BJ71" s="156">
        <f t="shared" si="215"/>
        <v>-6.6618709594110381</v>
      </c>
      <c r="BK71" s="156">
        <f t="shared" si="216"/>
        <v>3.9132998662404885</v>
      </c>
      <c r="BL71" s="156">
        <f t="shared" si="217"/>
        <v>4.5031069743175056</v>
      </c>
      <c r="BM71" s="156">
        <f t="shared" si="218"/>
        <v>-0.11162567046958016</v>
      </c>
      <c r="BN71" s="156">
        <f t="shared" si="219"/>
        <v>-6.124782627649469</v>
      </c>
      <c r="BO71" s="156">
        <f t="shared" si="220"/>
        <v>4.0238323594167342</v>
      </c>
      <c r="BP71" s="156">
        <f t="shared" si="221"/>
        <v>3.4022395722948495</v>
      </c>
      <c r="BQ71" s="156">
        <f t="shared" si="228"/>
        <v>-0.73228163746197716</v>
      </c>
      <c r="BR71" s="156">
        <f t="shared" si="222"/>
        <v>-8.3537206235277175</v>
      </c>
      <c r="BS71" s="156">
        <f t="shared" si="222"/>
        <v>2.4004924013185645</v>
      </c>
      <c r="BT71" s="156">
        <f t="shared" si="222"/>
        <v>3.9213305246571823</v>
      </c>
      <c r="BU71" s="156">
        <f t="shared" si="223"/>
        <v>-1.7144321997611216</v>
      </c>
      <c r="BV71" s="156">
        <f t="shared" si="224"/>
        <v>-7.2568986643461804</v>
      </c>
      <c r="BW71" s="156">
        <f t="shared" si="225"/>
        <v>5.3179989049184737</v>
      </c>
      <c r="BX71" s="156">
        <f t="shared" si="226"/>
        <v>4.8054088968474744</v>
      </c>
      <c r="BY71" s="156">
        <f t="shared" si="227"/>
        <v>-2.6035809416280196</v>
      </c>
    </row>
    <row r="72" spans="1:77">
      <c r="A72" s="149" t="s">
        <v>6</v>
      </c>
      <c r="B72" s="253"/>
      <c r="C72" s="157">
        <f t="shared" si="156"/>
        <v>1.3602086649776317</v>
      </c>
      <c r="D72" s="157">
        <f t="shared" si="157"/>
        <v>-1.1182960608942989</v>
      </c>
      <c r="E72" s="157">
        <f t="shared" si="158"/>
        <v>-4.4734868350736603</v>
      </c>
      <c r="F72" s="157">
        <f t="shared" si="159"/>
        <v>2.5618826577014815</v>
      </c>
      <c r="G72" s="157">
        <f t="shared" si="160"/>
        <v>1.1860649397780432</v>
      </c>
      <c r="H72" s="157">
        <f t="shared" si="161"/>
        <v>-0.8547020158450942</v>
      </c>
      <c r="I72" s="157">
        <f t="shared" si="162"/>
        <v>-4.1871804557239383</v>
      </c>
      <c r="J72" s="157">
        <f t="shared" si="163"/>
        <v>8.4009290132039478</v>
      </c>
      <c r="K72" s="157">
        <f t="shared" si="164"/>
        <v>0.60591024666077731</v>
      </c>
      <c r="L72" s="157">
        <f t="shared" si="165"/>
        <v>-1.1804281527721348</v>
      </c>
      <c r="M72" s="157">
        <f t="shared" si="166"/>
        <v>4.0224288700123125</v>
      </c>
      <c r="N72" s="157">
        <f t="shared" si="167"/>
        <v>-11.466438679236166</v>
      </c>
      <c r="O72" s="157">
        <f t="shared" si="168"/>
        <v>-2.5091600102768075</v>
      </c>
      <c r="P72" s="157">
        <f t="shared" si="169"/>
        <v>-2.7717289283992477</v>
      </c>
      <c r="Q72" s="157">
        <f t="shared" si="170"/>
        <v>4.1946556733575422</v>
      </c>
      <c r="R72" s="157">
        <f t="shared" si="171"/>
        <v>-6.9959206270613379</v>
      </c>
      <c r="S72" s="157">
        <f t="shared" si="172"/>
        <v>-0.12052944949600664</v>
      </c>
      <c r="T72" s="157">
        <f t="shared" si="173"/>
        <v>-1.5687897569924398</v>
      </c>
      <c r="U72" s="157">
        <f t="shared" si="174"/>
        <v>5.0470112256178092</v>
      </c>
      <c r="V72" s="157">
        <f t="shared" si="175"/>
        <v>-3.1095404944474785</v>
      </c>
      <c r="W72" s="157">
        <f t="shared" si="176"/>
        <v>2.2911358505962869</v>
      </c>
      <c r="X72" s="157">
        <f t="shared" si="177"/>
        <v>1.1585161977699332</v>
      </c>
      <c r="Y72" s="157">
        <f t="shared" si="178"/>
        <v>7.5205198588040787</v>
      </c>
      <c r="Z72" s="157">
        <f t="shared" si="179"/>
        <v>24.001130384952052</v>
      </c>
      <c r="AA72" s="157">
        <f t="shared" si="180"/>
        <v>0.82342308656680774</v>
      </c>
      <c r="AB72" s="157">
        <f t="shared" si="181"/>
        <v>-1.4700509652877161</v>
      </c>
      <c r="AC72" s="157">
        <f t="shared" si="182"/>
        <v>5.9126992541700538</v>
      </c>
      <c r="AD72" s="157">
        <f t="shared" si="183"/>
        <v>-25.939194028110862</v>
      </c>
      <c r="AE72" s="157">
        <f t="shared" si="184"/>
        <v>9.8107918710597514E-2</v>
      </c>
      <c r="AF72" s="157">
        <f t="shared" si="185"/>
        <v>2.0022402688322565</v>
      </c>
      <c r="AG72" s="157">
        <f t="shared" si="186"/>
        <v>6.5065202470830448</v>
      </c>
      <c r="AH72" s="157">
        <f t="shared" si="187"/>
        <v>-3.2418833093269588</v>
      </c>
      <c r="AI72" s="157">
        <f t="shared" si="188"/>
        <v>1.2956724540029449E-2</v>
      </c>
      <c r="AJ72" s="157">
        <f t="shared" si="189"/>
        <v>1.8266614846482758</v>
      </c>
      <c r="AK72" s="157">
        <f t="shared" si="190"/>
        <v>5.3180661577608044</v>
      </c>
      <c r="AL72" s="157">
        <f t="shared" si="191"/>
        <v>-0.65442547002518892</v>
      </c>
      <c r="AM72" s="157">
        <f t="shared" si="192"/>
        <v>2.2918444471534793</v>
      </c>
      <c r="AN72" s="157">
        <f t="shared" si="193"/>
        <v>3.7897747586700024</v>
      </c>
      <c r="AO72" s="157">
        <f t="shared" si="194"/>
        <v>5.0407624296704743</v>
      </c>
      <c r="AP72" s="157">
        <f t="shared" si="195"/>
        <v>1.6946851913345176</v>
      </c>
      <c r="AQ72" s="157">
        <f t="shared" si="196"/>
        <v>2.8138292071109112</v>
      </c>
      <c r="AR72" s="157">
        <f t="shared" si="197"/>
        <v>3.4793677734167803</v>
      </c>
      <c r="AS72" s="157">
        <f t="shared" si="198"/>
        <v>4.6335212711430085</v>
      </c>
      <c r="AT72" s="157">
        <f t="shared" si="199"/>
        <v>-3.1238038819659577</v>
      </c>
      <c r="AU72" s="157">
        <f t="shared" si="200"/>
        <v>2.5027096265641839</v>
      </c>
      <c r="AV72" s="157">
        <f t="shared" si="201"/>
        <v>3.5278285110064505</v>
      </c>
      <c r="AW72" s="157">
        <f t="shared" si="202"/>
        <v>4.5496750232126297</v>
      </c>
      <c r="AX72" s="157">
        <f t="shared" si="203"/>
        <v>3.4372721882569777</v>
      </c>
      <c r="AY72" s="157">
        <f t="shared" si="204"/>
        <v>1.1019989748846835</v>
      </c>
      <c r="AZ72" s="157">
        <f t="shared" si="205"/>
        <v>2.332065906210397</v>
      </c>
      <c r="BA72" s="157">
        <f t="shared" si="206"/>
        <v>9.9744034348938957</v>
      </c>
      <c r="BB72" s="157">
        <f t="shared" si="207"/>
        <v>-3.4174623489457003</v>
      </c>
      <c r="BC72" s="157">
        <f t="shared" si="208"/>
        <v>1.2216079190675153</v>
      </c>
      <c r="BD72" s="157">
        <f t="shared" si="209"/>
        <v>2.5111391082567618</v>
      </c>
      <c r="BE72" s="157">
        <f t="shared" si="210"/>
        <v>4.3458972068512747</v>
      </c>
      <c r="BF72" s="157">
        <f t="shared" si="211"/>
        <v>1.3002556155931579</v>
      </c>
      <c r="BG72" s="157">
        <f t="shared" si="212"/>
        <v>0.15686408725065748</v>
      </c>
      <c r="BH72" s="157">
        <f t="shared" si="213"/>
        <v>1.8011117059446717</v>
      </c>
      <c r="BI72" s="157">
        <f t="shared" si="214"/>
        <v>4.2447908653778761</v>
      </c>
      <c r="BJ72" s="157">
        <f t="shared" si="215"/>
        <v>-2.4142456401867101</v>
      </c>
      <c r="BK72" s="157">
        <f t="shared" si="216"/>
        <v>-1.0889166319877885</v>
      </c>
      <c r="BL72" s="157">
        <f t="shared" si="217"/>
        <v>-0.14024261973215144</v>
      </c>
      <c r="BM72" s="157">
        <f t="shared" si="218"/>
        <v>3.8332982234393764</v>
      </c>
      <c r="BN72" s="157">
        <f t="shared" si="219"/>
        <v>-2.6050216564057087</v>
      </c>
      <c r="BO72" s="157">
        <f t="shared" si="220"/>
        <v>-0.47280995125884701</v>
      </c>
      <c r="BP72" s="157">
        <f t="shared" si="221"/>
        <v>5.5888948659022351E-2</v>
      </c>
      <c r="BQ72" s="157">
        <f t="shared" si="228"/>
        <v>3.6940113530836731</v>
      </c>
      <c r="BR72" s="157">
        <f t="shared" si="222"/>
        <v>-1.7109141303858113</v>
      </c>
      <c r="BS72" s="157">
        <f t="shared" si="222"/>
        <v>-0.12356611817039731</v>
      </c>
      <c r="BT72" s="157">
        <f t="shared" si="222"/>
        <v>1.0928511041920193</v>
      </c>
      <c r="BU72" s="157">
        <f t="shared" si="223"/>
        <v>4.5822369986606066</v>
      </c>
      <c r="BV72" s="157">
        <f t="shared" si="224"/>
        <v>-3.2302111048916351</v>
      </c>
      <c r="BW72" s="157">
        <f t="shared" si="225"/>
        <v>7.3999327278868307E-2</v>
      </c>
      <c r="BX72" s="157">
        <f t="shared" si="226"/>
        <v>1.270502823339589</v>
      </c>
      <c r="BY72" s="157">
        <f t="shared" si="227"/>
        <v>6.6910056422170667</v>
      </c>
    </row>
    <row r="73" spans="1:77">
      <c r="A73" s="145" t="s">
        <v>7</v>
      </c>
      <c r="B73" s="254"/>
      <c r="C73" s="159">
        <f t="shared" si="156"/>
        <v>1.150346212813153</v>
      </c>
      <c r="D73" s="159">
        <f t="shared" si="157"/>
        <v>3.7838444383730021</v>
      </c>
      <c r="E73" s="159">
        <f t="shared" si="158"/>
        <v>3.9487299968812368</v>
      </c>
      <c r="F73" s="159">
        <f t="shared" si="159"/>
        <v>-4.1125972954560472</v>
      </c>
      <c r="G73" s="159">
        <f t="shared" si="160"/>
        <v>1.0195970893468134</v>
      </c>
      <c r="H73" s="159">
        <f t="shared" si="161"/>
        <v>3.2364079678005933</v>
      </c>
      <c r="I73" s="159">
        <f t="shared" si="162"/>
        <v>3.7617407728147825</v>
      </c>
      <c r="J73" s="159">
        <f t="shared" si="163"/>
        <v>-5.4206776040497688</v>
      </c>
      <c r="K73" s="159">
        <f t="shared" si="164"/>
        <v>0.84235693889805441</v>
      </c>
      <c r="L73" s="159">
        <f t="shared" si="165"/>
        <v>2.3382474348420326</v>
      </c>
      <c r="M73" s="159">
        <f t="shared" si="166"/>
        <v>2.8266523685693099</v>
      </c>
      <c r="N73" s="159">
        <f t="shared" si="167"/>
        <v>-3.5886682894994402</v>
      </c>
      <c r="O73" s="159">
        <f t="shared" si="168"/>
        <v>1.5708529930190946</v>
      </c>
      <c r="P73" s="159">
        <f t="shared" si="169"/>
        <v>2.0691587874565465</v>
      </c>
      <c r="Q73" s="159">
        <f t="shared" si="170"/>
        <v>2.8929393814237119</v>
      </c>
      <c r="R73" s="159">
        <f t="shared" si="171"/>
        <v>-4.2016940066353072</v>
      </c>
      <c r="S73" s="159">
        <f t="shared" si="172"/>
        <v>2.0171117418677884</v>
      </c>
      <c r="T73" s="159">
        <f t="shared" si="173"/>
        <v>2.9270168795275748</v>
      </c>
      <c r="U73" s="159">
        <f t="shared" si="174"/>
        <v>3.7948584653674122</v>
      </c>
      <c r="V73" s="159">
        <f t="shared" si="175"/>
        <v>-4.5955021897550399</v>
      </c>
      <c r="W73" s="159">
        <f t="shared" si="176"/>
        <v>1.9028668602676422</v>
      </c>
      <c r="X73" s="159">
        <f t="shared" si="177"/>
        <v>2.6199962568806452</v>
      </c>
      <c r="Y73" s="159">
        <f t="shared" si="178"/>
        <v>3.6551471423746458</v>
      </c>
      <c r="Z73" s="159">
        <f t="shared" si="179"/>
        <v>-3.4618251639321689</v>
      </c>
      <c r="AA73" s="159">
        <f t="shared" si="180"/>
        <v>1.6965001082462672</v>
      </c>
      <c r="AB73" s="159">
        <f t="shared" si="181"/>
        <v>2.4030929514486621</v>
      </c>
      <c r="AC73" s="159">
        <f t="shared" si="182"/>
        <v>4.074266284663274</v>
      </c>
      <c r="AD73" s="159">
        <f t="shared" si="183"/>
        <v>-3.6485498325890271</v>
      </c>
      <c r="AE73" s="159">
        <f t="shared" si="184"/>
        <v>1.3686414630023249</v>
      </c>
      <c r="AF73" s="159">
        <f t="shared" si="185"/>
        <v>2.1013022004064599</v>
      </c>
      <c r="AG73" s="159">
        <f t="shared" si="186"/>
        <v>4.028307335619389</v>
      </c>
      <c r="AH73" s="159">
        <f t="shared" si="187"/>
        <v>-2.9958362315686218</v>
      </c>
      <c r="AI73" s="159">
        <f t="shared" si="188"/>
        <v>1.3537710251349524</v>
      </c>
      <c r="AJ73" s="159">
        <f t="shared" si="189"/>
        <v>2.5696764689949969</v>
      </c>
      <c r="AK73" s="159">
        <f t="shared" si="190"/>
        <v>4.0632879857839015</v>
      </c>
      <c r="AL73" s="159">
        <f t="shared" si="191"/>
        <v>-3.9263171268830783</v>
      </c>
      <c r="AM73" s="159">
        <f t="shared" si="192"/>
        <v>1.6160378221744882</v>
      </c>
      <c r="AN73" s="159">
        <f t="shared" si="193"/>
        <v>2.5934873969170975</v>
      </c>
      <c r="AO73" s="159">
        <f t="shared" si="194"/>
        <v>5.4075939302937606</v>
      </c>
      <c r="AP73" s="159">
        <f t="shared" si="195"/>
        <v>-2.6191843284568557</v>
      </c>
      <c r="AQ73" s="159">
        <f t="shared" si="196"/>
        <v>1.4901594184090161</v>
      </c>
      <c r="AR73" s="159">
        <f t="shared" si="197"/>
        <v>2.5974095763871752</v>
      </c>
      <c r="AS73" s="159">
        <f t="shared" si="198"/>
        <v>4.8913340930511167</v>
      </c>
      <c r="AT73" s="159">
        <f t="shared" si="199"/>
        <v>-3.5559901664418407</v>
      </c>
      <c r="AU73" s="159">
        <f t="shared" si="200"/>
        <v>1.757341900575073</v>
      </c>
      <c r="AV73" s="159">
        <f t="shared" si="201"/>
        <v>2.8730653338336487</v>
      </c>
      <c r="AW73" s="159">
        <f t="shared" si="202"/>
        <v>5.1261298385127052</v>
      </c>
      <c r="AX73" s="159">
        <f t="shared" si="203"/>
        <v>-2.8373304872789173</v>
      </c>
      <c r="AY73" s="159">
        <f t="shared" si="204"/>
        <v>1.0945827300079998</v>
      </c>
      <c r="AZ73" s="159">
        <f t="shared" si="205"/>
        <v>2.649950291441689</v>
      </c>
      <c r="BA73" s="159">
        <f t="shared" si="206"/>
        <v>4.9586671487566729</v>
      </c>
      <c r="BB73" s="159">
        <f t="shared" si="207"/>
        <v>-3.6548090513492197</v>
      </c>
      <c r="BC73" s="159">
        <f t="shared" si="208"/>
        <v>1.246683255294617</v>
      </c>
      <c r="BD73" s="159">
        <f t="shared" si="209"/>
        <v>1.8844654969585706</v>
      </c>
      <c r="BE73" s="159">
        <f t="shared" si="210"/>
        <v>4.4190459269283267</v>
      </c>
      <c r="BF73" s="159">
        <f t="shared" si="211"/>
        <v>-4.9612573989537747</v>
      </c>
      <c r="BG73" s="159">
        <f t="shared" si="212"/>
        <v>0.37408655425506998</v>
      </c>
      <c r="BH73" s="159">
        <f t="shared" si="213"/>
        <v>1.6994127502217269</v>
      </c>
      <c r="BI73" s="159">
        <f t="shared" si="214"/>
        <v>4.1607358756581965</v>
      </c>
      <c r="BJ73" s="159">
        <f t="shared" si="215"/>
        <v>-4.3683408906728571</v>
      </c>
      <c r="BK73" s="159">
        <f t="shared" si="216"/>
        <v>1.5124984316021206</v>
      </c>
      <c r="BL73" s="159">
        <f t="shared" si="217"/>
        <v>2.156187105940774</v>
      </c>
      <c r="BM73" s="159">
        <f t="shared" si="218"/>
        <v>4.6225883144015967</v>
      </c>
      <c r="BN73" s="159">
        <f t="shared" si="219"/>
        <v>-4.219449361848544</v>
      </c>
      <c r="BO73" s="159">
        <f t="shared" si="220"/>
        <v>1.5297740388084851</v>
      </c>
      <c r="BP73" s="159">
        <f t="shared" si="221"/>
        <v>2.3946604575031141</v>
      </c>
      <c r="BQ73" s="159">
        <f t="shared" si="228"/>
        <v>5.0146918023932914</v>
      </c>
      <c r="BR73" s="159">
        <f t="shared" si="222"/>
        <v>-4.8222304914773462</v>
      </c>
      <c r="BS73" s="159">
        <f t="shared" si="222"/>
        <v>1.0207300128640655</v>
      </c>
      <c r="BT73" s="159">
        <f t="shared" si="222"/>
        <v>1.6995170505991628</v>
      </c>
      <c r="BU73" s="159">
        <f t="shared" si="223"/>
        <v>4.6155623607126959</v>
      </c>
      <c r="BV73" s="159">
        <f t="shared" si="224"/>
        <v>-5.0141267054164134</v>
      </c>
      <c r="BW73" s="159">
        <f t="shared" si="225"/>
        <v>1.4979303905442509</v>
      </c>
      <c r="BX73" s="159">
        <f t="shared" si="226"/>
        <v>1.4864006169423172</v>
      </c>
      <c r="BY73" s="159">
        <f t="shared" si="227"/>
        <v>3.9973294082446036</v>
      </c>
    </row>
    <row r="74" spans="1:77">
      <c r="A74" s="152" t="s">
        <v>8</v>
      </c>
      <c r="B74" s="252"/>
      <c r="C74" s="156">
        <f t="shared" si="156"/>
        <v>2.5858783892976236</v>
      </c>
      <c r="D74" s="156">
        <f t="shared" si="157"/>
        <v>6.6545654922044601</v>
      </c>
      <c r="E74" s="156">
        <f t="shared" si="158"/>
        <v>14.946511062484797</v>
      </c>
      <c r="F74" s="156">
        <f t="shared" si="159"/>
        <v>-17.158889475625237</v>
      </c>
      <c r="G74" s="156">
        <f t="shared" si="160"/>
        <v>1.6130641232246574</v>
      </c>
      <c r="H74" s="156">
        <f t="shared" si="161"/>
        <v>4.8467017652523809</v>
      </c>
      <c r="I74" s="156">
        <f t="shared" si="162"/>
        <v>14.012701225816002</v>
      </c>
      <c r="J74" s="156">
        <f t="shared" si="163"/>
        <v>-15.801654162551293</v>
      </c>
      <c r="K74" s="156">
        <f t="shared" si="164"/>
        <v>0.65023367965467094</v>
      </c>
      <c r="L74" s="156">
        <f t="shared" si="165"/>
        <v>3.8394565240104863</v>
      </c>
      <c r="M74" s="156">
        <f t="shared" si="166"/>
        <v>12.168702683461357</v>
      </c>
      <c r="N74" s="156">
        <f t="shared" si="167"/>
        <v>-15.011893439982776</v>
      </c>
      <c r="O74" s="156">
        <f t="shared" si="168"/>
        <v>2.19812680403765</v>
      </c>
      <c r="P74" s="156">
        <f t="shared" si="169"/>
        <v>3.6920943970583799</v>
      </c>
      <c r="Q74" s="156">
        <f t="shared" si="170"/>
        <v>12.780490640623199</v>
      </c>
      <c r="R74" s="156">
        <f t="shared" si="171"/>
        <v>-12.993921714266826</v>
      </c>
      <c r="S74" s="156">
        <f t="shared" si="172"/>
        <v>3.8616020332791412</v>
      </c>
      <c r="T74" s="156">
        <f t="shared" si="173"/>
        <v>5.7542105711607716</v>
      </c>
      <c r="U74" s="156">
        <f t="shared" si="174"/>
        <v>15.638512152544651</v>
      </c>
      <c r="V74" s="156">
        <f t="shared" si="175"/>
        <v>-13.673016552184045</v>
      </c>
      <c r="W74" s="156">
        <f t="shared" si="176"/>
        <v>3.7471909537261103</v>
      </c>
      <c r="X74" s="156">
        <f t="shared" si="177"/>
        <v>4.2273942710012999</v>
      </c>
      <c r="Y74" s="156">
        <f t="shared" si="178"/>
        <v>13.925690454955383</v>
      </c>
      <c r="Z74" s="156">
        <f t="shared" si="179"/>
        <v>-10.628994660760863</v>
      </c>
      <c r="AA74" s="156">
        <f t="shared" si="180"/>
        <v>2.0529011661410674</v>
      </c>
      <c r="AB74" s="156">
        <f t="shared" si="181"/>
        <v>2.7523219704291622</v>
      </c>
      <c r="AC74" s="156">
        <f t="shared" si="182"/>
        <v>13.602835709838415</v>
      </c>
      <c r="AD74" s="156">
        <f t="shared" si="183"/>
        <v>-14.877946909330223</v>
      </c>
      <c r="AE74" s="156">
        <f t="shared" si="184"/>
        <v>2.4697797140577866</v>
      </c>
      <c r="AF74" s="156">
        <f t="shared" si="185"/>
        <v>3.8199746499396268</v>
      </c>
      <c r="AG74" s="156">
        <f t="shared" si="186"/>
        <v>14.289902859422538</v>
      </c>
      <c r="AH74" s="156">
        <f t="shared" si="187"/>
        <v>-15.743244812686545</v>
      </c>
      <c r="AI74" s="156">
        <f t="shared" si="188"/>
        <v>2.6711538026213404</v>
      </c>
      <c r="AJ74" s="156">
        <f t="shared" si="189"/>
        <v>5.479898383394457</v>
      </c>
      <c r="AK74" s="156">
        <f t="shared" si="190"/>
        <v>14.290359291172175</v>
      </c>
      <c r="AL74" s="156">
        <f t="shared" si="191"/>
        <v>-15.516445696844988</v>
      </c>
      <c r="AM74" s="156">
        <f t="shared" si="192"/>
        <v>2.9668663827329835</v>
      </c>
      <c r="AN74" s="156">
        <f t="shared" si="193"/>
        <v>4.5499158721256361</v>
      </c>
      <c r="AO74" s="156">
        <f t="shared" si="194"/>
        <v>18.654864882987994</v>
      </c>
      <c r="AP74" s="156">
        <f t="shared" si="195"/>
        <v>-16.225294269834475</v>
      </c>
      <c r="AQ74" s="156">
        <f t="shared" si="196"/>
        <v>2.296840334931666</v>
      </c>
      <c r="AR74" s="156">
        <f t="shared" si="197"/>
        <v>4.7144112670144107</v>
      </c>
      <c r="AS74" s="156">
        <f t="shared" si="198"/>
        <v>18.297596926738635</v>
      </c>
      <c r="AT74" s="156">
        <f t="shared" si="199"/>
        <v>-16.488123910572259</v>
      </c>
      <c r="AU74" s="156">
        <f t="shared" si="200"/>
        <v>2.9158354908535231</v>
      </c>
      <c r="AV74" s="156">
        <f t="shared" si="201"/>
        <v>4.9839161992741721</v>
      </c>
      <c r="AW74" s="156">
        <f t="shared" si="202"/>
        <v>18.054327971245058</v>
      </c>
      <c r="AX74" s="156">
        <f t="shared" si="203"/>
        <v>-16.490409907222059</v>
      </c>
      <c r="AY74" s="156">
        <f t="shared" si="204"/>
        <v>2.5050440480233163</v>
      </c>
      <c r="AZ74" s="156">
        <f t="shared" si="205"/>
        <v>4.6537914368678397</v>
      </c>
      <c r="BA74" s="156">
        <f t="shared" si="206"/>
        <v>16.448483268468024</v>
      </c>
      <c r="BB74" s="156">
        <f t="shared" si="207"/>
        <v>-16.533765892365754</v>
      </c>
      <c r="BC74" s="156">
        <f t="shared" si="208"/>
        <v>0.30966353659992102</v>
      </c>
      <c r="BD74" s="156">
        <f t="shared" si="209"/>
        <v>1.5413971591753894</v>
      </c>
      <c r="BE74" s="156">
        <f t="shared" si="210"/>
        <v>16.988970579307875</v>
      </c>
      <c r="BF74" s="156">
        <f t="shared" si="211"/>
        <v>-16.051148703241513</v>
      </c>
      <c r="BG74" s="156">
        <f t="shared" si="212"/>
        <v>-0.54891440369840994</v>
      </c>
      <c r="BH74" s="156">
        <f t="shared" si="213"/>
        <v>3.5833876508673224</v>
      </c>
      <c r="BI74" s="156">
        <f t="shared" si="214"/>
        <v>15.50384270195719</v>
      </c>
      <c r="BJ74" s="156">
        <f t="shared" si="215"/>
        <v>-14.793418820288915</v>
      </c>
      <c r="BK74" s="156">
        <f t="shared" si="216"/>
        <v>2.0812195402894806</v>
      </c>
      <c r="BL74" s="156">
        <f t="shared" si="217"/>
        <v>4.5212583012221925</v>
      </c>
      <c r="BM74" s="156">
        <f t="shared" si="218"/>
        <v>16.455502209029593</v>
      </c>
      <c r="BN74" s="156">
        <f t="shared" si="219"/>
        <v>-15.601188540965282</v>
      </c>
      <c r="BO74" s="156">
        <f t="shared" si="220"/>
        <v>1.7999282018971763</v>
      </c>
      <c r="BP74" s="156">
        <f t="shared" si="221"/>
        <v>5.0128521105838058</v>
      </c>
      <c r="BQ74" s="156">
        <f t="shared" si="228"/>
        <v>17.139370452830548</v>
      </c>
      <c r="BR74" s="156">
        <f t="shared" si="222"/>
        <v>-16.441141557010727</v>
      </c>
      <c r="BS74" s="156">
        <f t="shared" si="222"/>
        <v>1.2521089296041965</v>
      </c>
      <c r="BT74" s="156">
        <f t="shared" si="222"/>
        <v>4.3241236806275456</v>
      </c>
      <c r="BU74" s="156">
        <f t="shared" si="223"/>
        <v>16.745081896423812</v>
      </c>
      <c r="BV74" s="156">
        <f t="shared" si="224"/>
        <v>-16.564744217391457</v>
      </c>
      <c r="BW74" s="156">
        <f t="shared" si="225"/>
        <v>1.4389116870339891</v>
      </c>
      <c r="BX74" s="156">
        <f t="shared" si="226"/>
        <v>3.9114353709124021</v>
      </c>
      <c r="BY74" s="156">
        <f t="shared" si="227"/>
        <v>16.78952183186497</v>
      </c>
    </row>
    <row r="75" spans="1:77">
      <c r="A75" s="152" t="s">
        <v>9</v>
      </c>
      <c r="B75" s="252"/>
      <c r="C75" s="156">
        <f t="shared" si="156"/>
        <v>0.23525001958088718</v>
      </c>
      <c r="D75" s="156">
        <f t="shared" si="157"/>
        <v>8.2121936857615463</v>
      </c>
      <c r="E75" s="156">
        <f t="shared" si="158"/>
        <v>2.0734474932948279</v>
      </c>
      <c r="F75" s="156">
        <f t="shared" si="159"/>
        <v>-4.1360323641160139</v>
      </c>
      <c r="G75" s="156">
        <f t="shared" si="160"/>
        <v>-0.45152584596222939</v>
      </c>
      <c r="H75" s="156">
        <f t="shared" si="161"/>
        <v>6.8264428340545535</v>
      </c>
      <c r="I75" s="156">
        <f t="shared" si="162"/>
        <v>0.54962377466887824</v>
      </c>
      <c r="J75" s="156">
        <f t="shared" si="163"/>
        <v>-2.8245377601045192</v>
      </c>
      <c r="K75" s="156">
        <f t="shared" si="164"/>
        <v>0.93884751078008066</v>
      </c>
      <c r="L75" s="156">
        <f t="shared" si="165"/>
        <v>6.9049884463776134</v>
      </c>
      <c r="M75" s="156">
        <f t="shared" si="166"/>
        <v>2.4339297066569729</v>
      </c>
      <c r="N75" s="156">
        <f t="shared" si="167"/>
        <v>-3.1484382637272512</v>
      </c>
      <c r="O75" s="156">
        <f t="shared" si="168"/>
        <v>0.40452047091263715</v>
      </c>
      <c r="P75" s="156">
        <f t="shared" si="169"/>
        <v>3.5235772357723421</v>
      </c>
      <c r="Q75" s="156">
        <f t="shared" si="170"/>
        <v>1.1513028727598382</v>
      </c>
      <c r="R75" s="156">
        <f t="shared" si="171"/>
        <v>-4.2800150499350824</v>
      </c>
      <c r="S75" s="156">
        <f t="shared" si="172"/>
        <v>2.2781104457751207</v>
      </c>
      <c r="T75" s="156">
        <f t="shared" si="173"/>
        <v>5.8722125367541924</v>
      </c>
      <c r="U75" s="156">
        <f t="shared" si="174"/>
        <v>2.2994226353959877</v>
      </c>
      <c r="V75" s="156">
        <f t="shared" si="175"/>
        <v>-3.4162365550446481</v>
      </c>
      <c r="W75" s="156">
        <f t="shared" si="176"/>
        <v>2.5575614328212377</v>
      </c>
      <c r="X75" s="156">
        <f t="shared" si="177"/>
        <v>4.947986617183096</v>
      </c>
      <c r="Y75" s="156">
        <f t="shared" si="178"/>
        <v>1.3068381453166422</v>
      </c>
      <c r="Z75" s="156">
        <f t="shared" si="179"/>
        <v>-4.5753000164123936</v>
      </c>
      <c r="AA75" s="156">
        <f t="shared" si="180"/>
        <v>1.9017755460429042</v>
      </c>
      <c r="AB75" s="156">
        <f t="shared" si="181"/>
        <v>5.5046566214886248</v>
      </c>
      <c r="AC75" s="156">
        <f t="shared" si="182"/>
        <v>3.1326252332424267</v>
      </c>
      <c r="AD75" s="156">
        <f t="shared" si="183"/>
        <v>-1.4963201597203144</v>
      </c>
      <c r="AE75" s="156">
        <f t="shared" si="184"/>
        <v>2.6847159715085476</v>
      </c>
      <c r="AF75" s="156">
        <f t="shared" si="185"/>
        <v>5.0005866802868413</v>
      </c>
      <c r="AG75" s="156">
        <f t="shared" si="186"/>
        <v>2.3079249053428765</v>
      </c>
      <c r="AH75" s="156">
        <f t="shared" si="187"/>
        <v>-2.1352731003180434</v>
      </c>
      <c r="AI75" s="156">
        <f t="shared" si="188"/>
        <v>1.9550858652575953</v>
      </c>
      <c r="AJ75" s="156">
        <f t="shared" si="189"/>
        <v>3.9129308110909591</v>
      </c>
      <c r="AK75" s="156">
        <f t="shared" si="190"/>
        <v>3.0392768079800492</v>
      </c>
      <c r="AL75" s="156">
        <f t="shared" si="191"/>
        <v>-4.9668267282827863</v>
      </c>
      <c r="AM75" s="156">
        <f t="shared" si="192"/>
        <v>2.115043125317106</v>
      </c>
      <c r="AN75" s="156">
        <f t="shared" si="193"/>
        <v>5.4653293171443647</v>
      </c>
      <c r="AO75" s="156">
        <f t="shared" si="194"/>
        <v>2.3378382357271108</v>
      </c>
      <c r="AP75" s="156">
        <f t="shared" si="195"/>
        <v>-3.5546080566054892</v>
      </c>
      <c r="AQ75" s="156">
        <f t="shared" si="196"/>
        <v>2.1305390263736683</v>
      </c>
      <c r="AR75" s="156">
        <f t="shared" si="197"/>
        <v>4.8541350202292364</v>
      </c>
      <c r="AS75" s="156">
        <f t="shared" si="198"/>
        <v>2.0679799366716289</v>
      </c>
      <c r="AT75" s="156">
        <f t="shared" si="199"/>
        <v>-4.2197002794848153</v>
      </c>
      <c r="AU75" s="156">
        <f t="shared" si="200"/>
        <v>2.4354561101549161</v>
      </c>
      <c r="AV75" s="156">
        <f t="shared" si="201"/>
        <v>5.82766249404912</v>
      </c>
      <c r="AW75" s="156">
        <f t="shared" si="202"/>
        <v>1.2119608362000447</v>
      </c>
      <c r="AX75" s="156">
        <f t="shared" si="203"/>
        <v>-1.7588639707029334</v>
      </c>
      <c r="AY75" s="156">
        <f t="shared" si="204"/>
        <v>2.2412409735223364</v>
      </c>
      <c r="AZ75" s="156">
        <f t="shared" si="205"/>
        <v>4.6405775871089032</v>
      </c>
      <c r="BA75" s="156">
        <f t="shared" si="206"/>
        <v>1.6674166291685606</v>
      </c>
      <c r="BB75" s="156">
        <f t="shared" si="207"/>
        <v>-3.8763275825847545</v>
      </c>
      <c r="BC75" s="156">
        <f t="shared" si="208"/>
        <v>1.950167994908097</v>
      </c>
      <c r="BD75" s="156">
        <f t="shared" si="209"/>
        <v>4.4427247959910403</v>
      </c>
      <c r="BE75" s="156">
        <f t="shared" si="210"/>
        <v>1.5304923121434186</v>
      </c>
      <c r="BF75" s="156">
        <f t="shared" si="211"/>
        <v>-4.81147342517004</v>
      </c>
      <c r="BG75" s="156">
        <f t="shared" si="212"/>
        <v>0.50164160669314906</v>
      </c>
      <c r="BH75" s="156">
        <f t="shared" si="213"/>
        <v>4.0181007188740487</v>
      </c>
      <c r="BI75" s="156">
        <f t="shared" si="214"/>
        <v>1.5627917583813316</v>
      </c>
      <c r="BJ75" s="156">
        <f t="shared" si="215"/>
        <v>-4.5936733902153533</v>
      </c>
      <c r="BK75" s="156">
        <f t="shared" si="216"/>
        <v>1.8739262286644334</v>
      </c>
      <c r="BL75" s="156">
        <f t="shared" si="217"/>
        <v>4.5566765040216133</v>
      </c>
      <c r="BM75" s="156">
        <f t="shared" si="218"/>
        <v>1.789405467342102</v>
      </c>
      <c r="BN75" s="156">
        <f t="shared" si="219"/>
        <v>-5.180729201129763</v>
      </c>
      <c r="BO75" s="156">
        <f t="shared" si="220"/>
        <v>2.1280901094588631</v>
      </c>
      <c r="BP75" s="156">
        <f t="shared" si="221"/>
        <v>4.2595937286309127</v>
      </c>
      <c r="BQ75" s="156">
        <f t="shared" si="228"/>
        <v>1.9913005818613063</v>
      </c>
      <c r="BR75" s="156">
        <f t="shared" si="222"/>
        <v>-5.039461375185442</v>
      </c>
      <c r="BS75" s="156">
        <f t="shared" si="222"/>
        <v>1.8104473454894645</v>
      </c>
      <c r="BT75" s="156">
        <f t="shared" si="222"/>
        <v>3.7799374188198085</v>
      </c>
      <c r="BU75" s="156">
        <f t="shared" si="223"/>
        <v>1.7042034114960258</v>
      </c>
      <c r="BV75" s="156">
        <f t="shared" si="224"/>
        <v>-5.4272078845406977</v>
      </c>
      <c r="BW75" s="156">
        <f t="shared" si="225"/>
        <v>1.7400936253558128</v>
      </c>
      <c r="BX75" s="156">
        <f t="shared" si="226"/>
        <v>4.0854425407619637</v>
      </c>
      <c r="BY75" s="156">
        <f t="shared" si="227"/>
        <v>1.6577021472729567</v>
      </c>
    </row>
    <row r="76" spans="1:77">
      <c r="A76" s="152" t="s">
        <v>10</v>
      </c>
      <c r="B76" s="252"/>
      <c r="C76" s="156">
        <f t="shared" si="156"/>
        <v>0.97964804105638448</v>
      </c>
      <c r="D76" s="156">
        <f t="shared" si="157"/>
        <v>2.949061038326394</v>
      </c>
      <c r="E76" s="156">
        <f t="shared" si="158"/>
        <v>1.6055496911187235</v>
      </c>
      <c r="F76" s="156">
        <f t="shared" si="159"/>
        <v>-1.1136875059380209</v>
      </c>
      <c r="G76" s="156">
        <f t="shared" si="160"/>
        <v>3.1696117051209769</v>
      </c>
      <c r="H76" s="156">
        <f t="shared" si="161"/>
        <v>3.6375457911422187</v>
      </c>
      <c r="I76" s="156">
        <f t="shared" si="162"/>
        <v>2.7719824927421555</v>
      </c>
      <c r="J76" s="156">
        <f t="shared" si="163"/>
        <v>-1.8773857709967121</v>
      </c>
      <c r="K76" s="156">
        <f t="shared" si="164"/>
        <v>1.6044959139391628</v>
      </c>
      <c r="L76" s="156">
        <f t="shared" si="165"/>
        <v>0.58297945457671208</v>
      </c>
      <c r="M76" s="156">
        <f t="shared" si="166"/>
        <v>2.1557071329479642E-2</v>
      </c>
      <c r="N76" s="156">
        <f t="shared" si="167"/>
        <v>-1.1926656160661497</v>
      </c>
      <c r="O76" s="156">
        <f t="shared" si="168"/>
        <v>2.8549589382033402</v>
      </c>
      <c r="P76" s="156">
        <f t="shared" si="169"/>
        <v>1.4282194530300112</v>
      </c>
      <c r="Q76" s="156">
        <f t="shared" si="170"/>
        <v>0.24390099397060541</v>
      </c>
      <c r="R76" s="156">
        <f t="shared" si="171"/>
        <v>1.5109199662104631</v>
      </c>
      <c r="S76" s="156">
        <f t="shared" si="172"/>
        <v>2.4264409196501027</v>
      </c>
      <c r="T76" s="156">
        <f t="shared" si="173"/>
        <v>1.6897099038112156</v>
      </c>
      <c r="U76" s="156">
        <f t="shared" si="174"/>
        <v>0.68864876656274354</v>
      </c>
      <c r="V76" s="156">
        <f t="shared" si="175"/>
        <v>-3.1248742370266016</v>
      </c>
      <c r="W76" s="156">
        <f t="shared" si="176"/>
        <v>1.5343716261313975</v>
      </c>
      <c r="X76" s="156">
        <f t="shared" si="177"/>
        <v>1.7177036700459578</v>
      </c>
      <c r="Y76" s="156">
        <f t="shared" si="178"/>
        <v>1.6760645893596133</v>
      </c>
      <c r="Z76" s="156">
        <f t="shared" si="179"/>
        <v>-1.0827426262834923</v>
      </c>
      <c r="AA76" s="156">
        <f t="shared" si="180"/>
        <v>3.326123382652721</v>
      </c>
      <c r="AB76" s="156">
        <f t="shared" si="181"/>
        <v>2.3667335186826977</v>
      </c>
      <c r="AC76" s="156">
        <f t="shared" si="182"/>
        <v>2.0456315071649267</v>
      </c>
      <c r="AD76" s="156">
        <f t="shared" si="183"/>
        <v>1.625367523596857</v>
      </c>
      <c r="AE76" s="156">
        <f t="shared" si="184"/>
        <v>-0.25327412916981773</v>
      </c>
      <c r="AF76" s="156">
        <f t="shared" si="185"/>
        <v>-0.48212133386903078</v>
      </c>
      <c r="AG76" s="156">
        <f t="shared" si="186"/>
        <v>1.1417036737989672</v>
      </c>
      <c r="AH76" s="156">
        <f t="shared" si="187"/>
        <v>4.8739706166723105</v>
      </c>
      <c r="AI76" s="156">
        <f t="shared" si="188"/>
        <v>-0.566011688371443</v>
      </c>
      <c r="AJ76" s="156">
        <f t="shared" si="189"/>
        <v>0.45816364309515772</v>
      </c>
      <c r="AK76" s="156">
        <f t="shared" si="190"/>
        <v>1.3267609526880708</v>
      </c>
      <c r="AL76" s="156">
        <f t="shared" si="191"/>
        <v>5.1319828622800268</v>
      </c>
      <c r="AM76" s="156">
        <f t="shared" si="192"/>
        <v>0.13427470004764672</v>
      </c>
      <c r="AN76" s="156">
        <f t="shared" si="193"/>
        <v>0.52916918995298623</v>
      </c>
      <c r="AO76" s="156">
        <f t="shared" si="194"/>
        <v>2.1327863914745988</v>
      </c>
      <c r="AP76" s="156">
        <f t="shared" si="195"/>
        <v>7.4846694979671042</v>
      </c>
      <c r="AQ76" s="156">
        <f t="shared" si="196"/>
        <v>0.16250029042313294</v>
      </c>
      <c r="AR76" s="156">
        <f t="shared" si="197"/>
        <v>0.91147254666521793</v>
      </c>
      <c r="AS76" s="156">
        <f t="shared" si="198"/>
        <v>1.5346963059116121</v>
      </c>
      <c r="AT76" s="156">
        <f t="shared" si="199"/>
        <v>3.7342697762840333</v>
      </c>
      <c r="AU76" s="156">
        <f t="shared" si="200"/>
        <v>1.196645860916719</v>
      </c>
      <c r="AV76" s="156">
        <f t="shared" si="201"/>
        <v>1.3955690682084327</v>
      </c>
      <c r="AW76" s="156">
        <f t="shared" si="202"/>
        <v>2.0829749059896301</v>
      </c>
      <c r="AX76" s="156">
        <f t="shared" si="203"/>
        <v>3.5323164734597392</v>
      </c>
      <c r="AY76" s="156">
        <f t="shared" si="204"/>
        <v>-0.43790872448920226</v>
      </c>
      <c r="AZ76" s="156">
        <f t="shared" si="205"/>
        <v>1.7161723872412906</v>
      </c>
      <c r="BA76" s="156">
        <f t="shared" si="206"/>
        <v>3.8148764122268801</v>
      </c>
      <c r="BB76" s="156">
        <f t="shared" si="207"/>
        <v>1.1801041900509543</v>
      </c>
      <c r="BC76" s="156">
        <f t="shared" si="208"/>
        <v>1.395775540071208</v>
      </c>
      <c r="BD76" s="156">
        <f t="shared" si="209"/>
        <v>1.4498061180525539</v>
      </c>
      <c r="BE76" s="156">
        <f t="shared" si="210"/>
        <v>2.6192852440914849</v>
      </c>
      <c r="BF76" s="156">
        <f t="shared" si="211"/>
        <v>-1.83214963768443</v>
      </c>
      <c r="BG76" s="156">
        <f t="shared" si="212"/>
        <v>-8.3763781681815391E-2</v>
      </c>
      <c r="BH76" s="156">
        <f t="shared" si="213"/>
        <v>0.10304397353012797</v>
      </c>
      <c r="BI76" s="156">
        <f t="shared" si="214"/>
        <v>1.9359832059288322</v>
      </c>
      <c r="BJ76" s="156">
        <f t="shared" si="215"/>
        <v>-0.23216891871228407</v>
      </c>
      <c r="BK76" s="156">
        <f t="shared" si="216"/>
        <v>0.69252529307348587</v>
      </c>
      <c r="BL76" s="156">
        <f t="shared" si="217"/>
        <v>0.34254191139508949</v>
      </c>
      <c r="BM76" s="156">
        <f t="shared" si="218"/>
        <v>1.9730783954640805</v>
      </c>
      <c r="BN76" s="156">
        <f t="shared" si="219"/>
        <v>1.1019254790723321</v>
      </c>
      <c r="BO76" s="156">
        <f t="shared" si="220"/>
        <v>0.80052953471857258</v>
      </c>
      <c r="BP76" s="156">
        <f t="shared" si="221"/>
        <v>1.2046303114608792</v>
      </c>
      <c r="BQ76" s="156">
        <f t="shared" si="228"/>
        <v>2.396474691778717</v>
      </c>
      <c r="BR76" s="156">
        <f t="shared" si="222"/>
        <v>0.67588513126513217</v>
      </c>
      <c r="BS76" s="156">
        <f t="shared" si="222"/>
        <v>-0.42451487753317207</v>
      </c>
      <c r="BT76" s="156">
        <f t="shared" si="222"/>
        <v>-0.26955955688997413</v>
      </c>
      <c r="BU76" s="156">
        <f t="shared" si="223"/>
        <v>2.0424678266053675</v>
      </c>
      <c r="BV76" s="156">
        <f t="shared" si="224"/>
        <v>0.40039502790291809</v>
      </c>
      <c r="BW76" s="156">
        <f t="shared" si="225"/>
        <v>1.4663058642871187</v>
      </c>
      <c r="BX76" s="156">
        <f t="shared" si="226"/>
        <v>-0.50292991279471178</v>
      </c>
      <c r="BY76" s="156">
        <f t="shared" si="227"/>
        <v>-0.19198664440736601</v>
      </c>
    </row>
    <row r="77" spans="1:77">
      <c r="A77" s="152" t="s">
        <v>11</v>
      </c>
      <c r="B77" s="252"/>
      <c r="C77" s="156">
        <f t="shared" si="156"/>
        <v>2.8298823640472239</v>
      </c>
      <c r="D77" s="156">
        <f t="shared" si="157"/>
        <v>1.7787883942272522</v>
      </c>
      <c r="E77" s="156">
        <f t="shared" si="158"/>
        <v>-0.11150273001198098</v>
      </c>
      <c r="F77" s="156">
        <f t="shared" si="159"/>
        <v>1.1176376796794181</v>
      </c>
      <c r="G77" s="156">
        <f t="shared" si="160"/>
        <v>-0.39601170436993921</v>
      </c>
      <c r="H77" s="156">
        <f t="shared" si="161"/>
        <v>0.52364746309823573</v>
      </c>
      <c r="I77" s="156">
        <f t="shared" si="162"/>
        <v>4.8990100351522181E-2</v>
      </c>
      <c r="J77" s="156">
        <f t="shared" si="163"/>
        <v>-1.157865756657745</v>
      </c>
      <c r="K77" s="156">
        <f t="shared" si="164"/>
        <v>1.1346553166327682</v>
      </c>
      <c r="L77" s="156">
        <f t="shared" si="165"/>
        <v>0.8177927863825657</v>
      </c>
      <c r="M77" s="156">
        <f t="shared" si="166"/>
        <v>-1.556141459536168</v>
      </c>
      <c r="N77" s="156">
        <f t="shared" si="167"/>
        <v>2.8257752333250323</v>
      </c>
      <c r="O77" s="156">
        <f t="shared" si="168"/>
        <v>2.9129572381016389</v>
      </c>
      <c r="P77" s="156">
        <f t="shared" si="169"/>
        <v>3.0304253128316265</v>
      </c>
      <c r="Q77" s="156">
        <f t="shared" si="170"/>
        <v>0.24332911133590837</v>
      </c>
      <c r="R77" s="156">
        <f t="shared" si="171"/>
        <v>-0.6758368225533411</v>
      </c>
      <c r="S77" s="156">
        <f t="shared" si="172"/>
        <v>1.2796090825245858</v>
      </c>
      <c r="T77" s="156">
        <f t="shared" si="173"/>
        <v>2.1711124072720049</v>
      </c>
      <c r="U77" s="156">
        <f t="shared" si="174"/>
        <v>-0.36642327162463029</v>
      </c>
      <c r="V77" s="156">
        <f t="shared" si="175"/>
        <v>0.63488858625739886</v>
      </c>
      <c r="W77" s="156">
        <f t="shared" si="176"/>
        <v>1.8097826086956543</v>
      </c>
      <c r="X77" s="156">
        <f t="shared" si="177"/>
        <v>3.0966743180483607</v>
      </c>
      <c r="Y77" s="156">
        <f t="shared" si="178"/>
        <v>-0.12330014249589694</v>
      </c>
      <c r="Z77" s="156">
        <f t="shared" si="179"/>
        <v>-0.68243873104677533</v>
      </c>
      <c r="AA77" s="156">
        <f t="shared" si="180"/>
        <v>0.48482558968645523</v>
      </c>
      <c r="AB77" s="156">
        <f t="shared" si="181"/>
        <v>1.9590496176347585</v>
      </c>
      <c r="AC77" s="156">
        <f t="shared" si="182"/>
        <v>-0.82762228262402582</v>
      </c>
      <c r="AD77" s="156">
        <f t="shared" si="183"/>
        <v>-0.42472342897070881</v>
      </c>
      <c r="AE77" s="156">
        <f t="shared" si="184"/>
        <v>1.2264153525895765</v>
      </c>
      <c r="AF77" s="156">
        <f t="shared" si="185"/>
        <v>2.7680822114249573</v>
      </c>
      <c r="AG77" s="156">
        <f t="shared" si="186"/>
        <v>0.2006256109881995</v>
      </c>
      <c r="AH77" s="156">
        <f t="shared" si="187"/>
        <v>0.82628164423525552</v>
      </c>
      <c r="AI77" s="156">
        <f t="shared" si="188"/>
        <v>2.3278656320597109</v>
      </c>
      <c r="AJ77" s="156">
        <f t="shared" si="189"/>
        <v>3.0380111345747722</v>
      </c>
      <c r="AK77" s="156">
        <f t="shared" si="190"/>
        <v>-1.7699939447575543</v>
      </c>
      <c r="AL77" s="156">
        <f t="shared" si="191"/>
        <v>-1.4841937621723615</v>
      </c>
      <c r="AM77" s="156">
        <f t="shared" si="192"/>
        <v>2.0354715091760034</v>
      </c>
      <c r="AN77" s="156">
        <f t="shared" si="193"/>
        <v>2.1449062016381628</v>
      </c>
      <c r="AO77" s="156">
        <f t="shared" si="194"/>
        <v>-0.20786179500207866</v>
      </c>
      <c r="AP77" s="156">
        <f t="shared" si="195"/>
        <v>0.46764615417692657</v>
      </c>
      <c r="AQ77" s="156">
        <f t="shared" si="196"/>
        <v>0.97278050033955488</v>
      </c>
      <c r="AR77" s="156">
        <f t="shared" si="197"/>
        <v>1.6723319942559056</v>
      </c>
      <c r="AS77" s="156">
        <f t="shared" si="198"/>
        <v>-0.40271396134662368</v>
      </c>
      <c r="AT77" s="156">
        <f t="shared" si="199"/>
        <v>3.5291629886415641</v>
      </c>
      <c r="AU77" s="156">
        <f t="shared" si="200"/>
        <v>0.5509522363454753</v>
      </c>
      <c r="AV77" s="156">
        <f t="shared" si="201"/>
        <v>0.87583052894987778</v>
      </c>
      <c r="AW77" s="156">
        <f t="shared" si="202"/>
        <v>0.35071211667593216</v>
      </c>
      <c r="AX77" s="156">
        <f t="shared" si="203"/>
        <v>4.6031823078996243</v>
      </c>
      <c r="AY77" s="156">
        <f t="shared" si="204"/>
        <v>1.1728772144166146</v>
      </c>
      <c r="AZ77" s="156">
        <f t="shared" si="205"/>
        <v>-1.6101115002209201E-2</v>
      </c>
      <c r="BA77" s="156">
        <f t="shared" si="206"/>
        <v>-3.3374934578686837</v>
      </c>
      <c r="BB77" s="156">
        <f t="shared" si="207"/>
        <v>6.4875381033615671</v>
      </c>
      <c r="BC77" s="156">
        <f t="shared" si="208"/>
        <v>1.5820201901860758</v>
      </c>
      <c r="BD77" s="156">
        <f t="shared" si="209"/>
        <v>-0.6535545679619833</v>
      </c>
      <c r="BE77" s="156">
        <f t="shared" si="210"/>
        <v>-4.6260680453222642</v>
      </c>
      <c r="BF77" s="156">
        <f t="shared" si="211"/>
        <v>3.2049488069793695</v>
      </c>
      <c r="BG77" s="156">
        <f t="shared" si="212"/>
        <v>0.80864073508428014</v>
      </c>
      <c r="BH77" s="156">
        <f t="shared" si="213"/>
        <v>8.6179222501698141E-2</v>
      </c>
      <c r="BI77" s="156">
        <f t="shared" si="214"/>
        <v>-1.2587466002879351</v>
      </c>
      <c r="BJ77" s="156">
        <f t="shared" si="215"/>
        <v>0.22758572197073701</v>
      </c>
      <c r="BK77" s="156">
        <f t="shared" si="216"/>
        <v>1.4908452479312879</v>
      </c>
      <c r="BL77" s="156">
        <f t="shared" si="217"/>
        <v>0.52118296090609195</v>
      </c>
      <c r="BM77" s="156">
        <f t="shared" si="218"/>
        <v>-0.91148287032808595</v>
      </c>
      <c r="BN77" s="156">
        <f t="shared" si="219"/>
        <v>2.6312206697168485</v>
      </c>
      <c r="BO77" s="156">
        <f t="shared" si="220"/>
        <v>0.6083119953424817</v>
      </c>
      <c r="BP77" s="156">
        <f t="shared" si="221"/>
        <v>-0.4453970548858267</v>
      </c>
      <c r="BQ77" s="156">
        <f t="shared" si="228"/>
        <v>-0.98718689888267797</v>
      </c>
      <c r="BR77" s="156">
        <f t="shared" si="222"/>
        <v>2.6414570263767962</v>
      </c>
      <c r="BS77" s="156">
        <f t="shared" si="222"/>
        <v>1.9894482690589577</v>
      </c>
      <c r="BT77" s="156">
        <f t="shared" si="222"/>
        <v>-0.60004777053402558</v>
      </c>
      <c r="BU77" s="156">
        <f t="shared" si="223"/>
        <v>-2.9311232505022602</v>
      </c>
      <c r="BV77" s="156">
        <f t="shared" si="224"/>
        <v>3.8194832424822605</v>
      </c>
      <c r="BW77" s="156">
        <f t="shared" si="225"/>
        <v>1.5313728464390801</v>
      </c>
      <c r="BX77" s="156">
        <f t="shared" si="226"/>
        <v>-0.31178669159966965</v>
      </c>
      <c r="BY77" s="156">
        <f t="shared" si="227"/>
        <v>-2.8326825444609982</v>
      </c>
    </row>
    <row r="78" spans="1:77">
      <c r="A78" s="149" t="s">
        <v>12</v>
      </c>
      <c r="B78" s="253"/>
      <c r="C78" s="157">
        <f t="shared" si="156"/>
        <v>0.15962463008042396</v>
      </c>
      <c r="D78" s="157">
        <f t="shared" si="157"/>
        <v>0.31265923917488081</v>
      </c>
      <c r="E78" s="157">
        <f t="shared" si="158"/>
        <v>0.12751689076193964</v>
      </c>
      <c r="F78" s="157">
        <f t="shared" si="159"/>
        <v>3.140045203602245</v>
      </c>
      <c r="G78" s="157">
        <f t="shared" si="160"/>
        <v>0.12159996702373677</v>
      </c>
      <c r="H78" s="157">
        <f t="shared" si="161"/>
        <v>0.36023981679230904</v>
      </c>
      <c r="I78" s="157">
        <f t="shared" si="162"/>
        <v>0.24203266415405095</v>
      </c>
      <c r="J78" s="157">
        <f t="shared" si="163"/>
        <v>-3.0385206173158137</v>
      </c>
      <c r="K78" s="157">
        <f t="shared" si="164"/>
        <v>3.4732863418125565E-2</v>
      </c>
      <c r="L78" s="157">
        <f t="shared" si="165"/>
        <v>0.3655896409460368</v>
      </c>
      <c r="M78" s="157">
        <f t="shared" si="166"/>
        <v>0.14448220426934852</v>
      </c>
      <c r="N78" s="157">
        <f t="shared" si="167"/>
        <v>1.5240759971543762</v>
      </c>
      <c r="O78" s="157">
        <f t="shared" si="168"/>
        <v>0.10276499495424454</v>
      </c>
      <c r="P78" s="157">
        <f t="shared" si="169"/>
        <v>-1.4167010575973906E-2</v>
      </c>
      <c r="Q78" s="157">
        <f t="shared" si="170"/>
        <v>7.3925310794341351E-2</v>
      </c>
      <c r="R78" s="157">
        <f t="shared" si="171"/>
        <v>-3.5834074814139889</v>
      </c>
      <c r="S78" s="157">
        <f t="shared" si="172"/>
        <v>0.16574471170779453</v>
      </c>
      <c r="T78" s="157">
        <f t="shared" si="173"/>
        <v>-5.5846277949001898E-2</v>
      </c>
      <c r="U78" s="157">
        <f t="shared" si="174"/>
        <v>-0.25869205298013453</v>
      </c>
      <c r="V78" s="157">
        <f t="shared" si="175"/>
        <v>-0.13278356755471055</v>
      </c>
      <c r="W78" s="157">
        <f t="shared" si="176"/>
        <v>0.14438281834007916</v>
      </c>
      <c r="X78" s="157">
        <f t="shared" si="177"/>
        <v>-4.1759494543076377E-2</v>
      </c>
      <c r="Y78" s="157">
        <f t="shared" si="178"/>
        <v>-0.25933035742263749</v>
      </c>
      <c r="Z78" s="157">
        <f t="shared" si="179"/>
        <v>1.4238925171035814</v>
      </c>
      <c r="AA78" s="157">
        <f t="shared" si="180"/>
        <v>-0.13253740763142213</v>
      </c>
      <c r="AB78" s="157">
        <f t="shared" si="181"/>
        <v>-0.35179557938309097</v>
      </c>
      <c r="AC78" s="157">
        <f t="shared" si="182"/>
        <v>-0.12683983827920911</v>
      </c>
      <c r="AD78" s="157">
        <f t="shared" si="183"/>
        <v>-0.50867651886304144</v>
      </c>
      <c r="AE78" s="157">
        <f t="shared" si="184"/>
        <v>1.1751230273205435</v>
      </c>
      <c r="AF78" s="157">
        <f t="shared" si="185"/>
        <v>0.53880665856011578</v>
      </c>
      <c r="AG78" s="157">
        <f t="shared" si="186"/>
        <v>0.32947554999476308</v>
      </c>
      <c r="AH78" s="157">
        <f t="shared" si="187"/>
        <v>-0.24233028253167957</v>
      </c>
      <c r="AI78" s="157">
        <f t="shared" si="188"/>
        <v>1.4669318746892137</v>
      </c>
      <c r="AJ78" s="157">
        <f t="shared" si="189"/>
        <v>0.73307195948705284</v>
      </c>
      <c r="AK78" s="157">
        <f t="shared" si="190"/>
        <v>0.59800125681619698</v>
      </c>
      <c r="AL78" s="157">
        <f t="shared" si="191"/>
        <v>-1.6194617859624845</v>
      </c>
      <c r="AM78" s="157">
        <f t="shared" si="192"/>
        <v>1.5358292255672783</v>
      </c>
      <c r="AN78" s="157">
        <f t="shared" si="193"/>
        <v>0.64796982827796734</v>
      </c>
      <c r="AO78" s="157">
        <f t="shared" si="194"/>
        <v>1.3214805365649547</v>
      </c>
      <c r="AP78" s="157">
        <f t="shared" si="195"/>
        <v>0.5780309704207266</v>
      </c>
      <c r="AQ78" s="157">
        <f t="shared" si="196"/>
        <v>2.1809844803260616</v>
      </c>
      <c r="AR78" s="157">
        <f t="shared" si="197"/>
        <v>0.88196375491418366</v>
      </c>
      <c r="AS78" s="157">
        <f t="shared" si="198"/>
        <v>0.33076766612996339</v>
      </c>
      <c r="AT78" s="157">
        <f t="shared" si="199"/>
        <v>0.11375184056734892</v>
      </c>
      <c r="AU78" s="157">
        <f t="shared" si="200"/>
        <v>1.2461942852820553</v>
      </c>
      <c r="AV78" s="157">
        <f t="shared" si="201"/>
        <v>0.65745237205826379</v>
      </c>
      <c r="AW78" s="157">
        <f t="shared" si="202"/>
        <v>1.3768277295331528</v>
      </c>
      <c r="AX78" s="157">
        <f t="shared" si="203"/>
        <v>1.0489403707596625</v>
      </c>
      <c r="AY78" s="157">
        <f t="shared" si="204"/>
        <v>0.6423982869379099</v>
      </c>
      <c r="AZ78" s="157">
        <f t="shared" si="205"/>
        <v>1.0476018752253822</v>
      </c>
      <c r="BA78" s="157">
        <f t="shared" si="206"/>
        <v>1.1348833889473675</v>
      </c>
      <c r="BB78" s="157">
        <f t="shared" si="207"/>
        <v>1.3884685670554775</v>
      </c>
      <c r="BC78" s="157">
        <f t="shared" si="208"/>
        <v>1.1318381890588891</v>
      </c>
      <c r="BD78" s="157">
        <f t="shared" si="209"/>
        <v>1.5457685664939533</v>
      </c>
      <c r="BE78" s="157">
        <f t="shared" si="210"/>
        <v>1.1463559826515977</v>
      </c>
      <c r="BF78" s="157">
        <f t="shared" si="211"/>
        <v>0.14291126227441397</v>
      </c>
      <c r="BG78" s="157">
        <f t="shared" si="212"/>
        <v>1.7578616880173394</v>
      </c>
      <c r="BH78" s="157">
        <f t="shared" si="213"/>
        <v>0.57748152059132474</v>
      </c>
      <c r="BI78" s="157">
        <f t="shared" si="214"/>
        <v>0.74969651235277124</v>
      </c>
      <c r="BJ78" s="157">
        <f t="shared" si="215"/>
        <v>0.17008803589296811</v>
      </c>
      <c r="BK78" s="157">
        <f t="shared" si="216"/>
        <v>1.8328242154956924</v>
      </c>
      <c r="BL78" s="157">
        <f t="shared" si="217"/>
        <v>0.74271322927862815</v>
      </c>
      <c r="BM78" s="157">
        <f t="shared" si="218"/>
        <v>1.3598293047991927</v>
      </c>
      <c r="BN78" s="157">
        <f t="shared" si="219"/>
        <v>-0.22489083548047742</v>
      </c>
      <c r="BO78" s="157">
        <f t="shared" si="220"/>
        <v>2.2263859803813437</v>
      </c>
      <c r="BP78" s="157">
        <f t="shared" si="221"/>
        <v>0.87793608009241286</v>
      </c>
      <c r="BQ78" s="157">
        <f t="shared" si="228"/>
        <v>1.6306588289182415</v>
      </c>
      <c r="BR78" s="157">
        <f t="shared" si="222"/>
        <v>-1.7401108593016585</v>
      </c>
      <c r="BS78" s="157">
        <f t="shared" si="222"/>
        <v>1.8196540976593578</v>
      </c>
      <c r="BT78" s="157">
        <f t="shared" si="222"/>
        <v>0.91082334228651618</v>
      </c>
      <c r="BU78" s="157">
        <f t="shared" si="223"/>
        <v>1.663940520446092</v>
      </c>
      <c r="BV78" s="157">
        <f t="shared" si="224"/>
        <v>-2.1399416063669023</v>
      </c>
      <c r="BW78" s="157">
        <f t="shared" si="225"/>
        <v>1.348200406552688</v>
      </c>
      <c r="BX78" s="157">
        <f t="shared" si="226"/>
        <v>0.19614783352505091</v>
      </c>
      <c r="BY78" s="157">
        <f t="shared" si="227"/>
        <v>1.8487172316342564</v>
      </c>
    </row>
    <row r="79" spans="1:77">
      <c r="A79" s="145" t="s">
        <v>13</v>
      </c>
      <c r="B79" s="254"/>
      <c r="C79" s="159">
        <f t="shared" si="156"/>
        <v>3.119735738190208</v>
      </c>
      <c r="D79" s="159">
        <f t="shared" si="157"/>
        <v>4.5390407528272592</v>
      </c>
      <c r="E79" s="159">
        <f t="shared" si="158"/>
        <v>0.45068505739530118</v>
      </c>
      <c r="F79" s="159">
        <f t="shared" si="159"/>
        <v>-3.2505471444227405</v>
      </c>
      <c r="G79" s="159">
        <f t="shared" si="160"/>
        <v>5.940723746728275</v>
      </c>
      <c r="H79" s="159">
        <f t="shared" si="161"/>
        <v>1.2791579423253721</v>
      </c>
      <c r="I79" s="159">
        <f t="shared" si="162"/>
        <v>0.25171039460302441</v>
      </c>
      <c r="J79" s="159">
        <f t="shared" si="163"/>
        <v>-4.6285220032030905</v>
      </c>
      <c r="K79" s="159">
        <f t="shared" si="164"/>
        <v>5.7268508208160442</v>
      </c>
      <c r="L79" s="159">
        <f t="shared" si="165"/>
        <v>0.43382158570137175</v>
      </c>
      <c r="M79" s="159">
        <f t="shared" si="166"/>
        <v>-0.33693127699860248</v>
      </c>
      <c r="N79" s="159">
        <f t="shared" si="167"/>
        <v>-3.9775457205189704</v>
      </c>
      <c r="O79" s="159">
        <f t="shared" si="168"/>
        <v>5.60399769808763</v>
      </c>
      <c r="P79" s="159">
        <f t="shared" si="169"/>
        <v>-0.29450258604941881</v>
      </c>
      <c r="Q79" s="159">
        <f t="shared" si="170"/>
        <v>-0.69108658645535992</v>
      </c>
      <c r="R79" s="159">
        <f t="shared" si="171"/>
        <v>-4.5730247334565437</v>
      </c>
      <c r="S79" s="159">
        <f t="shared" si="172"/>
        <v>6.375548039258379</v>
      </c>
      <c r="T79" s="159">
        <f t="shared" si="173"/>
        <v>0.74928729489514001</v>
      </c>
      <c r="U79" s="159">
        <f t="shared" si="174"/>
        <v>0.31276398404450079</v>
      </c>
      <c r="V79" s="159">
        <f t="shared" si="175"/>
        <v>-3.4453235247946705</v>
      </c>
      <c r="W79" s="159">
        <f t="shared" si="176"/>
        <v>5.8796667700714051</v>
      </c>
      <c r="X79" s="159">
        <f t="shared" si="177"/>
        <v>4.0030809113203434</v>
      </c>
      <c r="Y79" s="159">
        <f t="shared" si="178"/>
        <v>-0.91445135392341537</v>
      </c>
      <c r="Z79" s="159">
        <f t="shared" si="179"/>
        <v>-3.0348851506100236</v>
      </c>
      <c r="AA79" s="159">
        <f t="shared" si="180"/>
        <v>5.8740148194112951</v>
      </c>
      <c r="AB79" s="159">
        <f t="shared" si="181"/>
        <v>0.43147144762042167</v>
      </c>
      <c r="AC79" s="159">
        <f t="shared" si="182"/>
        <v>-2.9054132797949724E-2</v>
      </c>
      <c r="AD79" s="159">
        <f t="shared" si="183"/>
        <v>-3.6249481499814098</v>
      </c>
      <c r="AE79" s="159">
        <f t="shared" si="184"/>
        <v>6.4096785402113357</v>
      </c>
      <c r="AF79" s="159">
        <f t="shared" si="185"/>
        <v>3.333424617207259E-2</v>
      </c>
      <c r="AG79" s="159">
        <f t="shared" si="186"/>
        <v>0.67882392080434062</v>
      </c>
      <c r="AH79" s="159">
        <f t="shared" si="187"/>
        <v>-3.6855820900458949</v>
      </c>
      <c r="AI79" s="159">
        <f t="shared" si="188"/>
        <v>6.7958279538802691</v>
      </c>
      <c r="AJ79" s="159">
        <f t="shared" si="189"/>
        <v>-0.56031547786563562</v>
      </c>
      <c r="AK79" s="159">
        <f t="shared" si="190"/>
        <v>-0.51989631215757182</v>
      </c>
      <c r="AL79" s="159">
        <f t="shared" si="191"/>
        <v>-2.1286279702511699</v>
      </c>
      <c r="AM79" s="159">
        <f t="shared" si="192"/>
        <v>6.4851603287709825</v>
      </c>
      <c r="AN79" s="159">
        <f t="shared" si="193"/>
        <v>1.4225584742903594</v>
      </c>
      <c r="AO79" s="159">
        <f t="shared" si="194"/>
        <v>0.43634015023405254</v>
      </c>
      <c r="AP79" s="159">
        <f t="shared" si="195"/>
        <v>-2.2229096766032059</v>
      </c>
      <c r="AQ79" s="159">
        <f t="shared" si="196"/>
        <v>5.6108326554380019</v>
      </c>
      <c r="AR79" s="159">
        <f t="shared" si="197"/>
        <v>2.5459548510979251</v>
      </c>
      <c r="AS79" s="159">
        <f t="shared" si="198"/>
        <v>0.14311508887803936</v>
      </c>
      <c r="AT79" s="159">
        <f t="shared" si="199"/>
        <v>-2.8345954566877229</v>
      </c>
      <c r="AU79" s="159">
        <f t="shared" si="200"/>
        <v>4.993747649608995</v>
      </c>
      <c r="AV79" s="159">
        <f t="shared" si="201"/>
        <v>2.8005576687876577</v>
      </c>
      <c r="AW79" s="159">
        <f t="shared" si="202"/>
        <v>1.5683734333922938</v>
      </c>
      <c r="AX79" s="159">
        <f t="shared" si="203"/>
        <v>-2.4367702836340732</v>
      </c>
      <c r="AY79" s="159">
        <f t="shared" si="204"/>
        <v>4.0981058766768639</v>
      </c>
      <c r="AZ79" s="159">
        <f t="shared" si="205"/>
        <v>2.1185372265320561</v>
      </c>
      <c r="BA79" s="159">
        <f t="shared" si="206"/>
        <v>1.9443103360752469</v>
      </c>
      <c r="BB79" s="159">
        <f t="shared" si="207"/>
        <v>-3.5033078799860009</v>
      </c>
      <c r="BC79" s="159">
        <f t="shared" si="208"/>
        <v>5.3162021061209019</v>
      </c>
      <c r="BD79" s="159">
        <f t="shared" si="209"/>
        <v>1.0671456495051028</v>
      </c>
      <c r="BE79" s="159">
        <f t="shared" si="210"/>
        <v>-0.83948495828178404</v>
      </c>
      <c r="BF79" s="159">
        <f t="shared" si="211"/>
        <v>-5.9978343943839088</v>
      </c>
      <c r="BG79" s="159">
        <f t="shared" si="212"/>
        <v>3.1899419398006517</v>
      </c>
      <c r="BH79" s="159">
        <f t="shared" si="213"/>
        <v>1.9437544649461542</v>
      </c>
      <c r="BI79" s="159">
        <f t="shared" si="214"/>
        <v>0.99759914053637111</v>
      </c>
      <c r="BJ79" s="159">
        <f t="shared" si="215"/>
        <v>-3.4461794656543394</v>
      </c>
      <c r="BK79" s="159">
        <f t="shared" si="216"/>
        <v>4.8917904174059554</v>
      </c>
      <c r="BL79" s="159">
        <f t="shared" si="217"/>
        <v>1.3486960670151971</v>
      </c>
      <c r="BM79" s="159">
        <f t="shared" si="218"/>
        <v>1.0706077519032358</v>
      </c>
      <c r="BN79" s="159">
        <f t="shared" si="219"/>
        <v>-3.2728626268374619</v>
      </c>
      <c r="BO79" s="159">
        <f t="shared" si="220"/>
        <v>4.1231043689157216</v>
      </c>
      <c r="BP79" s="159">
        <f t="shared" si="221"/>
        <v>1.5445058072816538</v>
      </c>
      <c r="BQ79" s="159">
        <f t="shared" si="228"/>
        <v>1.5365078680699598</v>
      </c>
      <c r="BR79" s="159">
        <f t="shared" si="222"/>
        <v>-4.0912106581685288</v>
      </c>
      <c r="BS79" s="159">
        <f t="shared" si="222"/>
        <v>4.2736525183324767</v>
      </c>
      <c r="BT79" s="159">
        <f t="shared" si="222"/>
        <v>0.70025271192927774</v>
      </c>
      <c r="BU79" s="159">
        <f t="shared" si="223"/>
        <v>1.6269989193993746</v>
      </c>
      <c r="BV79" s="159">
        <f t="shared" si="224"/>
        <v>-4.7714369987323559</v>
      </c>
      <c r="BW79" s="159">
        <f t="shared" si="225"/>
        <v>5.4299594529336037</v>
      </c>
      <c r="BX79" s="159">
        <f t="shared" si="226"/>
        <v>-0.51903622855266995</v>
      </c>
      <c r="BY79" s="159">
        <f t="shared" si="227"/>
        <v>1.7767528023128931</v>
      </c>
    </row>
    <row r="80" spans="1:77">
      <c r="A80" s="171" t="s">
        <v>14</v>
      </c>
      <c r="B80" s="252"/>
      <c r="C80" s="156">
        <f t="shared" si="156"/>
        <v>1.7004519156489834E-2</v>
      </c>
      <c r="D80" s="156">
        <f t="shared" si="157"/>
        <v>0.87361221721182425</v>
      </c>
      <c r="E80" s="156">
        <f t="shared" si="158"/>
        <v>0.40401468996519074</v>
      </c>
      <c r="F80" s="156">
        <f t="shared" si="159"/>
        <v>2.8579457428296982</v>
      </c>
      <c r="G80" s="156">
        <f t="shared" si="160"/>
        <v>1.0712660260190294</v>
      </c>
      <c r="H80" s="156">
        <f t="shared" si="161"/>
        <v>0.9098877064347638</v>
      </c>
      <c r="I80" s="156">
        <f t="shared" si="162"/>
        <v>1.2187019538096859</v>
      </c>
      <c r="J80" s="156">
        <f t="shared" si="163"/>
        <v>0.62478221011199153</v>
      </c>
      <c r="K80" s="156">
        <f t="shared" si="164"/>
        <v>0.2915509425980895</v>
      </c>
      <c r="L80" s="156">
        <f t="shared" si="165"/>
        <v>0.43874693325996761</v>
      </c>
      <c r="M80" s="156">
        <f t="shared" si="166"/>
        <v>0.16128886785080027</v>
      </c>
      <c r="N80" s="156">
        <f t="shared" si="167"/>
        <v>-1.5622128724582929</v>
      </c>
      <c r="O80" s="156">
        <f t="shared" si="168"/>
        <v>-0.98245609858406224</v>
      </c>
      <c r="P80" s="156">
        <f t="shared" si="169"/>
        <v>2.0060528041251593</v>
      </c>
      <c r="Q80" s="156">
        <f t="shared" si="170"/>
        <v>1.3715687009540101</v>
      </c>
      <c r="R80" s="156">
        <f t="shared" si="171"/>
        <v>-5.5547639711829522</v>
      </c>
      <c r="S80" s="156">
        <f t="shared" si="172"/>
        <v>-0.17036485567785994</v>
      </c>
      <c r="T80" s="156">
        <f t="shared" si="173"/>
        <v>3.1938173792559525</v>
      </c>
      <c r="U80" s="156">
        <f t="shared" si="174"/>
        <v>2.0436845602453628</v>
      </c>
      <c r="V80" s="156">
        <f t="shared" si="175"/>
        <v>-2.7256578526007389</v>
      </c>
      <c r="W80" s="156">
        <f t="shared" si="176"/>
        <v>0.16369518239161754</v>
      </c>
      <c r="X80" s="156">
        <f t="shared" si="177"/>
        <v>3.2838762537444102</v>
      </c>
      <c r="Y80" s="156">
        <f t="shared" si="178"/>
        <v>1.9901092060458536</v>
      </c>
      <c r="Z80" s="156">
        <f t="shared" si="179"/>
        <v>0.86430814596651429</v>
      </c>
      <c r="AA80" s="156">
        <f t="shared" si="180"/>
        <v>9.2677257825209511E-2</v>
      </c>
      <c r="AB80" s="156">
        <f t="shared" si="181"/>
        <v>2.944464652728974</v>
      </c>
      <c r="AC80" s="156">
        <f t="shared" si="182"/>
        <v>2.1390724943747381</v>
      </c>
      <c r="AD80" s="156">
        <f t="shared" si="183"/>
        <v>-6.6852200212586785</v>
      </c>
      <c r="AE80" s="156">
        <f t="shared" si="184"/>
        <v>2.8388732704922623</v>
      </c>
      <c r="AF80" s="156">
        <f t="shared" si="185"/>
        <v>1.8921526586620954</v>
      </c>
      <c r="AG80" s="156">
        <f t="shared" si="186"/>
        <v>1.4072281550844268</v>
      </c>
      <c r="AH80" s="156">
        <f t="shared" si="187"/>
        <v>-4.1849367972096125</v>
      </c>
      <c r="AI80" s="156">
        <f t="shared" si="188"/>
        <v>3.1193889856625936</v>
      </c>
      <c r="AJ80" s="156">
        <f t="shared" si="189"/>
        <v>0.81343070246108706</v>
      </c>
      <c r="AK80" s="156">
        <f t="shared" si="190"/>
        <v>2.1009486492060225</v>
      </c>
      <c r="AL80" s="156">
        <f t="shared" si="191"/>
        <v>-2.8532379093302089</v>
      </c>
      <c r="AM80" s="156">
        <f t="shared" si="192"/>
        <v>4.33508776478521</v>
      </c>
      <c r="AN80" s="156">
        <f t="shared" si="193"/>
        <v>2.0501478591486197</v>
      </c>
      <c r="AO80" s="156">
        <f t="shared" si="194"/>
        <v>2.4302342570496198</v>
      </c>
      <c r="AP80" s="156">
        <f t="shared" si="195"/>
        <v>-3.6723709974341499</v>
      </c>
      <c r="AQ80" s="156">
        <f t="shared" si="196"/>
        <v>4.0931649550390725</v>
      </c>
      <c r="AR80" s="156">
        <f t="shared" si="197"/>
        <v>1.8126888217522534</v>
      </c>
      <c r="AS80" s="156">
        <f t="shared" si="198"/>
        <v>1.5601817507418478</v>
      </c>
      <c r="AT80" s="156">
        <f t="shared" si="199"/>
        <v>-2.1177628623297462</v>
      </c>
      <c r="AU80" s="156">
        <f t="shared" si="200"/>
        <v>4.4960878196893725</v>
      </c>
      <c r="AV80" s="156">
        <f t="shared" si="201"/>
        <v>1.499776486365666</v>
      </c>
      <c r="AW80" s="156">
        <f t="shared" si="202"/>
        <v>4.9613529761511348</v>
      </c>
      <c r="AX80" s="156">
        <f t="shared" si="203"/>
        <v>-3.738559356691872</v>
      </c>
      <c r="AY80" s="156">
        <f t="shared" si="204"/>
        <v>2.3344191096633908</v>
      </c>
      <c r="AZ80" s="156">
        <f t="shared" si="205"/>
        <v>1.6848806366047824</v>
      </c>
      <c r="BA80" s="156">
        <f t="shared" si="206"/>
        <v>2.2454558734531087</v>
      </c>
      <c r="BB80" s="156">
        <f t="shared" si="207"/>
        <v>-2.7327321460650538</v>
      </c>
      <c r="BC80" s="156">
        <f t="shared" si="208"/>
        <v>2.8581636298678035</v>
      </c>
      <c r="BD80" s="156">
        <f t="shared" si="209"/>
        <v>-8.5814110291557416E-2</v>
      </c>
      <c r="BE80" s="156">
        <f t="shared" si="210"/>
        <v>0.94885585161856489</v>
      </c>
      <c r="BF80" s="156">
        <f t="shared" si="211"/>
        <v>-5.3059495047439817</v>
      </c>
      <c r="BG80" s="156">
        <f t="shared" si="212"/>
        <v>-5.1485573313305569E-2</v>
      </c>
      <c r="BH80" s="156">
        <f t="shared" si="213"/>
        <v>0.76838874460732665</v>
      </c>
      <c r="BI80" s="156">
        <f t="shared" si="214"/>
        <v>3.6954993716586033</v>
      </c>
      <c r="BJ80" s="156">
        <f t="shared" si="215"/>
        <v>-0.87727929602792465</v>
      </c>
      <c r="BK80" s="156">
        <f t="shared" si="216"/>
        <v>2.0068927835918124</v>
      </c>
      <c r="BL80" s="156">
        <f t="shared" si="217"/>
        <v>1.3349539564491955</v>
      </c>
      <c r="BM80" s="156">
        <f t="shared" si="218"/>
        <v>2.4964931183801253</v>
      </c>
      <c r="BN80" s="156">
        <f t="shared" si="219"/>
        <v>-2.7125830605407946</v>
      </c>
      <c r="BO80" s="156">
        <f t="shared" si="220"/>
        <v>2.2091902313624669</v>
      </c>
      <c r="BP80" s="156">
        <f t="shared" si="221"/>
        <v>1.3322329639236188</v>
      </c>
      <c r="BQ80" s="156">
        <f t="shared" si="228"/>
        <v>3.3313942214465784</v>
      </c>
      <c r="BR80" s="156">
        <f t="shared" si="222"/>
        <v>-1.4317097975155302</v>
      </c>
      <c r="BS80" s="156">
        <f t="shared" si="222"/>
        <v>1.428902001619816</v>
      </c>
      <c r="BT80" s="156">
        <f t="shared" si="222"/>
        <v>-0.29848476206771779</v>
      </c>
      <c r="BU80" s="156">
        <f t="shared" si="223"/>
        <v>3.3370199458449141</v>
      </c>
      <c r="BV80" s="156">
        <f t="shared" si="224"/>
        <v>-4.3594703137983126</v>
      </c>
      <c r="BW80" s="156">
        <f t="shared" si="225"/>
        <v>2.2407632659267285</v>
      </c>
      <c r="BX80" s="156">
        <f t="shared" si="226"/>
        <v>-0.66548935774701612</v>
      </c>
      <c r="BY80" s="156">
        <f t="shared" si="227"/>
        <v>4.1057694107079366</v>
      </c>
    </row>
    <row r="81" spans="1:77" ht="14.25" customHeight="1" thickBot="1">
      <c r="A81" s="173" t="s">
        <v>282</v>
      </c>
      <c r="B81" s="255"/>
      <c r="C81" s="158">
        <f t="shared" si="156"/>
        <v>2.7436987782306166</v>
      </c>
      <c r="D81" s="158">
        <f t="shared" si="157"/>
        <v>4.1065968470611995</v>
      </c>
      <c r="E81" s="158">
        <f t="shared" si="158"/>
        <v>0.44534992049964595</v>
      </c>
      <c r="F81" s="158">
        <f t="shared" si="159"/>
        <v>-2.5525403299212077</v>
      </c>
      <c r="G81" s="158">
        <f t="shared" si="160"/>
        <v>5.3534054727740736</v>
      </c>
      <c r="H81" s="158">
        <f t="shared" si="161"/>
        <v>1.2364295703727086</v>
      </c>
      <c r="I81" s="158">
        <f t="shared" si="162"/>
        <v>0.36324037549733801</v>
      </c>
      <c r="J81" s="158">
        <f t="shared" si="163"/>
        <v>-4.0174567566905219</v>
      </c>
      <c r="K81" s="158">
        <f t="shared" si="164"/>
        <v>5.0640374759709417</v>
      </c>
      <c r="L81" s="158">
        <f t="shared" si="165"/>
        <v>0.43439492917982087</v>
      </c>
      <c r="M81" s="158">
        <f t="shared" si="166"/>
        <v>-0.27893259867842068</v>
      </c>
      <c r="N81" s="158">
        <f t="shared" si="167"/>
        <v>-3.6951313532066203</v>
      </c>
      <c r="O81" s="158">
        <f t="shared" si="168"/>
        <v>4.8168158920226976</v>
      </c>
      <c r="P81" s="158">
        <f t="shared" si="169"/>
        <v>-3.4763517190122745E-2</v>
      </c>
      <c r="Q81" s="158">
        <f t="shared" si="170"/>
        <v>-0.45345280205266891</v>
      </c>
      <c r="R81" s="158">
        <f t="shared" si="171"/>
        <v>-4.6882022327920314</v>
      </c>
      <c r="S81" s="158">
        <f t="shared" si="172"/>
        <v>5.614564762152698</v>
      </c>
      <c r="T81" s="158">
        <f t="shared" si="173"/>
        <v>1.0179058123075313</v>
      </c>
      <c r="U81" s="158">
        <f t="shared" si="174"/>
        <v>0.50706408189000995</v>
      </c>
      <c r="V81" s="158">
        <f t="shared" si="175"/>
        <v>-3.3633041960224741</v>
      </c>
      <c r="W81" s="158">
        <f t="shared" si="176"/>
        <v>5.2239267117847641</v>
      </c>
      <c r="X81" s="158">
        <f t="shared" si="177"/>
        <v>3.9245410774898883</v>
      </c>
      <c r="Y81" s="158">
        <f t="shared" si="178"/>
        <v>-0.59921787413434335</v>
      </c>
      <c r="Z81" s="158">
        <f t="shared" si="179"/>
        <v>-2.6006800502505629</v>
      </c>
      <c r="AA81" s="158">
        <f t="shared" si="180"/>
        <v>5.2073154068884904</v>
      </c>
      <c r="AB81" s="158">
        <f t="shared" si="181"/>
        <v>0.70717948454016599</v>
      </c>
      <c r="AC81" s="158">
        <f t="shared" si="182"/>
        <v>0.21410205253699061</v>
      </c>
      <c r="AD81" s="158">
        <f t="shared" si="183"/>
        <v>-3.9747513347667009</v>
      </c>
      <c r="AE81" s="158">
        <f t="shared" si="184"/>
        <v>6.0130399994116814</v>
      </c>
      <c r="AF81" s="158">
        <f t="shared" si="185"/>
        <v>0.23362630546579513</v>
      </c>
      <c r="AG81" s="158">
        <f t="shared" si="186"/>
        <v>0.7586098895596648</v>
      </c>
      <c r="AH81" s="158">
        <f t="shared" si="187"/>
        <v>-3.7406311559114505</v>
      </c>
      <c r="AI81" s="158">
        <f t="shared" si="188"/>
        <v>6.3924065400689871</v>
      </c>
      <c r="AJ81" s="158">
        <f t="shared" si="189"/>
        <v>-0.4142095681453839</v>
      </c>
      <c r="AK81" s="158">
        <f t="shared" si="190"/>
        <v>-0.23771799783023098</v>
      </c>
      <c r="AL81" s="158">
        <f t="shared" si="191"/>
        <v>-2.2084733872430853</v>
      </c>
      <c r="AM81" s="158">
        <f t="shared" si="192"/>
        <v>6.2498039744359968</v>
      </c>
      <c r="AN81" s="158">
        <f t="shared" si="193"/>
        <v>1.4900191440014401</v>
      </c>
      <c r="AO81" s="158">
        <f t="shared" si="194"/>
        <v>0.65185016302199672</v>
      </c>
      <c r="AP81" s="158">
        <f t="shared" si="195"/>
        <v>-2.3823427422788193</v>
      </c>
      <c r="AQ81" s="158">
        <f t="shared" si="196"/>
        <v>5.4461033194405166</v>
      </c>
      <c r="AR81" s="158">
        <f t="shared" si="197"/>
        <v>2.4673865250881182</v>
      </c>
      <c r="AS81" s="158">
        <f t="shared" si="198"/>
        <v>0.29398146657755736</v>
      </c>
      <c r="AT81" s="158">
        <f t="shared" si="199"/>
        <v>-2.7573152057175725</v>
      </c>
      <c r="AU81" s="158">
        <f t="shared" si="200"/>
        <v>4.9397431045306393</v>
      </c>
      <c r="AV81" s="158">
        <f t="shared" si="201"/>
        <v>2.6599975855820834</v>
      </c>
      <c r="AW81" s="158">
        <f t="shared" si="202"/>
        <v>1.9308691150601858</v>
      </c>
      <c r="AX81" s="158">
        <f t="shared" si="203"/>
        <v>-2.5799844274380908</v>
      </c>
      <c r="AY81" s="158">
        <f t="shared" si="204"/>
        <v>3.9063843370947704</v>
      </c>
      <c r="AZ81" s="158">
        <f t="shared" si="205"/>
        <v>2.0721097693941681</v>
      </c>
      <c r="BA81" s="158">
        <f t="shared" si="206"/>
        <v>1.976428792900798</v>
      </c>
      <c r="BB81" s="158">
        <f t="shared" si="207"/>
        <v>-3.4209058739890157</v>
      </c>
      <c r="BC81" s="158">
        <f t="shared" si="208"/>
        <v>5.0514772493639404</v>
      </c>
      <c r="BD81" s="158">
        <f t="shared" si="209"/>
        <v>0.945567144786154</v>
      </c>
      <c r="BE81" s="158">
        <f t="shared" si="210"/>
        <v>-0.65283287709970972</v>
      </c>
      <c r="BF81" s="158">
        <f t="shared" si="211"/>
        <v>-5.9244569961609805</v>
      </c>
      <c r="BG81" s="158">
        <f t="shared" si="212"/>
        <v>2.8439143428187821</v>
      </c>
      <c r="BH81" s="158">
        <f t="shared" si="213"/>
        <v>1.8218147463487662</v>
      </c>
      <c r="BI81" s="158">
        <f t="shared" si="214"/>
        <v>1.2746002667266743</v>
      </c>
      <c r="BJ81" s="158">
        <f t="shared" si="215"/>
        <v>-3.1761182324103965</v>
      </c>
      <c r="BK81" s="158">
        <f t="shared" si="216"/>
        <v>4.5813086151923095</v>
      </c>
      <c r="BL81" s="158">
        <f t="shared" si="217"/>
        <v>1.3472535045476159</v>
      </c>
      <c r="BM81" s="158">
        <f t="shared" si="218"/>
        <v>1.2202702854046832</v>
      </c>
      <c r="BN81" s="158">
        <f t="shared" si="219"/>
        <v>-3.2133135849504191</v>
      </c>
      <c r="BO81" s="158">
        <f t="shared" si="220"/>
        <v>3.918632533208942</v>
      </c>
      <c r="BP81" s="158">
        <f t="shared" si="221"/>
        <v>1.522200818604333</v>
      </c>
      <c r="BQ81" s="158">
        <f t="shared" si="228"/>
        <v>1.7247561904051234</v>
      </c>
      <c r="BR81" s="158">
        <f t="shared" si="222"/>
        <v>-3.8078758538808697</v>
      </c>
      <c r="BS81" s="158">
        <f t="shared" si="222"/>
        <v>3.963095260307588</v>
      </c>
      <c r="BT81" s="158">
        <f t="shared" si="222"/>
        <v>0.59387972186059568</v>
      </c>
      <c r="BU81" s="158">
        <f t="shared" si="223"/>
        <v>1.8075132446648194</v>
      </c>
      <c r="BV81" s="158">
        <f t="shared" si="224"/>
        <v>-4.7272953630268155</v>
      </c>
      <c r="BW81" s="158">
        <f t="shared" si="225"/>
        <v>5.0869223941139579</v>
      </c>
      <c r="BX81" s="158">
        <f t="shared" si="226"/>
        <v>-0.53436240668777935</v>
      </c>
      <c r="BY81" s="158">
        <f t="shared" si="227"/>
        <v>2.0201608229927088</v>
      </c>
    </row>
    <row r="83" spans="1:77" ht="18">
      <c r="A83" s="407" t="s">
        <v>211</v>
      </c>
      <c r="B83" s="407"/>
      <c r="C83" s="407"/>
      <c r="D83" s="407"/>
      <c r="E83" s="407"/>
      <c r="F83" s="407"/>
      <c r="G83" s="407"/>
      <c r="H83" s="407"/>
      <c r="I83" s="407"/>
      <c r="J83" s="407"/>
      <c r="K83" s="407"/>
      <c r="L83" s="407"/>
      <c r="M83" s="407"/>
      <c r="N83" s="407"/>
      <c r="O83" s="407"/>
      <c r="P83" s="407"/>
      <c r="Q83" s="407"/>
      <c r="R83" s="407"/>
      <c r="S83" s="407"/>
      <c r="T83" s="407"/>
      <c r="U83" s="407"/>
      <c r="V83" s="407"/>
      <c r="W83" s="407"/>
      <c r="X83" s="407"/>
      <c r="Y83" s="407"/>
      <c r="Z83" s="408"/>
      <c r="AA83" s="408"/>
      <c r="AB83" s="408"/>
      <c r="AC83" s="408"/>
      <c r="AD83" s="408"/>
      <c r="AE83" s="408"/>
      <c r="AF83" s="408"/>
      <c r="AG83" s="408"/>
      <c r="AH83" s="408"/>
      <c r="AI83" s="408"/>
      <c r="AJ83" s="408"/>
      <c r="AK83" s="408"/>
      <c r="AL83" s="408"/>
      <c r="AM83" s="408"/>
      <c r="AN83" s="408"/>
      <c r="AO83" s="408"/>
      <c r="AP83" s="408"/>
      <c r="AQ83" s="408"/>
      <c r="AR83" s="408"/>
      <c r="AS83" s="408"/>
      <c r="AT83" s="408"/>
      <c r="AU83" s="408"/>
      <c r="AV83" s="408"/>
      <c r="AW83" s="408"/>
      <c r="AX83" s="408"/>
      <c r="AY83" s="408"/>
      <c r="AZ83" s="408"/>
      <c r="BA83" s="408"/>
      <c r="BB83" s="408"/>
      <c r="BC83" s="408"/>
      <c r="BD83" s="408"/>
      <c r="BE83" s="408"/>
      <c r="BF83" s="408"/>
      <c r="BG83" s="408"/>
      <c r="BH83" s="408"/>
    </row>
    <row r="84" spans="1:77" ht="13.5" thickBot="1">
      <c r="A84" s="1" t="s">
        <v>200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77" ht="13.5" thickBot="1">
      <c r="A85" s="108" t="s">
        <v>166</v>
      </c>
      <c r="B85" s="249" t="str">
        <f>B65</f>
        <v>1995q1</v>
      </c>
      <c r="C85" s="248" t="str">
        <f t="shared" ref="C85:BH85" si="229">C65</f>
        <v>1995q2</v>
      </c>
      <c r="D85" s="248" t="str">
        <f t="shared" si="229"/>
        <v>1995q3</v>
      </c>
      <c r="E85" s="248" t="str">
        <f t="shared" si="229"/>
        <v>1995q4</v>
      </c>
      <c r="F85" s="248" t="str">
        <f t="shared" si="229"/>
        <v>1996q1</v>
      </c>
      <c r="G85" s="248" t="str">
        <f t="shared" si="229"/>
        <v>1996q2</v>
      </c>
      <c r="H85" s="248" t="str">
        <f t="shared" si="229"/>
        <v>1996q3</v>
      </c>
      <c r="I85" s="248" t="str">
        <f t="shared" si="229"/>
        <v>1996q4</v>
      </c>
      <c r="J85" s="248" t="str">
        <f t="shared" si="229"/>
        <v>1997q1</v>
      </c>
      <c r="K85" s="248" t="str">
        <f t="shared" si="229"/>
        <v>1997q2</v>
      </c>
      <c r="L85" s="248" t="str">
        <f t="shared" si="229"/>
        <v>1997q3</v>
      </c>
      <c r="M85" s="248" t="str">
        <f t="shared" si="229"/>
        <v>1997q4</v>
      </c>
      <c r="N85" s="248" t="str">
        <f t="shared" si="229"/>
        <v>1998q1</v>
      </c>
      <c r="O85" s="248" t="str">
        <f t="shared" si="229"/>
        <v>1998q2</v>
      </c>
      <c r="P85" s="248" t="str">
        <f t="shared" si="229"/>
        <v>1998q3</v>
      </c>
      <c r="Q85" s="248" t="str">
        <f t="shared" si="229"/>
        <v>1998q4</v>
      </c>
      <c r="R85" s="248" t="str">
        <f t="shared" si="229"/>
        <v>1999q1</v>
      </c>
      <c r="S85" s="248" t="str">
        <f t="shared" si="229"/>
        <v>1999q2</v>
      </c>
      <c r="T85" s="248" t="str">
        <f t="shared" si="229"/>
        <v>1999q3</v>
      </c>
      <c r="U85" s="248" t="str">
        <f t="shared" si="229"/>
        <v>1999q4</v>
      </c>
      <c r="V85" s="248" t="str">
        <f t="shared" si="229"/>
        <v>2000q1</v>
      </c>
      <c r="W85" s="248" t="str">
        <f t="shared" si="229"/>
        <v>2000q2</v>
      </c>
      <c r="X85" s="248" t="str">
        <f t="shared" si="229"/>
        <v>2000q3</v>
      </c>
      <c r="Y85" s="248" t="str">
        <f t="shared" si="229"/>
        <v>2000q4</v>
      </c>
      <c r="Z85" s="248" t="str">
        <f t="shared" si="229"/>
        <v>2001q1</v>
      </c>
      <c r="AA85" s="248" t="str">
        <f t="shared" si="229"/>
        <v>2001q2</v>
      </c>
      <c r="AB85" s="248" t="str">
        <f t="shared" si="229"/>
        <v>2001q3</v>
      </c>
      <c r="AC85" s="248" t="str">
        <f t="shared" si="229"/>
        <v>2001q4</v>
      </c>
      <c r="AD85" s="248" t="str">
        <f t="shared" si="229"/>
        <v>2002q1</v>
      </c>
      <c r="AE85" s="248" t="str">
        <f t="shared" si="229"/>
        <v>2002q2</v>
      </c>
      <c r="AF85" s="248" t="str">
        <f t="shared" si="229"/>
        <v>2002q3</v>
      </c>
      <c r="AG85" s="248" t="str">
        <f t="shared" si="229"/>
        <v>2002q4</v>
      </c>
      <c r="AH85" s="248" t="str">
        <f t="shared" si="229"/>
        <v>2003q1</v>
      </c>
      <c r="AI85" s="248" t="str">
        <f t="shared" si="229"/>
        <v>2003q2</v>
      </c>
      <c r="AJ85" s="248" t="str">
        <f t="shared" si="229"/>
        <v>2003q3</v>
      </c>
      <c r="AK85" s="248" t="str">
        <f t="shared" si="229"/>
        <v>2003q4</v>
      </c>
      <c r="AL85" s="248" t="str">
        <f t="shared" si="229"/>
        <v>2004q1</v>
      </c>
      <c r="AM85" s="248" t="str">
        <f t="shared" si="229"/>
        <v>2004q2</v>
      </c>
      <c r="AN85" s="248" t="str">
        <f t="shared" si="229"/>
        <v>2004q3</v>
      </c>
      <c r="AO85" s="248" t="str">
        <f t="shared" si="229"/>
        <v>2004q4</v>
      </c>
      <c r="AP85" s="248" t="str">
        <f t="shared" si="229"/>
        <v>2005q1</v>
      </c>
      <c r="AQ85" s="248" t="str">
        <f t="shared" si="229"/>
        <v>2005q2</v>
      </c>
      <c r="AR85" s="248" t="str">
        <f t="shared" si="229"/>
        <v>2005q3</v>
      </c>
      <c r="AS85" s="248" t="str">
        <f t="shared" si="229"/>
        <v>2005q4</v>
      </c>
      <c r="AT85" s="248" t="str">
        <f t="shared" si="229"/>
        <v>2006q1</v>
      </c>
      <c r="AU85" s="248" t="str">
        <f t="shared" si="229"/>
        <v>2006q2</v>
      </c>
      <c r="AV85" s="248" t="str">
        <f t="shared" si="229"/>
        <v>2006q3</v>
      </c>
      <c r="AW85" s="248" t="str">
        <f t="shared" si="229"/>
        <v>2006q4</v>
      </c>
      <c r="AX85" s="248" t="str">
        <f t="shared" si="229"/>
        <v>2007q1</v>
      </c>
      <c r="AY85" s="248" t="str">
        <f t="shared" si="229"/>
        <v>2007q2</v>
      </c>
      <c r="AZ85" s="248" t="str">
        <f t="shared" si="229"/>
        <v>2007q3</v>
      </c>
      <c r="BA85" s="248" t="str">
        <f t="shared" si="229"/>
        <v>2007q4</v>
      </c>
      <c r="BB85" s="248" t="str">
        <f t="shared" si="229"/>
        <v>2008q1</v>
      </c>
      <c r="BC85" s="248" t="str">
        <f t="shared" si="229"/>
        <v>2008q2</v>
      </c>
      <c r="BD85" s="248" t="str">
        <f t="shared" si="229"/>
        <v>2008q3</v>
      </c>
      <c r="BE85" s="248" t="str">
        <f t="shared" si="229"/>
        <v>2008q4</v>
      </c>
      <c r="BF85" s="248" t="str">
        <f t="shared" si="229"/>
        <v>2009q1</v>
      </c>
      <c r="BG85" s="248" t="str">
        <f t="shared" si="229"/>
        <v>2009q2</v>
      </c>
      <c r="BH85" s="248" t="str">
        <f t="shared" si="229"/>
        <v>2009q3</v>
      </c>
      <c r="BI85" s="248" t="str">
        <f>BI65</f>
        <v>2009q4</v>
      </c>
      <c r="BJ85" s="248" t="str">
        <f t="shared" ref="BJ85:BQ85" si="230">BJ65</f>
        <v>2010q1</v>
      </c>
      <c r="BK85" s="248" t="str">
        <f t="shared" si="230"/>
        <v>2010q2</v>
      </c>
      <c r="BL85" s="248" t="str">
        <f t="shared" si="230"/>
        <v>2010q3</v>
      </c>
      <c r="BM85" s="248" t="str">
        <f t="shared" si="230"/>
        <v>2010q4</v>
      </c>
      <c r="BN85" s="248" t="str">
        <f t="shared" si="230"/>
        <v>2011q1</v>
      </c>
      <c r="BO85" s="248" t="str">
        <f t="shared" si="230"/>
        <v>2011q2</v>
      </c>
      <c r="BP85" s="248" t="str">
        <f t="shared" si="230"/>
        <v>2011q3</v>
      </c>
      <c r="BQ85" s="248" t="str">
        <f t="shared" si="230"/>
        <v>2011q4</v>
      </c>
      <c r="BR85" s="248" t="str">
        <f t="shared" ref="BR85:BX85" si="231">BR65</f>
        <v>2012q1</v>
      </c>
      <c r="BS85" s="248" t="str">
        <f t="shared" si="231"/>
        <v>2012q2</v>
      </c>
      <c r="BT85" s="248" t="str">
        <f t="shared" si="231"/>
        <v>2012q3</v>
      </c>
      <c r="BU85" s="248" t="str">
        <f t="shared" si="231"/>
        <v>2012q4</v>
      </c>
      <c r="BV85" s="248" t="str">
        <f t="shared" si="231"/>
        <v>2013q1</v>
      </c>
      <c r="BW85" s="248" t="str">
        <f t="shared" si="231"/>
        <v>2013q2</v>
      </c>
      <c r="BX85" s="248" t="str">
        <f t="shared" si="231"/>
        <v>2013q3</v>
      </c>
      <c r="BY85" s="248" t="str">
        <f t="shared" ref="BY85" si="232">BY65</f>
        <v>2013q4</v>
      </c>
    </row>
    <row r="86" spans="1:77" ht="13.5" thickTop="1">
      <c r="A86" s="2" t="s">
        <v>0</v>
      </c>
      <c r="B86" s="251"/>
      <c r="C86" s="154"/>
      <c r="D86" s="154"/>
      <c r="E86" s="154"/>
      <c r="F86" s="154">
        <f>(F6-B6)/B6*100</f>
        <v>0.68171903710655679</v>
      </c>
      <c r="G86" s="154">
        <f t="shared" ref="G86:G101" si="233">(G6-C6)/C6*100</f>
        <v>14.649843627520331</v>
      </c>
      <c r="H86" s="154">
        <f t="shared" ref="H86:H101" si="234">(H6-D6)/D6*100</f>
        <v>2.2683140960698767</v>
      </c>
      <c r="I86" s="154">
        <f t="shared" ref="I86:I101" si="235">(I6-E6)/E6*100</f>
        <v>-0.55623836174262176</v>
      </c>
      <c r="J86" s="154">
        <f t="shared" ref="J86:J101" si="236">(J6-F6)/F6*100</f>
        <v>1.5783644749989119</v>
      </c>
      <c r="K86" s="154">
        <f t="shared" ref="K86:K101" si="237">(K6-G6)/G6*100</f>
        <v>0.87249522643712618</v>
      </c>
      <c r="L86" s="154">
        <f t="shared" ref="L86:L101" si="238">(L6-H6)/H6*100</f>
        <v>1.7442458097277211</v>
      </c>
      <c r="M86" s="154">
        <f t="shared" ref="M86:M101" si="239">(M6-I6)/I6*100</f>
        <v>1.9161673181213323</v>
      </c>
      <c r="N86" s="154">
        <f t="shared" ref="N86:N101" si="240">(N6-J6)/J6*100</f>
        <v>1.2446547898221132</v>
      </c>
      <c r="O86" s="154">
        <f t="shared" ref="O86:O101" si="241">(O6-K6)/K6*100</f>
        <v>-0.88350914674856917</v>
      </c>
      <c r="P86" s="154">
        <f t="shared" ref="P86:P101" si="242">(P6-L6)/L6*100</f>
        <v>-1.9426724013509225</v>
      </c>
      <c r="Q86" s="154">
        <f t="shared" ref="Q86:Q101" si="243">(Q6-M6)/M6*100</f>
        <v>-3.8929704437102974</v>
      </c>
      <c r="R86" s="154">
        <f t="shared" ref="R86:R101" si="244">(R6-N6)/N6*100</f>
        <v>1.8384289092952491E-2</v>
      </c>
      <c r="S86" s="154">
        <f t="shared" ref="S86:S101" si="245">(S6-O6)/O6*100</f>
        <v>2.1172236911131272</v>
      </c>
      <c r="T86" s="154">
        <f t="shared" ref="T86:T101" si="246">(T6-P6)/P6*100</f>
        <v>0.8278481012658262</v>
      </c>
      <c r="U86" s="154">
        <f t="shared" ref="U86:U101" si="247">(U6-Q6)/Q6*100</f>
        <v>-1.8228961507555046</v>
      </c>
      <c r="V86" s="154">
        <f t="shared" ref="V86:V101" si="248">(V6-R6)/R6*100</f>
        <v>-4.003974871764437</v>
      </c>
      <c r="W86" s="154">
        <f t="shared" ref="W86:W101" si="249">(W6-S6)/S6*100</f>
        <v>-5.1579473962505524</v>
      </c>
      <c r="X86" s="154">
        <f t="shared" ref="X86:X101" si="250">(X6-T6)/T6*100</f>
        <v>8.6270795609616169</v>
      </c>
      <c r="Y86" s="154">
        <f t="shared" ref="Y86:Y101" si="251">(Y6-U6)/U6*100</f>
        <v>2.388659135111598</v>
      </c>
      <c r="Z86" s="154">
        <f t="shared" ref="Z86:Z101" si="252">(Z6-V6)/V6*100</f>
        <v>1.5454685072272236</v>
      </c>
      <c r="AA86" s="154">
        <f t="shared" ref="AA86:AA101" si="253">(AA6-W6)/W6*100</f>
        <v>5.1078450192098623</v>
      </c>
      <c r="AB86" s="154">
        <f t="shared" ref="AB86:AB101" si="254">(AB6-X6)/X6*100</f>
        <v>-6.4666277841536628</v>
      </c>
      <c r="AC86" s="154">
        <f t="shared" ref="AC86:AC101" si="255">(AC6-Y6)/Y6*100</f>
        <v>-3.7291926885617959</v>
      </c>
      <c r="AD86" s="154">
        <f t="shared" ref="AD86:AD101" si="256">(AD6-Z6)/Z6*100</f>
        <v>1.4896692151942514</v>
      </c>
      <c r="AE86" s="154">
        <f t="shared" ref="AE86:AE101" si="257">(AE6-AA6)/AA6*100</f>
        <v>3.316683041688532</v>
      </c>
      <c r="AF86" s="154">
        <f t="shared" ref="AF86:AF101" si="258">(AF6-AB6)/AB6*100</f>
        <v>-0.67505514348802675</v>
      </c>
      <c r="AG86" s="154">
        <f t="shared" ref="AG86:AG101" si="259">(AG6-AC6)/AC6*100</f>
        <v>5.7767564129743532</v>
      </c>
      <c r="AH86" s="154">
        <f t="shared" ref="AH86:AH101" si="260">(AH6-AD6)/AD6*100</f>
        <v>0.5017724605752556</v>
      </c>
      <c r="AI86" s="154">
        <f t="shared" ref="AI86:AI101" si="261">(AI6-AE6)/AE6*100</f>
        <v>6.0838956607282926</v>
      </c>
      <c r="AJ86" s="154">
        <f t="shared" ref="AJ86:AJ101" si="262">(AJ6-AF6)/AF6*100</f>
        <v>4.3621908740583102</v>
      </c>
      <c r="AK86" s="154">
        <f t="shared" ref="AK86:AK101" si="263">(AK6-AG6)/AG6*100</f>
        <v>-1.2799706006001141</v>
      </c>
      <c r="AL86" s="154">
        <f t="shared" ref="AL86:AL101" si="264">(AL6-AH6)/AH6*100</f>
        <v>4.0998264953144741</v>
      </c>
      <c r="AM86" s="154">
        <f t="shared" ref="AM86:AM101" si="265">(AM6-AI6)/AI6*100</f>
        <v>-2.6950662899369702</v>
      </c>
      <c r="AN86" s="154">
        <f t="shared" ref="AN86:AN101" si="266">(AN6-AJ6)/AJ6*100</f>
        <v>4.3301083913176059</v>
      </c>
      <c r="AO86" s="154">
        <f t="shared" ref="AO86:AO101" si="267">(AO6-AK6)/AK6*100</f>
        <v>0.47760024635245951</v>
      </c>
      <c r="AP86" s="154">
        <f t="shared" ref="AP86:AP101" si="268">(AP6-AL6)/AL6*100</f>
        <v>6.2985219393699481</v>
      </c>
      <c r="AQ86" s="154">
        <f t="shared" ref="AQ86:AQ101" si="269">(AQ6-AM6)/AM6*100</f>
        <v>-0.96083686992778261</v>
      </c>
      <c r="AR86" s="154">
        <f t="shared" ref="AR86:AR101" si="270">(AR6-AN6)/AN6*100</f>
        <v>1.3725255745981211</v>
      </c>
      <c r="AS86" s="154">
        <f t="shared" ref="AS86:AS101" si="271">(AS6-AO6)/AO6*100</f>
        <v>-0.23758421243370731</v>
      </c>
      <c r="AT86" s="154">
        <f t="shared" ref="AT86:AT101" si="272">(AT6-AP6)/AP6*100</f>
        <v>-4.5346307790475002</v>
      </c>
      <c r="AU86" s="154">
        <f t="shared" ref="AU86:AU101" si="273">(AU6-AQ6)/AQ6*100</f>
        <v>-4.4539835638133294</v>
      </c>
      <c r="AV86" s="154">
        <f t="shared" ref="AV86:AV101" si="274">(AV6-AR6)/AR6*100</f>
        <v>-3.203015342758027</v>
      </c>
      <c r="AW86" s="154">
        <f t="shared" ref="AW86:AW101" si="275">(AW6-AS6)/AS6*100</f>
        <v>6.1312044901437792</v>
      </c>
      <c r="AX86" s="154">
        <f t="shared" ref="AX86:AX101" si="276">(AX6-AT6)/AT6*100</f>
        <v>2.3915259360981578</v>
      </c>
      <c r="AY86" s="154">
        <f t="shared" ref="AY86:AY101" si="277">(AY6-AU6)/AU6*100</f>
        <v>1.2478870764481718</v>
      </c>
      <c r="AZ86" s="154">
        <f t="shared" ref="AZ86:AZ101" si="278">(AZ6-AV6)/AV6*100</f>
        <v>0.91715171184051003</v>
      </c>
      <c r="BA86" s="154">
        <f t="shared" ref="BA86:BA101" si="279">(BA6-AW6)/AW6*100</f>
        <v>-2.1014506250398783</v>
      </c>
      <c r="BB86" s="154">
        <f t="shared" ref="BB86:BB101" si="280">(BB6-AX6)/AX6*100</f>
        <v>-2.7617738091034534</v>
      </c>
      <c r="BC86" s="154">
        <f t="shared" ref="BC86:BC101" si="281">(BC6-AY6)/AY6*100</f>
        <v>2.8771314039257327</v>
      </c>
      <c r="BD86" s="154">
        <f t="shared" ref="BD86:BD101" si="282">(BD6-AZ6)/AZ6*100</f>
        <v>0.19256337499077475</v>
      </c>
      <c r="BE86" s="154">
        <f t="shared" ref="BE86:BE101" si="283">(BE6-BA6)/BA6*100</f>
        <v>-1.0897008246713433</v>
      </c>
      <c r="BF86" s="154">
        <f t="shared" ref="BF86:BF101" si="284">(BF6-BB6)/BB6*100</f>
        <v>-5.2863779180002304</v>
      </c>
      <c r="BG86" s="154">
        <f t="shared" ref="BG86:BG101" si="285">(BG6-BC6)/BC6*100</f>
        <v>-5.6055421957653593</v>
      </c>
      <c r="BH86" s="154">
        <f t="shared" ref="BH86:BH101" si="286">(BH6-BD6)/BD6*100</f>
        <v>-3.8192352091984851</v>
      </c>
      <c r="BI86" s="154">
        <f t="shared" ref="BI86:BI101" si="287">(BI6-BE6)/BE6*100</f>
        <v>-2.0267753830950128</v>
      </c>
      <c r="BJ86" s="154">
        <f t="shared" ref="BJ86:BJ101" si="288">(BJ6-BF6)/BF6*100</f>
        <v>7.3809829190146896</v>
      </c>
      <c r="BK86" s="154">
        <f t="shared" ref="BK86:BK101" si="289">(BK6-BG6)/BG6*100</f>
        <v>0.73544014201399233</v>
      </c>
      <c r="BL86" s="154">
        <f t="shared" ref="BL86:BL101" si="290">(BL6-BH6)/BH6*100</f>
        <v>3.7622050196035213</v>
      </c>
      <c r="BM86" s="154">
        <f t="shared" ref="BM86:BM101" si="291">(BM6-BI6)/BI6*100</f>
        <v>5.0458392269512862</v>
      </c>
      <c r="BN86" s="154">
        <f t="shared" ref="BN86:BN101" si="292">(BN6-BJ6)/BJ6*100</f>
        <v>0.67847404486937468</v>
      </c>
      <c r="BO86" s="154">
        <f t="shared" ref="BO86:BO101" si="293">(BO6-BK6)/BK6*100</f>
        <v>5.3153664717265183</v>
      </c>
      <c r="BP86" s="154">
        <f t="shared" ref="BP86:BP101" si="294">(BP6-BL6)/BL6*100</f>
        <v>-2.2343606681292125</v>
      </c>
      <c r="BQ86" s="154">
        <f t="shared" ref="BQ86:BQ101" si="295">(BQ6-BM6)/BM6*100</f>
        <v>-3.4432589822731923</v>
      </c>
      <c r="BR86" s="154">
        <f t="shared" ref="BR86:BR101" si="296">(BR6-BN6)/BN6*100</f>
        <v>-5.6410025488717626</v>
      </c>
      <c r="BS86" s="154">
        <f t="shared" ref="BS86:BS101" si="297">(BS6-BO6)/BO6*100</f>
        <v>1.3938291999410481</v>
      </c>
      <c r="BT86" s="154">
        <f t="shared" ref="BT86:BT101" si="298">(BT6-BP6)/BP6*100</f>
        <v>-1.3984326217484642</v>
      </c>
      <c r="BU86" s="154">
        <f t="shared" ref="BU86:BU101" si="299">(BU6-BQ6)/BQ6*100</f>
        <v>-2.8885415965595524</v>
      </c>
      <c r="BV86" s="154">
        <f t="shared" ref="BV86:BV101" si="300">(BV6-BR6)/BR6*100</f>
        <v>3.8941997375654895</v>
      </c>
      <c r="BW86" s="154">
        <f t="shared" ref="BW86:BW101" si="301">(BW6-BS6)/BS6*100</f>
        <v>0.79206556173904519</v>
      </c>
      <c r="BX86" s="154">
        <f t="shared" ref="BX86:BX101" si="302">(BX6-BT6)/BT6*100</f>
        <v>0.84692703572155059</v>
      </c>
      <c r="BY86" s="154">
        <f t="shared" ref="BY86:BY101" si="303">(BY6-BU6)/BU6*100</f>
        <v>6.9195607671711805</v>
      </c>
    </row>
    <row r="87" spans="1:77">
      <c r="A87" s="3" t="s">
        <v>1</v>
      </c>
      <c r="B87" s="252"/>
      <c r="C87" s="156"/>
      <c r="D87" s="156"/>
      <c r="E87" s="156"/>
      <c r="F87" s="156">
        <f>(F7-B7)/B7*100</f>
        <v>9.7983050512633092</v>
      </c>
      <c r="G87" s="156">
        <f t="shared" si="233"/>
        <v>68.353539006147344</v>
      </c>
      <c r="H87" s="156">
        <f t="shared" si="234"/>
        <v>12.425202839756597</v>
      </c>
      <c r="I87" s="156">
        <f t="shared" si="235"/>
        <v>-2.7376619117888223</v>
      </c>
      <c r="J87" s="156">
        <f t="shared" si="236"/>
        <v>10.415969485975412</v>
      </c>
      <c r="K87" s="156">
        <f t="shared" si="237"/>
        <v>-1.9793089860240434</v>
      </c>
      <c r="L87" s="156">
        <f t="shared" si="238"/>
        <v>-0.71153911209842424</v>
      </c>
      <c r="M87" s="156">
        <f t="shared" si="239"/>
        <v>0.4040775248945177</v>
      </c>
      <c r="N87" s="156">
        <f t="shared" si="240"/>
        <v>-3.2105106215873112</v>
      </c>
      <c r="O87" s="156">
        <f t="shared" si="241"/>
        <v>-3.4428700881456482</v>
      </c>
      <c r="P87" s="156">
        <f t="shared" si="242"/>
        <v>-3.4525837592277111</v>
      </c>
      <c r="Q87" s="156">
        <f t="shared" si="243"/>
        <v>-13.96910678307589</v>
      </c>
      <c r="R87" s="156">
        <f t="shared" si="244"/>
        <v>9.7299663299663308</v>
      </c>
      <c r="S87" s="156">
        <f t="shared" si="245"/>
        <v>10.52711057949487</v>
      </c>
      <c r="T87" s="156">
        <f t="shared" si="246"/>
        <v>6.5900482296200362</v>
      </c>
      <c r="U87" s="156">
        <f t="shared" si="247"/>
        <v>-8.4373536299765792</v>
      </c>
      <c r="V87" s="156">
        <f t="shared" si="248"/>
        <v>-15.048266635573096</v>
      </c>
      <c r="W87" s="156">
        <f t="shared" si="249"/>
        <v>-14.310040324323648</v>
      </c>
      <c r="X87" s="156">
        <f t="shared" si="250"/>
        <v>36.583153261922803</v>
      </c>
      <c r="Y87" s="156">
        <f t="shared" si="251"/>
        <v>23.050001385434189</v>
      </c>
      <c r="Z87" s="156">
        <f t="shared" si="252"/>
        <v>11.124555725720239</v>
      </c>
      <c r="AA87" s="156">
        <f t="shared" si="253"/>
        <v>15.593229499779305</v>
      </c>
      <c r="AB87" s="156">
        <f t="shared" si="254"/>
        <v>-20.523266618724794</v>
      </c>
      <c r="AC87" s="156">
        <f t="shared" si="255"/>
        <v>-16.542239005040617</v>
      </c>
      <c r="AD87" s="156">
        <f t="shared" si="256"/>
        <v>9.3757618111195917</v>
      </c>
      <c r="AE87" s="156">
        <f t="shared" si="257"/>
        <v>9.8415538508056279</v>
      </c>
      <c r="AF87" s="156">
        <f t="shared" si="258"/>
        <v>-5.8470209798172519</v>
      </c>
      <c r="AG87" s="156">
        <f t="shared" si="259"/>
        <v>19.134098503559485</v>
      </c>
      <c r="AH87" s="156">
        <f t="shared" si="260"/>
        <v>-8.157503714710252</v>
      </c>
      <c r="AI87" s="156">
        <f t="shared" si="261"/>
        <v>10.606598084427102</v>
      </c>
      <c r="AJ87" s="156">
        <f t="shared" si="262"/>
        <v>5.0858438613540651</v>
      </c>
      <c r="AK87" s="156">
        <f t="shared" si="263"/>
        <v>-20.435540069686411</v>
      </c>
      <c r="AL87" s="156">
        <f t="shared" si="264"/>
        <v>0.58243002750364015</v>
      </c>
      <c r="AM87" s="156">
        <f t="shared" si="265"/>
        <v>-9.2687620269403475</v>
      </c>
      <c r="AN87" s="156">
        <f t="shared" si="266"/>
        <v>9.88491574188245</v>
      </c>
      <c r="AO87" s="156">
        <f t="shared" si="267"/>
        <v>16.575432450186117</v>
      </c>
      <c r="AP87" s="156">
        <f t="shared" si="268"/>
        <v>15.229210230014479</v>
      </c>
      <c r="AQ87" s="156">
        <f t="shared" si="269"/>
        <v>-7.2053729232944548</v>
      </c>
      <c r="AR87" s="156">
        <f t="shared" si="270"/>
        <v>9.5548905928558003</v>
      </c>
      <c r="AS87" s="156">
        <f t="shared" si="271"/>
        <v>1.3673929376408749</v>
      </c>
      <c r="AT87" s="156">
        <f t="shared" si="272"/>
        <v>-1.0964851056701777</v>
      </c>
      <c r="AU87" s="156">
        <f t="shared" si="273"/>
        <v>-8.6745188864678617</v>
      </c>
      <c r="AV87" s="156">
        <f t="shared" si="274"/>
        <v>-9.5981495075026881</v>
      </c>
      <c r="AW87" s="156">
        <f t="shared" si="275"/>
        <v>5.5301289653127741</v>
      </c>
      <c r="AX87" s="156">
        <f t="shared" si="276"/>
        <v>3.2461804452912739</v>
      </c>
      <c r="AY87" s="156">
        <f t="shared" si="277"/>
        <v>3.0620161505605918</v>
      </c>
      <c r="AZ87" s="156">
        <f t="shared" si="278"/>
        <v>2.0578210417984644</v>
      </c>
      <c r="BA87" s="156">
        <f t="shared" si="279"/>
        <v>2.2299284491462181</v>
      </c>
      <c r="BB87" s="156">
        <f t="shared" si="280"/>
        <v>18.974061036875021</v>
      </c>
      <c r="BC87" s="156">
        <f t="shared" si="281"/>
        <v>16.569196835097234</v>
      </c>
      <c r="BD87" s="156">
        <f t="shared" si="282"/>
        <v>15.172190485001272</v>
      </c>
      <c r="BE87" s="156">
        <f t="shared" si="283"/>
        <v>13.176005839666802</v>
      </c>
      <c r="BF87" s="156">
        <f t="shared" si="284"/>
        <v>-1.9283026455634473</v>
      </c>
      <c r="BG87" s="156">
        <f t="shared" si="285"/>
        <v>-3.506147035847583</v>
      </c>
      <c r="BH87" s="156">
        <f t="shared" si="286"/>
        <v>-2.686659838946114</v>
      </c>
      <c r="BI87" s="156">
        <f t="shared" si="287"/>
        <v>4.8293241104260014</v>
      </c>
      <c r="BJ87" s="156">
        <f t="shared" si="288"/>
        <v>1.7659108948880811</v>
      </c>
      <c r="BK87" s="156">
        <f t="shared" si="289"/>
        <v>2.49599876111095</v>
      </c>
      <c r="BL87" s="156">
        <f t="shared" si="290"/>
        <v>-1.693262139860392</v>
      </c>
      <c r="BM87" s="156">
        <f t="shared" si="291"/>
        <v>-1.9208516748115505</v>
      </c>
      <c r="BN87" s="156">
        <f t="shared" si="292"/>
        <v>-1.8579341165185532</v>
      </c>
      <c r="BO87" s="156">
        <f t="shared" si="293"/>
        <v>-0.56125134476707195</v>
      </c>
      <c r="BP87" s="156">
        <f t="shared" si="294"/>
        <v>0.94703066741025421</v>
      </c>
      <c r="BQ87" s="156">
        <f t="shared" si="295"/>
        <v>1.4979494985038908</v>
      </c>
      <c r="BR87" s="156">
        <f t="shared" si="296"/>
        <v>5.3178326218771739</v>
      </c>
      <c r="BS87" s="156">
        <f t="shared" si="297"/>
        <v>6.1987753784746751</v>
      </c>
      <c r="BT87" s="156">
        <f t="shared" si="298"/>
        <v>-2.7520051264161665</v>
      </c>
      <c r="BU87" s="156">
        <f t="shared" si="299"/>
        <v>-2.237082036811914</v>
      </c>
      <c r="BV87" s="156">
        <f t="shared" si="300"/>
        <v>4.866250699061939</v>
      </c>
      <c r="BW87" s="156">
        <f t="shared" si="301"/>
        <v>6.7687508559833756</v>
      </c>
      <c r="BX87" s="156">
        <f t="shared" si="302"/>
        <v>-2.9472160126230986</v>
      </c>
      <c r="BY87" s="156">
        <f t="shared" si="303"/>
        <v>-1.929645484428463</v>
      </c>
    </row>
    <row r="88" spans="1:77">
      <c r="A88" s="170" t="s">
        <v>2</v>
      </c>
      <c r="B88" s="253"/>
      <c r="C88" s="157"/>
      <c r="D88" s="157"/>
      <c r="E88" s="157"/>
      <c r="F88" s="157">
        <f>(F8-B8)/B8*100</f>
        <v>-1.1498331130663981</v>
      </c>
      <c r="G88" s="157">
        <f t="shared" si="233"/>
        <v>-1.1382074830747559</v>
      </c>
      <c r="H88" s="157">
        <f t="shared" si="234"/>
        <v>-0.88518843465038788</v>
      </c>
      <c r="I88" s="157">
        <f t="shared" si="235"/>
        <v>-2.780297698390128E-2</v>
      </c>
      <c r="J88" s="157">
        <f t="shared" si="236"/>
        <v>-0.39378519595710965</v>
      </c>
      <c r="K88" s="157">
        <f t="shared" si="237"/>
        <v>2.3001980838420177</v>
      </c>
      <c r="L88" s="157">
        <f t="shared" si="238"/>
        <v>2.6091100432866052</v>
      </c>
      <c r="M88" s="157">
        <f t="shared" si="239"/>
        <v>2.2725322365849085</v>
      </c>
      <c r="N88" s="157">
        <f t="shared" si="240"/>
        <v>2.3467384688559227</v>
      </c>
      <c r="O88" s="157">
        <f t="shared" si="241"/>
        <v>0.34418714929265209</v>
      </c>
      <c r="P88" s="157">
        <f t="shared" si="242"/>
        <v>-1.4281291121603839</v>
      </c>
      <c r="Q88" s="157">
        <f t="shared" si="243"/>
        <v>-1.561640515015057</v>
      </c>
      <c r="R88" s="157">
        <f t="shared" si="244"/>
        <v>-2.2535455336712356</v>
      </c>
      <c r="S88" s="157">
        <f t="shared" si="245"/>
        <v>-1.7646526024786204</v>
      </c>
      <c r="T88" s="157">
        <f t="shared" si="246"/>
        <v>-1.0954493698221368</v>
      </c>
      <c r="U88" s="157">
        <f t="shared" si="247"/>
        <v>-0.48539551447188967</v>
      </c>
      <c r="V88" s="157">
        <f t="shared" si="248"/>
        <v>-1.103513854360995</v>
      </c>
      <c r="W88" s="157">
        <f t="shared" si="249"/>
        <v>-0.4048907596712768</v>
      </c>
      <c r="X88" s="157">
        <f t="shared" si="250"/>
        <v>-1.4291385470424771</v>
      </c>
      <c r="Y88" s="157">
        <f t="shared" si="251"/>
        <v>-1.4553978322697656</v>
      </c>
      <c r="Z88" s="157">
        <f t="shared" si="252"/>
        <v>-0.61548126666834946</v>
      </c>
      <c r="AA88" s="157">
        <f t="shared" si="253"/>
        <v>0.42263725648043793</v>
      </c>
      <c r="AB88" s="157">
        <f t="shared" si="254"/>
        <v>0.5396697543294402</v>
      </c>
      <c r="AC88" s="157">
        <f t="shared" si="255"/>
        <v>-0.752510548226067</v>
      </c>
      <c r="AD88" s="157">
        <f t="shared" si="256"/>
        <v>-0.49950909959232587</v>
      </c>
      <c r="AE88" s="157">
        <f t="shared" si="257"/>
        <v>-3.9280131468192203E-2</v>
      </c>
      <c r="AF88" s="157">
        <f t="shared" si="258"/>
        <v>1.3627623778240696</v>
      </c>
      <c r="AG88" s="157">
        <f t="shared" si="259"/>
        <v>3.1673164214627887</v>
      </c>
      <c r="AH88" s="157">
        <f t="shared" si="260"/>
        <v>2.9027566629999111</v>
      </c>
      <c r="AI88" s="157">
        <f t="shared" si="261"/>
        <v>3.5277795598896491</v>
      </c>
      <c r="AJ88" s="157">
        <f t="shared" si="262"/>
        <v>4.0973435239999656</v>
      </c>
      <c r="AK88" s="157">
        <f t="shared" si="263"/>
        <v>3.0413479477336915</v>
      </c>
      <c r="AL88" s="157">
        <f t="shared" si="264"/>
        <v>4.9702802536448019</v>
      </c>
      <c r="AM88" s="157">
        <f t="shared" si="265"/>
        <v>1.2742553933150005</v>
      </c>
      <c r="AN88" s="157">
        <f t="shared" si="266"/>
        <v>2.2778178504992219</v>
      </c>
      <c r="AO88" s="157">
        <f t="shared" si="267"/>
        <v>-2.3265171926634105</v>
      </c>
      <c r="AP88" s="157">
        <f t="shared" si="268"/>
        <v>4.1808188016890675</v>
      </c>
      <c r="AQ88" s="157">
        <f t="shared" si="269"/>
        <v>2.4172020804650427</v>
      </c>
      <c r="AR88" s="157">
        <f t="shared" si="270"/>
        <v>-1.875394380312535</v>
      </c>
      <c r="AS88" s="157">
        <f t="shared" si="271"/>
        <v>-0.5712625531128801</v>
      </c>
      <c r="AT88" s="157">
        <f t="shared" si="272"/>
        <v>-5.4363664321122398</v>
      </c>
      <c r="AU88" s="157">
        <f t="shared" si="273"/>
        <v>-2.3853577569870081</v>
      </c>
      <c r="AV88" s="157">
        <f t="shared" si="274"/>
        <v>-0.36881873977473689</v>
      </c>
      <c r="AW88" s="157">
        <f t="shared" si="275"/>
        <v>6.2586059956248263</v>
      </c>
      <c r="AX88" s="157">
        <f t="shared" si="276"/>
        <v>2.157085170716976</v>
      </c>
      <c r="AY88" s="157">
        <f t="shared" si="277"/>
        <v>0.41600918089226802</v>
      </c>
      <c r="AZ88" s="157">
        <f t="shared" si="278"/>
        <v>0.45845870549486012</v>
      </c>
      <c r="BA88" s="157">
        <f t="shared" si="279"/>
        <v>-3.0132180343634816</v>
      </c>
      <c r="BB88" s="157">
        <f t="shared" si="280"/>
        <v>-8.7877077864935256</v>
      </c>
      <c r="BC88" s="157">
        <f t="shared" si="281"/>
        <v>-3.5668761904761919</v>
      </c>
      <c r="BD88" s="157">
        <f t="shared" si="282"/>
        <v>-5.9270380588835581</v>
      </c>
      <c r="BE88" s="157">
        <f t="shared" si="283"/>
        <v>-4.255013868023978</v>
      </c>
      <c r="BF88" s="157">
        <f t="shared" si="284"/>
        <v>-6.5007097688415953</v>
      </c>
      <c r="BG88" s="157">
        <f t="shared" si="285"/>
        <v>-6.7999120634107388</v>
      </c>
      <c r="BH88" s="157">
        <f t="shared" si="286"/>
        <v>-4.3856988726541681</v>
      </c>
      <c r="BI88" s="157">
        <f t="shared" si="287"/>
        <v>-3.8249787700415832</v>
      </c>
      <c r="BJ88" s="157">
        <f t="shared" si="288"/>
        <v>9.5107772591929969</v>
      </c>
      <c r="BK88" s="157">
        <f t="shared" si="289"/>
        <v>-0.30155915556822782</v>
      </c>
      <c r="BL88" s="157">
        <f t="shared" si="290"/>
        <v>6.5392723793150145</v>
      </c>
      <c r="BM88" s="157">
        <f t="shared" si="291"/>
        <v>7.0374695827899156</v>
      </c>
      <c r="BN88" s="157">
        <f t="shared" si="292"/>
        <v>1.5724934430576085</v>
      </c>
      <c r="BO88" s="157">
        <f t="shared" si="293"/>
        <v>8.8739237865893124</v>
      </c>
      <c r="BP88" s="157">
        <f t="shared" si="294"/>
        <v>-3.7286858695818901</v>
      </c>
      <c r="BQ88" s="157">
        <f t="shared" si="295"/>
        <v>-4.7376223859394111</v>
      </c>
      <c r="BR88" s="157">
        <f t="shared" si="296"/>
        <v>-9.3732572762878679</v>
      </c>
      <c r="BS88" s="157">
        <f t="shared" si="297"/>
        <v>-1.2636313148861675</v>
      </c>
      <c r="BT88" s="157">
        <f t="shared" si="298"/>
        <v>-0.73176985642398895</v>
      </c>
      <c r="BU88" s="157">
        <f t="shared" si="299"/>
        <v>-3.0703635672313214</v>
      </c>
      <c r="BV88" s="157">
        <f t="shared" si="300"/>
        <v>3.5094826661231044</v>
      </c>
      <c r="BW88" s="157">
        <f t="shared" si="301"/>
        <v>-2.7632736232584119</v>
      </c>
      <c r="BX88" s="157">
        <f t="shared" si="302"/>
        <v>2.677591506746658</v>
      </c>
      <c r="BY88" s="157">
        <f t="shared" si="303"/>
        <v>9.4106012668745205</v>
      </c>
    </row>
    <row r="89" spans="1:77">
      <c r="A89" s="2" t="s">
        <v>3</v>
      </c>
      <c r="B89" s="256"/>
      <c r="C89" s="155"/>
      <c r="D89" s="155"/>
      <c r="E89" s="155"/>
      <c r="F89" s="155">
        <f>(F9-B9)/B9*100</f>
        <v>2.201914379444033</v>
      </c>
      <c r="G89" s="155">
        <f t="shared" si="233"/>
        <v>1.8090178431476227</v>
      </c>
      <c r="H89" s="155">
        <f t="shared" si="234"/>
        <v>1.9478234129030132</v>
      </c>
      <c r="I89" s="155">
        <f t="shared" si="235"/>
        <v>3.7833217156376673</v>
      </c>
      <c r="J89" s="155">
        <f t="shared" si="236"/>
        <v>2.6866328246234756</v>
      </c>
      <c r="K89" s="155">
        <f t="shared" si="237"/>
        <v>4.4023930882097391</v>
      </c>
      <c r="L89" s="155">
        <f t="shared" si="238"/>
        <v>2.4750919744413489</v>
      </c>
      <c r="M89" s="155">
        <f t="shared" si="239"/>
        <v>2.144956383434212</v>
      </c>
      <c r="N89" s="155">
        <f t="shared" si="240"/>
        <v>0.59384623772805845</v>
      </c>
      <c r="O89" s="155">
        <f t="shared" si="241"/>
        <v>-1.1694949081157877</v>
      </c>
      <c r="P89" s="155">
        <f t="shared" si="242"/>
        <v>-2.6818527126814926</v>
      </c>
      <c r="Q89" s="155">
        <f t="shared" si="243"/>
        <v>-2.5154057415813473</v>
      </c>
      <c r="R89" s="155">
        <f t="shared" si="244"/>
        <v>-2.506624588849657</v>
      </c>
      <c r="S89" s="155">
        <f t="shared" si="245"/>
        <v>-1.2837466340904766</v>
      </c>
      <c r="T89" s="155">
        <f t="shared" si="246"/>
        <v>1.0972064014679697</v>
      </c>
      <c r="U89" s="155">
        <f t="shared" si="247"/>
        <v>3.7276602308729014</v>
      </c>
      <c r="V89" s="155">
        <f t="shared" si="248"/>
        <v>6.2026197026438012</v>
      </c>
      <c r="W89" s="155">
        <f t="shared" si="249"/>
        <v>7.1906120717507012</v>
      </c>
      <c r="X89" s="155">
        <f t="shared" si="250"/>
        <v>7.8749271554604778</v>
      </c>
      <c r="Y89" s="155">
        <f t="shared" si="251"/>
        <v>7.9415547775381974</v>
      </c>
      <c r="Z89" s="155">
        <f t="shared" si="252"/>
        <v>5.6736976026463752</v>
      </c>
      <c r="AA89" s="155">
        <f t="shared" si="253"/>
        <v>4.0206758367725692</v>
      </c>
      <c r="AB89" s="155">
        <f t="shared" si="254"/>
        <v>1.1513346201314381</v>
      </c>
      <c r="AC89" s="155">
        <f t="shared" si="255"/>
        <v>0.14832373603054311</v>
      </c>
      <c r="AD89" s="155">
        <f t="shared" si="256"/>
        <v>0.96422235717040627</v>
      </c>
      <c r="AE89" s="155">
        <f t="shared" si="257"/>
        <v>2.5392793573943617</v>
      </c>
      <c r="AF89" s="155">
        <f t="shared" si="258"/>
        <v>4.9056749492520417</v>
      </c>
      <c r="AG89" s="155">
        <f t="shared" si="259"/>
        <v>4.110940603434968</v>
      </c>
      <c r="AH89" s="155">
        <f t="shared" si="260"/>
        <v>2.692517123778408</v>
      </c>
      <c r="AI89" s="155">
        <f t="shared" si="261"/>
        <v>-0.1832135434108082</v>
      </c>
      <c r="AJ89" s="155">
        <f t="shared" si="262"/>
        <v>-0.97807258439309186</v>
      </c>
      <c r="AK89" s="155">
        <f t="shared" si="263"/>
        <v>-1.9205722328424717</v>
      </c>
      <c r="AL89" s="155">
        <f t="shared" si="264"/>
        <v>2.7857392032372768</v>
      </c>
      <c r="AM89" s="155">
        <f t="shared" si="265"/>
        <v>5.0678607572123795</v>
      </c>
      <c r="AN89" s="155">
        <f t="shared" si="266"/>
        <v>6.8000000000000007</v>
      </c>
      <c r="AO89" s="155">
        <f t="shared" si="267"/>
        <v>7.3612486948140612</v>
      </c>
      <c r="AP89" s="155">
        <f t="shared" si="268"/>
        <v>4.6871224277572869</v>
      </c>
      <c r="AQ89" s="155">
        <f t="shared" si="269"/>
        <v>7.5545662540276499</v>
      </c>
      <c r="AR89" s="155">
        <f t="shared" si="270"/>
        <v>7.2610486891385841</v>
      </c>
      <c r="AS89" s="155">
        <f t="shared" si="271"/>
        <v>7.3864415655665132</v>
      </c>
      <c r="AT89" s="155">
        <f t="shared" si="272"/>
        <v>6.9865394091863875</v>
      </c>
      <c r="AU89" s="155">
        <f t="shared" si="273"/>
        <v>5.8143315082911853</v>
      </c>
      <c r="AV89" s="155">
        <f t="shared" si="274"/>
        <v>5.9233368367511918</v>
      </c>
      <c r="AW89" s="155">
        <f t="shared" si="275"/>
        <v>7.6841799709724237</v>
      </c>
      <c r="AX89" s="155">
        <f t="shared" si="276"/>
        <v>7.6733663347135206</v>
      </c>
      <c r="AY89" s="155">
        <f t="shared" si="277"/>
        <v>6.345995993210729</v>
      </c>
      <c r="AZ89" s="155">
        <f t="shared" si="278"/>
        <v>4.6547340151991348</v>
      </c>
      <c r="BA89" s="155">
        <f t="shared" si="279"/>
        <v>6.4341783207357963</v>
      </c>
      <c r="BB89" s="155">
        <f t="shared" si="280"/>
        <v>3.2609215684619044</v>
      </c>
      <c r="BC89" s="155">
        <f t="shared" si="281"/>
        <v>6.1626724882736497</v>
      </c>
      <c r="BD89" s="155">
        <f t="shared" si="282"/>
        <v>4.9083438111112532</v>
      </c>
      <c r="BE89" s="155">
        <f t="shared" si="283"/>
        <v>-2.5385205690391817</v>
      </c>
      <c r="BF89" s="155">
        <f t="shared" si="284"/>
        <v>-6.6049515420423077</v>
      </c>
      <c r="BG89" s="155">
        <f t="shared" si="285"/>
        <v>-10.525013837529421</v>
      </c>
      <c r="BH89" s="155">
        <f t="shared" si="286"/>
        <v>-7.7615432992935922</v>
      </c>
      <c r="BI89" s="155">
        <f t="shared" si="287"/>
        <v>-2.5504417830065438</v>
      </c>
      <c r="BJ89" s="155">
        <f t="shared" si="288"/>
        <v>3.698537734364634</v>
      </c>
      <c r="BK89" s="155">
        <f t="shared" si="289"/>
        <v>7.023924745994889</v>
      </c>
      <c r="BL89" s="155">
        <f t="shared" si="290"/>
        <v>4.1613505618369118</v>
      </c>
      <c r="BM89" s="155">
        <f t="shared" si="291"/>
        <v>3.1115094862465713</v>
      </c>
      <c r="BN89" s="155">
        <f t="shared" si="292"/>
        <v>4.5225630566720003</v>
      </c>
      <c r="BO89" s="155">
        <f t="shared" si="293"/>
        <v>1.6900792362878263</v>
      </c>
      <c r="BP89" s="155">
        <f t="shared" si="294"/>
        <v>2.0027191719750075</v>
      </c>
      <c r="BQ89" s="155">
        <f t="shared" si="295"/>
        <v>2.5174417521465315</v>
      </c>
      <c r="BR89" s="155">
        <f t="shared" si="296"/>
        <v>0.64390945492361362</v>
      </c>
      <c r="BS89" s="155">
        <f t="shared" si="297"/>
        <v>1.5607594591776217</v>
      </c>
      <c r="BT89" s="155">
        <f t="shared" si="298"/>
        <v>1.9236454482816363</v>
      </c>
      <c r="BU89" s="155">
        <f t="shared" si="299"/>
        <v>2.8514112128827911</v>
      </c>
      <c r="BV89" s="155">
        <f t="shared" si="300"/>
        <v>-0.147070033757878</v>
      </c>
      <c r="BW89" s="155">
        <f t="shared" si="301"/>
        <v>2.2862749360794354</v>
      </c>
      <c r="BX89" s="155">
        <f t="shared" si="302"/>
        <v>0.16443084157817545</v>
      </c>
      <c r="BY89" s="155">
        <f t="shared" si="303"/>
        <v>1.5136192535917483</v>
      </c>
    </row>
    <row r="90" spans="1:77">
      <c r="A90" s="3" t="s">
        <v>4</v>
      </c>
      <c r="B90" s="252"/>
      <c r="C90" s="156"/>
      <c r="D90" s="156"/>
      <c r="E90" s="156"/>
      <c r="F90" s="156">
        <f t="shared" ref="F90:F101" si="304">(F10-B10)/B10*100</f>
        <v>2.2760208666797772</v>
      </c>
      <c r="G90" s="156">
        <f t="shared" si="233"/>
        <v>1.1750906576922049</v>
      </c>
      <c r="H90" s="156">
        <f t="shared" si="234"/>
        <v>0.44100949754155477</v>
      </c>
      <c r="I90" s="156">
        <f t="shared" si="235"/>
        <v>1.7705946159155879</v>
      </c>
      <c r="J90" s="156">
        <f t="shared" si="236"/>
        <v>1.6705152386187467</v>
      </c>
      <c r="K90" s="156">
        <f t="shared" si="237"/>
        <v>4.3076706002337639</v>
      </c>
      <c r="L90" s="156">
        <f t="shared" si="238"/>
        <v>2.8818723437287743</v>
      </c>
      <c r="M90" s="156">
        <f t="shared" si="239"/>
        <v>1.9673746259406977</v>
      </c>
      <c r="N90" s="156">
        <f t="shared" si="240"/>
        <v>1.9511312032074659</v>
      </c>
      <c r="O90" s="156">
        <f t="shared" si="241"/>
        <v>0.25511717591219218</v>
      </c>
      <c r="P90" s="156">
        <f t="shared" si="242"/>
        <v>-1.4637642886784623</v>
      </c>
      <c r="Q90" s="156">
        <f t="shared" si="243"/>
        <v>-1.3626515641035386</v>
      </c>
      <c r="R90" s="156">
        <f t="shared" si="244"/>
        <v>-2.1106813566579161</v>
      </c>
      <c r="S90" s="156">
        <f t="shared" si="245"/>
        <v>-1.2407780013413816</v>
      </c>
      <c r="T90" s="156">
        <f t="shared" si="246"/>
        <v>1.3017343696159884</v>
      </c>
      <c r="U90" s="156">
        <f t="shared" si="247"/>
        <v>4.2947149380551437</v>
      </c>
      <c r="V90" s="156">
        <f t="shared" si="248"/>
        <v>7.0672689748496778</v>
      </c>
      <c r="W90" s="156">
        <f t="shared" si="249"/>
        <v>8.0435433935883349</v>
      </c>
      <c r="X90" s="156">
        <f t="shared" si="250"/>
        <v>8.4715975660455793</v>
      </c>
      <c r="Y90" s="156">
        <f t="shared" si="251"/>
        <v>8.7197487530020332</v>
      </c>
      <c r="Z90" s="156">
        <f t="shared" si="252"/>
        <v>6.4205725417644359</v>
      </c>
      <c r="AA90" s="156">
        <f t="shared" si="253"/>
        <v>4.8356133993936261</v>
      </c>
      <c r="AB90" s="156">
        <f t="shared" si="254"/>
        <v>1.5992752739499312</v>
      </c>
      <c r="AC90" s="156">
        <f t="shared" si="255"/>
        <v>0.39932030586236195</v>
      </c>
      <c r="AD90" s="156">
        <f t="shared" si="256"/>
        <v>0.47368504369875797</v>
      </c>
      <c r="AE90" s="156">
        <f t="shared" si="257"/>
        <v>2.2771518778408844</v>
      </c>
      <c r="AF90" s="156">
        <f t="shared" si="258"/>
        <v>4.7504243899929719</v>
      </c>
      <c r="AG90" s="156">
        <f t="shared" si="259"/>
        <v>3.5653719218075626</v>
      </c>
      <c r="AH90" s="156">
        <f t="shared" si="260"/>
        <v>1.8835156571715039</v>
      </c>
      <c r="AI90" s="156">
        <f t="shared" si="261"/>
        <v>-1.5586475628890153</v>
      </c>
      <c r="AJ90" s="156">
        <f t="shared" si="262"/>
        <v>-2.4757159179824999</v>
      </c>
      <c r="AK90" s="156">
        <f t="shared" si="263"/>
        <v>-3.575000490263367</v>
      </c>
      <c r="AL90" s="156">
        <f t="shared" si="264"/>
        <v>1.9066865829013266</v>
      </c>
      <c r="AM90" s="156">
        <f t="shared" si="265"/>
        <v>4.3611524651895959</v>
      </c>
      <c r="AN90" s="156">
        <f t="shared" si="266"/>
        <v>6.1869513402823237</v>
      </c>
      <c r="AO90" s="156">
        <f t="shared" si="267"/>
        <v>6.9876618534336661</v>
      </c>
      <c r="AP90" s="156">
        <f t="shared" si="268"/>
        <v>3.6088980858768807</v>
      </c>
      <c r="AQ90" s="156">
        <f t="shared" si="269"/>
        <v>7.1848619619031604</v>
      </c>
      <c r="AR90" s="156">
        <f t="shared" si="270"/>
        <v>7.0390275516494727</v>
      </c>
      <c r="AS90" s="156">
        <f t="shared" si="271"/>
        <v>6.8259223470147488</v>
      </c>
      <c r="AT90" s="156">
        <f t="shared" si="272"/>
        <v>6.9693822524915516</v>
      </c>
      <c r="AU90" s="156">
        <f t="shared" si="273"/>
        <v>5.4678460090721037</v>
      </c>
      <c r="AV90" s="156">
        <f t="shared" si="274"/>
        <v>5.5288181097257434</v>
      </c>
      <c r="AW90" s="156">
        <f t="shared" si="275"/>
        <v>7.797022361943176</v>
      </c>
      <c r="AX90" s="156">
        <f t="shared" si="276"/>
        <v>6.9749277270025649</v>
      </c>
      <c r="AY90" s="156">
        <f t="shared" si="277"/>
        <v>5.633760997176295</v>
      </c>
      <c r="AZ90" s="156">
        <f t="shared" si="278"/>
        <v>3.5600335852225022</v>
      </c>
      <c r="BA90" s="156">
        <f t="shared" si="279"/>
        <v>5.0100420942581225</v>
      </c>
      <c r="BB90" s="156">
        <f t="shared" si="280"/>
        <v>2.8790016435646359</v>
      </c>
      <c r="BC90" s="156">
        <f t="shared" si="281"/>
        <v>6.7648588253481856</v>
      </c>
      <c r="BD90" s="156">
        <f t="shared" si="282"/>
        <v>4.7597940651856581</v>
      </c>
      <c r="BE90" s="156">
        <f t="shared" si="283"/>
        <v>-3.5011920980926403</v>
      </c>
      <c r="BF90" s="156">
        <f t="shared" si="284"/>
        <v>-9.975838512478008</v>
      </c>
      <c r="BG90" s="156">
        <f t="shared" si="285"/>
        <v>-14.728116641041291</v>
      </c>
      <c r="BH90" s="156">
        <f t="shared" si="286"/>
        <v>-10.861173577973476</v>
      </c>
      <c r="BI90" s="156">
        <f t="shared" si="287"/>
        <v>-4.7529048713925919</v>
      </c>
      <c r="BJ90" s="156">
        <f t="shared" si="288"/>
        <v>3.9895031507037464</v>
      </c>
      <c r="BK90" s="156">
        <f t="shared" si="289"/>
        <v>8.778475339922597</v>
      </c>
      <c r="BL90" s="156">
        <f t="shared" si="290"/>
        <v>5.4115829360906194</v>
      </c>
      <c r="BM90" s="156">
        <f t="shared" si="291"/>
        <v>4.0185737096944907</v>
      </c>
      <c r="BN90" s="156">
        <f t="shared" si="292"/>
        <v>5.859991395513175</v>
      </c>
      <c r="BO90" s="156">
        <f t="shared" si="293"/>
        <v>1.8923855543200647</v>
      </c>
      <c r="BP90" s="156">
        <f t="shared" si="294"/>
        <v>2.3877625827476323</v>
      </c>
      <c r="BQ90" s="156">
        <f t="shared" si="295"/>
        <v>3.183393875678505</v>
      </c>
      <c r="BR90" s="156">
        <f t="shared" si="296"/>
        <v>0.64347920416001314</v>
      </c>
      <c r="BS90" s="156">
        <f t="shared" si="297"/>
        <v>1.9778821289334951</v>
      </c>
      <c r="BT90" s="156">
        <f t="shared" si="298"/>
        <v>2.1911762992486388</v>
      </c>
      <c r="BU90" s="156">
        <f t="shared" si="299"/>
        <v>3.3433877348589167</v>
      </c>
      <c r="BV90" s="156">
        <f t="shared" si="300"/>
        <v>-0.2954624142864149</v>
      </c>
      <c r="BW90" s="156">
        <f t="shared" si="301"/>
        <v>2.5548359571508259</v>
      </c>
      <c r="BX90" s="156">
        <f t="shared" si="302"/>
        <v>-0.35796536244667365</v>
      </c>
      <c r="BY90" s="156">
        <f t="shared" si="303"/>
        <v>1.0958204607348909</v>
      </c>
    </row>
    <row r="91" spans="1:77">
      <c r="A91" s="3" t="s">
        <v>5</v>
      </c>
      <c r="B91" s="252"/>
      <c r="C91" s="156"/>
      <c r="D91" s="156"/>
      <c r="E91" s="156"/>
      <c r="F91" s="156">
        <f t="shared" si="304"/>
        <v>1.9209745431828831</v>
      </c>
      <c r="G91" s="156">
        <f t="shared" si="233"/>
        <v>6.506174692797158</v>
      </c>
      <c r="H91" s="156">
        <f t="shared" si="234"/>
        <v>13.515224600542663</v>
      </c>
      <c r="I91" s="156">
        <f t="shared" si="235"/>
        <v>21.451576935329715</v>
      </c>
      <c r="J91" s="156">
        <f t="shared" si="236"/>
        <v>10.910205332516089</v>
      </c>
      <c r="K91" s="156">
        <f t="shared" si="237"/>
        <v>7.954408169135621</v>
      </c>
      <c r="L91" s="156">
        <f t="shared" si="238"/>
        <v>0.94813162297824383</v>
      </c>
      <c r="M91" s="156">
        <f t="shared" si="239"/>
        <v>-2.8818069623448905</v>
      </c>
      <c r="N91" s="156">
        <f t="shared" si="240"/>
        <v>-5.3412544901906651</v>
      </c>
      <c r="O91" s="156">
        <f t="shared" si="241"/>
        <v>-6.5189906302499141</v>
      </c>
      <c r="P91" s="156">
        <f t="shared" si="242"/>
        <v>-7.0297290186792898</v>
      </c>
      <c r="Q91" s="156">
        <f t="shared" si="243"/>
        <v>-6.266036461850101</v>
      </c>
      <c r="R91" s="156">
        <f t="shared" si="244"/>
        <v>-4.0517266544063908</v>
      </c>
      <c r="S91" s="156">
        <f t="shared" si="245"/>
        <v>-1.3417892899134163</v>
      </c>
      <c r="T91" s="156">
        <f t="shared" si="246"/>
        <v>0.8400305620012436</v>
      </c>
      <c r="U91" s="156">
        <f t="shared" si="247"/>
        <v>2.492436248379196</v>
      </c>
      <c r="V91" s="156">
        <f t="shared" si="248"/>
        <v>4.0433234963035112</v>
      </c>
      <c r="W91" s="156">
        <f t="shared" si="249"/>
        <v>3.7418022130413391</v>
      </c>
      <c r="X91" s="156">
        <f t="shared" si="250"/>
        <v>4.153658567385575</v>
      </c>
      <c r="Y91" s="156">
        <f t="shared" si="251"/>
        <v>0.54821478774247967</v>
      </c>
      <c r="Z91" s="156">
        <f t="shared" si="252"/>
        <v>-2.1287794607871855</v>
      </c>
      <c r="AA91" s="156">
        <f t="shared" si="253"/>
        <v>-4.2557191055512487</v>
      </c>
      <c r="AB91" s="156">
        <f t="shared" si="254"/>
        <v>-4.4977771790381231</v>
      </c>
      <c r="AC91" s="156">
        <f t="shared" si="255"/>
        <v>-3.8165804557528311</v>
      </c>
      <c r="AD91" s="156">
        <f t="shared" si="256"/>
        <v>1.5536301165222588</v>
      </c>
      <c r="AE91" s="156">
        <f t="shared" si="257"/>
        <v>3.6125654450261724</v>
      </c>
      <c r="AF91" s="156">
        <f t="shared" si="258"/>
        <v>3.9111992585832049</v>
      </c>
      <c r="AG91" s="156">
        <f t="shared" si="259"/>
        <v>4.8575581395348806</v>
      </c>
      <c r="AH91" s="156">
        <f t="shared" si="260"/>
        <v>3.5892909679317442</v>
      </c>
      <c r="AI91" s="156">
        <f t="shared" si="261"/>
        <v>2.7314580876986181</v>
      </c>
      <c r="AJ91" s="156">
        <f t="shared" si="262"/>
        <v>2.6688748913987888</v>
      </c>
      <c r="AK91" s="156">
        <f t="shared" si="263"/>
        <v>2.8527071608771615</v>
      </c>
      <c r="AL91" s="156">
        <f t="shared" si="264"/>
        <v>6.0550979835274017</v>
      </c>
      <c r="AM91" s="156">
        <f t="shared" si="265"/>
        <v>6.74409072277634</v>
      </c>
      <c r="AN91" s="156">
        <f t="shared" si="266"/>
        <v>7.4705804574904136</v>
      </c>
      <c r="AO91" s="156">
        <f t="shared" si="267"/>
        <v>6.8194070080862534</v>
      </c>
      <c r="AP91" s="156">
        <f t="shared" si="268"/>
        <v>5.2728830807134086</v>
      </c>
      <c r="AQ91" s="156">
        <f t="shared" si="269"/>
        <v>5.2274530886004609</v>
      </c>
      <c r="AR91" s="156">
        <f t="shared" si="270"/>
        <v>3.9000984251968505</v>
      </c>
      <c r="AS91" s="156">
        <f t="shared" si="271"/>
        <v>7.0148877113298012</v>
      </c>
      <c r="AT91" s="156">
        <f t="shared" si="272"/>
        <v>2.8007427946376309</v>
      </c>
      <c r="AU91" s="156">
        <f t="shared" si="273"/>
        <v>3.3013015448242262</v>
      </c>
      <c r="AV91" s="156">
        <f t="shared" si="274"/>
        <v>3.9100059206631226</v>
      </c>
      <c r="AW91" s="156">
        <f t="shared" si="275"/>
        <v>3.6194293798632398</v>
      </c>
      <c r="AX91" s="156">
        <f t="shared" si="276"/>
        <v>3.5985598337127631</v>
      </c>
      <c r="AY91" s="156">
        <f t="shared" si="277"/>
        <v>2.9067165936602182</v>
      </c>
      <c r="AZ91" s="156">
        <f t="shared" si="278"/>
        <v>4.0004786215698704</v>
      </c>
      <c r="BA91" s="156">
        <f t="shared" si="279"/>
        <v>3.0293548754124475</v>
      </c>
      <c r="BB91" s="156">
        <f t="shared" si="280"/>
        <v>-2.8274564834443017</v>
      </c>
      <c r="BC91" s="156">
        <f t="shared" si="281"/>
        <v>-3.9219612666990873</v>
      </c>
      <c r="BD91" s="156">
        <f t="shared" si="282"/>
        <v>-0.8848102999589097</v>
      </c>
      <c r="BE91" s="156">
        <f t="shared" si="283"/>
        <v>-4.838187791612607</v>
      </c>
      <c r="BF91" s="156">
        <f t="shared" si="284"/>
        <v>-2.0559945922694038</v>
      </c>
      <c r="BG91" s="156">
        <f t="shared" si="285"/>
        <v>-1.0781754302387954</v>
      </c>
      <c r="BH91" s="156">
        <f t="shared" si="286"/>
        <v>-3.2120280802609016</v>
      </c>
      <c r="BI91" s="156">
        <f t="shared" si="287"/>
        <v>0.75000522215028209</v>
      </c>
      <c r="BJ91" s="156">
        <f t="shared" si="288"/>
        <v>2.949650994439355</v>
      </c>
      <c r="BK91" s="156">
        <f t="shared" si="289"/>
        <v>2.6410518408985508</v>
      </c>
      <c r="BL91" s="156">
        <f t="shared" si="290"/>
        <v>1.7622589993599038</v>
      </c>
      <c r="BM91" s="156">
        <f t="shared" si="291"/>
        <v>2.5055607906637465</v>
      </c>
      <c r="BN91" s="156">
        <f t="shared" si="292"/>
        <v>2.1136168228331518</v>
      </c>
      <c r="BO91" s="156">
        <f t="shared" si="293"/>
        <v>2.2222349946090261</v>
      </c>
      <c r="BP91" s="156">
        <f t="shared" si="294"/>
        <v>1.1453949893150299</v>
      </c>
      <c r="BQ91" s="156">
        <f t="shared" si="295"/>
        <v>0.51692853007699269</v>
      </c>
      <c r="BR91" s="156">
        <f t="shared" si="296"/>
        <v>-0.45532864985970256</v>
      </c>
      <c r="BS91" s="156">
        <f t="shared" si="297"/>
        <v>-2.0087692312458891</v>
      </c>
      <c r="BT91" s="156">
        <f t="shared" si="298"/>
        <v>-1.5168421558429988</v>
      </c>
      <c r="BU91" s="156">
        <f t="shared" si="299"/>
        <v>-2.4912303099091688</v>
      </c>
      <c r="BV91" s="156">
        <f t="shared" si="300"/>
        <v>-2.7207858851670426</v>
      </c>
      <c r="BW91" s="156">
        <f t="shared" si="301"/>
        <v>5.0809574870583622E-2</v>
      </c>
      <c r="BX91" s="156">
        <f t="shared" si="302"/>
        <v>0.90196069484480579</v>
      </c>
      <c r="BY91" s="156">
        <f t="shared" si="303"/>
        <v>-1.0857467696306104E-2</v>
      </c>
    </row>
    <row r="92" spans="1:77">
      <c r="A92" s="170" t="s">
        <v>6</v>
      </c>
      <c r="B92" s="253"/>
      <c r="C92" s="157"/>
      <c r="D92" s="157"/>
      <c r="E92" s="157"/>
      <c r="F92" s="157">
        <f t="shared" si="304"/>
        <v>1.9395429599236722</v>
      </c>
      <c r="G92" s="157">
        <f t="shared" si="233"/>
        <v>1.7644038990436706</v>
      </c>
      <c r="H92" s="157">
        <f t="shared" si="234"/>
        <v>2.0356825056733552</v>
      </c>
      <c r="I92" s="157">
        <f t="shared" si="235"/>
        <v>2.3414977799338148</v>
      </c>
      <c r="J92" s="157">
        <f t="shared" si="236"/>
        <v>1.9520668044169718</v>
      </c>
      <c r="K92" s="157">
        <f t="shared" si="237"/>
        <v>1.3675202063771219</v>
      </c>
      <c r="L92" s="157">
        <f t="shared" si="238"/>
        <v>1.0344933111231001</v>
      </c>
      <c r="M92" s="157">
        <f t="shared" si="239"/>
        <v>9.6915156433459249</v>
      </c>
      <c r="N92" s="157">
        <f t="shared" si="240"/>
        <v>-2.910913036209001</v>
      </c>
      <c r="O92" s="157">
        <f t="shared" si="241"/>
        <v>-5.9170915632222156</v>
      </c>
      <c r="P92" s="157">
        <f t="shared" si="242"/>
        <v>-7.4321174064848465</v>
      </c>
      <c r="Q92" s="157">
        <f t="shared" si="243"/>
        <v>-7.2788555505110697</v>
      </c>
      <c r="R92" s="157">
        <f t="shared" si="244"/>
        <v>-3.9181620880116994</v>
      </c>
      <c r="S92" s="157">
        <f t="shared" si="245"/>
        <v>-1.5640535953906978</v>
      </c>
      <c r="T92" s="157">
        <f t="shared" si="246"/>
        <v>-0.34617267969073062</v>
      </c>
      <c r="U92" s="157">
        <f t="shared" si="247"/>
        <v>0.46903701097451678</v>
      </c>
      <c r="V92" s="157">
        <f t="shared" si="248"/>
        <v>1.7075192710610028</v>
      </c>
      <c r="W92" s="157">
        <f t="shared" si="249"/>
        <v>4.1633241890542205</v>
      </c>
      <c r="X92" s="157">
        <f t="shared" si="250"/>
        <v>7.049454041844788</v>
      </c>
      <c r="Y92" s="157">
        <f t="shared" si="251"/>
        <v>9.570113560483323</v>
      </c>
      <c r="Z92" s="157">
        <f t="shared" si="252"/>
        <v>7.939945201464842</v>
      </c>
      <c r="AA92" s="157">
        <f t="shared" si="253"/>
        <v>6.3911811369790694</v>
      </c>
      <c r="AB92" s="157">
        <f t="shared" si="254"/>
        <v>3.6266450831995027</v>
      </c>
      <c r="AC92" s="157">
        <f t="shared" si="255"/>
        <v>2.0770519881078582</v>
      </c>
      <c r="AD92" s="157">
        <f t="shared" si="256"/>
        <v>4.3761320823996499</v>
      </c>
      <c r="AE92" s="157">
        <f t="shared" si="257"/>
        <v>3.6252590268743763</v>
      </c>
      <c r="AF92" s="157">
        <f t="shared" si="258"/>
        <v>7.2771139408119021</v>
      </c>
      <c r="AG92" s="157">
        <f t="shared" si="259"/>
        <v>7.8785848009237558</v>
      </c>
      <c r="AH92" s="157">
        <f t="shared" si="260"/>
        <v>8.1709880868955853</v>
      </c>
      <c r="AI92" s="157">
        <f t="shared" si="261"/>
        <v>8.0789694763371607</v>
      </c>
      <c r="AJ92" s="157">
        <f t="shared" si="262"/>
        <v>7.89293067947838</v>
      </c>
      <c r="AK92" s="157">
        <f t="shared" si="263"/>
        <v>6.6890063152468109</v>
      </c>
      <c r="AL92" s="157">
        <f t="shared" si="264"/>
        <v>6.2840114019175957</v>
      </c>
      <c r="AM92" s="157">
        <f t="shared" si="265"/>
        <v>8.7057909055577145</v>
      </c>
      <c r="AN92" s="157">
        <f t="shared" si="266"/>
        <v>10.801526717557252</v>
      </c>
      <c r="AO92" s="157">
        <f t="shared" si="267"/>
        <v>10.509784972215511</v>
      </c>
      <c r="AP92" s="157">
        <f t="shared" si="268"/>
        <v>11.776179446543948</v>
      </c>
      <c r="AQ92" s="157">
        <f t="shared" si="269"/>
        <v>12.346561792396615</v>
      </c>
      <c r="AR92" s="157">
        <f t="shared" si="270"/>
        <v>12.010563784590653</v>
      </c>
      <c r="AS92" s="157">
        <f t="shared" si="271"/>
        <v>11.576300830782685</v>
      </c>
      <c r="AT92" s="157">
        <f t="shared" si="272"/>
        <v>10.688188461118987</v>
      </c>
      <c r="AU92" s="157">
        <f t="shared" si="273"/>
        <v>10.353240691630424</v>
      </c>
      <c r="AV92" s="157">
        <f t="shared" si="274"/>
        <v>10.404920553562276</v>
      </c>
      <c r="AW92" s="157">
        <f t="shared" si="275"/>
        <v>10.316449495444303</v>
      </c>
      <c r="AX92" s="157">
        <f t="shared" si="276"/>
        <v>15.341412947088385</v>
      </c>
      <c r="AY92" s="157">
        <f t="shared" si="277"/>
        <v>13.765260021147746</v>
      </c>
      <c r="AZ92" s="157">
        <f t="shared" si="278"/>
        <v>12.451253481894151</v>
      </c>
      <c r="BA92" s="157">
        <f t="shared" si="279"/>
        <v>18.285968028419184</v>
      </c>
      <c r="BB92" s="157">
        <f t="shared" si="280"/>
        <v>9.8590466427473125</v>
      </c>
      <c r="BC92" s="157">
        <f t="shared" si="281"/>
        <v>9.9890156316011893</v>
      </c>
      <c r="BD92" s="157">
        <f t="shared" si="282"/>
        <v>10.181487903558747</v>
      </c>
      <c r="BE92" s="157">
        <f t="shared" si="283"/>
        <v>4.5423830617914263</v>
      </c>
      <c r="BF92" s="157">
        <f t="shared" si="284"/>
        <v>9.0573168171320511</v>
      </c>
      <c r="BG92" s="157">
        <f t="shared" si="285"/>
        <v>7.9101496481578106</v>
      </c>
      <c r="BH92" s="157">
        <f t="shared" si="286"/>
        <v>7.1627268421652097</v>
      </c>
      <c r="BI92" s="157">
        <f t="shared" si="287"/>
        <v>7.0588911232404419</v>
      </c>
      <c r="BJ92" s="157">
        <f t="shared" si="288"/>
        <v>2.8030186354535713</v>
      </c>
      <c r="BK92" s="157">
        <f t="shared" si="289"/>
        <v>1.5243242627544396</v>
      </c>
      <c r="BL92" s="157">
        <f t="shared" si="290"/>
        <v>-0.411751707007326</v>
      </c>
      <c r="BM92" s="157">
        <f t="shared" si="291"/>
        <v>-0.80486325777090562</v>
      </c>
      <c r="BN92" s="157">
        <f t="shared" si="292"/>
        <v>-0.24899431266472213</v>
      </c>
      <c r="BO92" s="157">
        <f t="shared" si="293"/>
        <v>0.3723441553888252</v>
      </c>
      <c r="BP92" s="157">
        <f t="shared" si="294"/>
        <v>0.56948248016291247</v>
      </c>
      <c r="BQ92" s="157">
        <f t="shared" si="295"/>
        <v>0.43457384576889152</v>
      </c>
      <c r="BR92" s="157">
        <f t="shared" si="296"/>
        <v>1.2863211909248302</v>
      </c>
      <c r="BS92" s="157">
        <f t="shared" si="297"/>
        <v>1.6417378668585521</v>
      </c>
      <c r="BT92" s="157">
        <f t="shared" si="298"/>
        <v>2.6951354899072064</v>
      </c>
      <c r="BU92" s="157">
        <f t="shared" si="299"/>
        <v>3.5748049310626215</v>
      </c>
      <c r="BV92" s="157">
        <f t="shared" si="300"/>
        <v>2.0450192557200793</v>
      </c>
      <c r="BW92" s="157">
        <f t="shared" si="301"/>
        <v>2.2468743771092345</v>
      </c>
      <c r="BX92" s="157">
        <f t="shared" si="302"/>
        <v>2.4265540756453903</v>
      </c>
      <c r="BY92" s="157">
        <f t="shared" si="303"/>
        <v>4.4918560972977648</v>
      </c>
    </row>
    <row r="93" spans="1:77">
      <c r="A93" s="2" t="s">
        <v>7</v>
      </c>
      <c r="B93" s="256"/>
      <c r="C93" s="155"/>
      <c r="D93" s="155"/>
      <c r="E93" s="155"/>
      <c r="F93" s="155">
        <f>(F13-B13)/B13*100</f>
        <v>4.4063358173164291</v>
      </c>
      <c r="G93" s="155">
        <f t="shared" si="233"/>
        <v>4.4061610363220742</v>
      </c>
      <c r="H93" s="155">
        <f t="shared" si="234"/>
        <v>3.9999981976216068</v>
      </c>
      <c r="I93" s="155">
        <f t="shared" si="235"/>
        <v>3.9899189022776236</v>
      </c>
      <c r="J93" s="155">
        <f t="shared" si="236"/>
        <v>3.6024440544966119</v>
      </c>
      <c r="K93" s="155">
        <f t="shared" si="237"/>
        <v>3.2831663876352049</v>
      </c>
      <c r="L93" s="155">
        <f t="shared" si="238"/>
        <v>2.2741836419767738</v>
      </c>
      <c r="M93" s="155">
        <f t="shared" si="239"/>
        <v>1.1457649623762267</v>
      </c>
      <c r="N93" s="155">
        <f t="shared" si="240"/>
        <v>1.3900919532678302</v>
      </c>
      <c r="O93" s="155">
        <f t="shared" si="241"/>
        <v>2.1849621417504168</v>
      </c>
      <c r="P93" s="155">
        <f t="shared" si="242"/>
        <v>2.1190828713972207</v>
      </c>
      <c r="Q93" s="155">
        <f t="shared" si="243"/>
        <v>2.2796639429240257</v>
      </c>
      <c r="R93" s="155">
        <f t="shared" si="244"/>
        <v>2.9808581409508927</v>
      </c>
      <c r="S93" s="155">
        <f t="shared" si="245"/>
        <v>3.3082018683642098</v>
      </c>
      <c r="T93" s="155">
        <f t="shared" si="246"/>
        <v>4.0452345521835351</v>
      </c>
      <c r="U93" s="155">
        <f t="shared" si="247"/>
        <v>4.8807981634586524</v>
      </c>
      <c r="V93" s="155">
        <f t="shared" si="248"/>
        <v>4.2026512875615181</v>
      </c>
      <c r="W93" s="155">
        <f t="shared" si="249"/>
        <v>4.04569773338154</v>
      </c>
      <c r="X93" s="155">
        <f t="shared" si="250"/>
        <v>3.7935664154518705</v>
      </c>
      <c r="Y93" s="155">
        <f t="shared" si="251"/>
        <v>3.7378970211107339</v>
      </c>
      <c r="Z93" s="155">
        <f t="shared" si="252"/>
        <v>3.6904130492254965</v>
      </c>
      <c r="AA93" s="155">
        <f t="shared" si="253"/>
        <v>3.6003262301731667</v>
      </c>
      <c r="AB93" s="155">
        <f t="shared" si="254"/>
        <v>3.3938063114682144</v>
      </c>
      <c r="AC93" s="155">
        <f t="shared" si="255"/>
        <v>3.623025850072997</v>
      </c>
      <c r="AD93" s="155">
        <f t="shared" si="256"/>
        <v>4.6903400441126601</v>
      </c>
      <c r="AE93" s="155">
        <f t="shared" si="257"/>
        <v>4.1773837156513647</v>
      </c>
      <c r="AF93" s="155">
        <f t="shared" si="258"/>
        <v>3.7584223712844174</v>
      </c>
      <c r="AG93" s="155">
        <f t="shared" si="259"/>
        <v>3.7085977493341646</v>
      </c>
      <c r="AH93" s="155">
        <f t="shared" si="260"/>
        <v>3.8839098637575864</v>
      </c>
      <c r="AI93" s="155">
        <f t="shared" si="261"/>
        <v>3.8930785111622366</v>
      </c>
      <c r="AJ93" s="155">
        <f t="shared" si="262"/>
        <v>4.4465835542201013</v>
      </c>
      <c r="AK93" s="155">
        <f t="shared" si="263"/>
        <v>4.4549223984086446</v>
      </c>
      <c r="AL93" s="155">
        <f t="shared" si="264"/>
        <v>4.1031192928772162</v>
      </c>
      <c r="AM93" s="155">
        <f t="shared" si="265"/>
        <v>4.3946877752041518</v>
      </c>
      <c r="AN93" s="155">
        <f t="shared" si="266"/>
        <v>4.3518843161595395</v>
      </c>
      <c r="AO93" s="155">
        <f t="shared" si="267"/>
        <v>5.7191788642020418</v>
      </c>
      <c r="AP93" s="155">
        <f t="shared" si="268"/>
        <v>5.565503228700571</v>
      </c>
      <c r="AQ93" s="155">
        <f t="shared" si="269"/>
        <v>5.4887521043087224</v>
      </c>
      <c r="AR93" s="155">
        <f t="shared" si="270"/>
        <v>5.573434797019658</v>
      </c>
      <c r="AS93" s="155">
        <f t="shared" si="271"/>
        <v>5.0762890517003045</v>
      </c>
      <c r="AT93" s="155">
        <f t="shared" si="272"/>
        <v>5.8858345742230522</v>
      </c>
      <c r="AU93" s="155">
        <f t="shared" si="273"/>
        <v>6.1454480957794297</v>
      </c>
      <c r="AV93" s="155">
        <f t="shared" si="274"/>
        <v>6.3788152406199758</v>
      </c>
      <c r="AW93" s="155">
        <f t="shared" si="275"/>
        <v>6.6930056446540238</v>
      </c>
      <c r="AX93" s="155">
        <f t="shared" si="276"/>
        <v>6.7372343699282089</v>
      </c>
      <c r="AY93" s="155">
        <f t="shared" si="277"/>
        <v>5.96284056937436</v>
      </c>
      <c r="AZ93" s="155">
        <f t="shared" si="278"/>
        <v>5.828987265009097</v>
      </c>
      <c r="BA93" s="155">
        <f t="shared" si="279"/>
        <v>5.7344548954026484</v>
      </c>
      <c r="BB93" s="155">
        <f t="shared" si="280"/>
        <v>4.8946737967069689</v>
      </c>
      <c r="BC93" s="155">
        <f t="shared" si="281"/>
        <v>5.2003361272196527</v>
      </c>
      <c r="BD93" s="155">
        <f t="shared" si="282"/>
        <v>4.4789810060817175</v>
      </c>
      <c r="BE93" s="155">
        <f t="shared" si="283"/>
        <v>3.8987656750521968</v>
      </c>
      <c r="BF93" s="155">
        <f t="shared" si="284"/>
        <v>1.837325892342065</v>
      </c>
      <c r="BG93" s="155">
        <f t="shared" si="285"/>
        <v>1.0101046921051178</v>
      </c>
      <c r="BH93" s="155">
        <f t="shared" si="286"/>
        <v>0.72617885930703285</v>
      </c>
      <c r="BI93" s="155">
        <f t="shared" si="287"/>
        <v>0.4278253946453755</v>
      </c>
      <c r="BJ93" s="155">
        <f t="shared" si="288"/>
        <v>1.3711145244660801</v>
      </c>
      <c r="BK93" s="155">
        <f t="shared" si="289"/>
        <v>2.4353429356049534</v>
      </c>
      <c r="BL93" s="155">
        <f t="shared" si="290"/>
        <v>2.8638817890830799</v>
      </c>
      <c r="BM93" s="155">
        <f t="shared" si="291"/>
        <v>3.3102293927920168</v>
      </c>
      <c r="BN93" s="155">
        <f t="shared" si="292"/>
        <v>3.820735843049599</v>
      </c>
      <c r="BO93" s="155">
        <f t="shared" si="293"/>
        <v>3.8488980450408876</v>
      </c>
      <c r="BP93" s="155">
        <f t="shared" si="294"/>
        <v>4.1445305929341725</v>
      </c>
      <c r="BQ93" s="155">
        <f t="shared" si="295"/>
        <v>4.5207761785274752</v>
      </c>
      <c r="BR93" s="155">
        <f t="shared" si="296"/>
        <v>4.0928104361399615</v>
      </c>
      <c r="BS93" s="155">
        <f t="shared" si="297"/>
        <v>3.523217276728114</v>
      </c>
      <c r="BT93" s="155">
        <f t="shared" si="298"/>
        <v>2.7913901787813886</v>
      </c>
      <c r="BU93" s="155">
        <f t="shared" si="299"/>
        <v>2.4116061014569978</v>
      </c>
      <c r="BV93" s="155">
        <f t="shared" si="300"/>
        <v>1.9425401394607349</v>
      </c>
      <c r="BW93" s="155">
        <f t="shared" si="301"/>
        <v>2.4990579203943515</v>
      </c>
      <c r="BX93" s="155">
        <f t="shared" si="302"/>
        <v>2.2397821726707359</v>
      </c>
      <c r="BY93" s="155">
        <f t="shared" si="303"/>
        <v>1.5259189644220568</v>
      </c>
    </row>
    <row r="94" spans="1:77">
      <c r="A94" s="3" t="s">
        <v>8</v>
      </c>
      <c r="B94" s="252"/>
      <c r="C94" s="156"/>
      <c r="D94" s="156"/>
      <c r="E94" s="156"/>
      <c r="F94" s="156">
        <f t="shared" si="304"/>
        <v>5.6663809207756755</v>
      </c>
      <c r="G94" s="156">
        <f t="shared" si="233"/>
        <v>4.6643544779747819</v>
      </c>
      <c r="H94" s="156">
        <f t="shared" si="234"/>
        <v>2.8902261123267685</v>
      </c>
      <c r="I94" s="156">
        <f t="shared" si="235"/>
        <v>2.0543598963566176</v>
      </c>
      <c r="J94" s="156">
        <f t="shared" si="236"/>
        <v>2.1161652255485941</v>
      </c>
      <c r="K94" s="156">
        <f t="shared" si="237"/>
        <v>1.1485676680086754</v>
      </c>
      <c r="L94" s="156">
        <f t="shared" si="238"/>
        <v>0.17684980062028555</v>
      </c>
      <c r="M94" s="156">
        <f t="shared" si="239"/>
        <v>-1.4433728853079155</v>
      </c>
      <c r="N94" s="156">
        <f t="shared" si="240"/>
        <v>4.775827701633549E-2</v>
      </c>
      <c r="O94" s="156">
        <f t="shared" si="241"/>
        <v>1.5863859730017889</v>
      </c>
      <c r="P94" s="156">
        <f t="shared" si="242"/>
        <v>1.4422212555863283</v>
      </c>
      <c r="Q94" s="156">
        <f t="shared" si="243"/>
        <v>1.9955050845617612</v>
      </c>
      <c r="R94" s="156">
        <f t="shared" si="244"/>
        <v>4.4187083036478541</v>
      </c>
      <c r="S94" s="156">
        <f t="shared" si="245"/>
        <v>6.1183278579824583</v>
      </c>
      <c r="T94" s="156">
        <f t="shared" si="246"/>
        <v>8.2286943378676902</v>
      </c>
      <c r="U94" s="156">
        <f t="shared" si="247"/>
        <v>10.971366717352646</v>
      </c>
      <c r="V94" s="156">
        <f t="shared" si="248"/>
        <v>9.5021463177494265</v>
      </c>
      <c r="W94" s="156">
        <f t="shared" si="249"/>
        <v>9.3815217700019868</v>
      </c>
      <c r="X94" s="156">
        <f t="shared" si="250"/>
        <v>7.8023365113468426</v>
      </c>
      <c r="Y94" s="156">
        <f t="shared" si="251"/>
        <v>6.2055831668911701</v>
      </c>
      <c r="Z94" s="156">
        <f t="shared" si="252"/>
        <v>4.0600046227028663</v>
      </c>
      <c r="AA94" s="156">
        <f t="shared" si="253"/>
        <v>2.3606062919380815</v>
      </c>
      <c r="AB94" s="156">
        <f t="shared" si="254"/>
        <v>0.91195360262281944</v>
      </c>
      <c r="AC94" s="156">
        <f t="shared" si="255"/>
        <v>0.62597856986661282</v>
      </c>
      <c r="AD94" s="156">
        <f t="shared" si="256"/>
        <v>1.2543666217427367</v>
      </c>
      <c r="AE94" s="156">
        <f t="shared" si="257"/>
        <v>1.6679832151483764</v>
      </c>
      <c r="AF94" s="156">
        <f t="shared" si="258"/>
        <v>2.7243690234546483</v>
      </c>
      <c r="AG94" s="156">
        <f t="shared" si="259"/>
        <v>3.3456434747195902</v>
      </c>
      <c r="AH94" s="156">
        <f t="shared" si="260"/>
        <v>1.6498435294839429</v>
      </c>
      <c r="AI94" s="156">
        <f t="shared" si="261"/>
        <v>1.8496062756369842</v>
      </c>
      <c r="AJ94" s="156">
        <f t="shared" si="262"/>
        <v>3.4780268109916341</v>
      </c>
      <c r="AK94" s="156">
        <f t="shared" si="263"/>
        <v>3.4784400640931223</v>
      </c>
      <c r="AL94" s="156">
        <f t="shared" si="264"/>
        <v>4.5296430161401116</v>
      </c>
      <c r="AM94" s="156">
        <f t="shared" si="265"/>
        <v>4.8307084010083301</v>
      </c>
      <c r="AN94" s="156">
        <f t="shared" si="266"/>
        <v>3.9064495900782683</v>
      </c>
      <c r="AO94" s="156">
        <f t="shared" si="267"/>
        <v>7.8744157691526109</v>
      </c>
      <c r="AP94" s="156">
        <f t="shared" si="268"/>
        <v>7.5906542505835048</v>
      </c>
      <c r="AQ94" s="156">
        <f t="shared" si="269"/>
        <v>6.890540287904277</v>
      </c>
      <c r="AR94" s="156">
        <f t="shared" si="270"/>
        <v>7.058718344173986</v>
      </c>
      <c r="AS94" s="156">
        <f t="shared" si="271"/>
        <v>6.7363662051426951</v>
      </c>
      <c r="AT94" s="156">
        <f t="shared" si="272"/>
        <v>5.3862806841766293</v>
      </c>
      <c r="AU94" s="156">
        <f t="shared" si="273"/>
        <v>6.0239699522962127</v>
      </c>
      <c r="AV94" s="156">
        <f t="shared" si="274"/>
        <v>6.2968453139027494</v>
      </c>
      <c r="AW94" s="156">
        <f t="shared" si="275"/>
        <v>6.0782548843119608</v>
      </c>
      <c r="AX94" s="156">
        <f t="shared" si="276"/>
        <v>6.232757523025338</v>
      </c>
      <c r="AY94" s="156">
        <f t="shared" si="277"/>
        <v>5.808726492906632</v>
      </c>
      <c r="AZ94" s="156">
        <f t="shared" si="278"/>
        <v>5.4760080922357748</v>
      </c>
      <c r="BA94" s="156">
        <f t="shared" si="279"/>
        <v>4.0412611263621994</v>
      </c>
      <c r="BB94" s="156">
        <f t="shared" si="280"/>
        <v>4.190273477296798</v>
      </c>
      <c r="BC94" s="156">
        <f t="shared" si="281"/>
        <v>1.9587999142517469</v>
      </c>
      <c r="BD94" s="156">
        <f t="shared" si="282"/>
        <v>-1.0734455596730059</v>
      </c>
      <c r="BE94" s="156">
        <f t="shared" si="283"/>
        <v>-0.61428502894425818</v>
      </c>
      <c r="BF94" s="156">
        <f t="shared" si="284"/>
        <v>-1.2470135855649691</v>
      </c>
      <c r="BG94" s="156">
        <f t="shared" si="285"/>
        <v>-2.092267499143083</v>
      </c>
      <c r="BH94" s="156">
        <f t="shared" si="286"/>
        <v>-0.12334975304920193</v>
      </c>
      <c r="BI94" s="156">
        <f t="shared" si="287"/>
        <v>-1.391243613843518</v>
      </c>
      <c r="BJ94" s="156">
        <f t="shared" si="288"/>
        <v>1.0308912465291284</v>
      </c>
      <c r="BK94" s="156">
        <f t="shared" si="289"/>
        <v>3.702805533493204</v>
      </c>
      <c r="BL94" s="156">
        <f t="shared" si="290"/>
        <v>4.6417574240911472</v>
      </c>
      <c r="BM94" s="156">
        <f t="shared" si="291"/>
        <v>5.5039220149815211</v>
      </c>
      <c r="BN94" s="156">
        <f t="shared" si="292"/>
        <v>4.2029408894586124</v>
      </c>
      <c r="BO94" s="156">
        <f t="shared" si="293"/>
        <v>3.9158030119997593</v>
      </c>
      <c r="BP94" s="156">
        <f t="shared" si="294"/>
        <v>4.4045491894359179</v>
      </c>
      <c r="BQ94" s="156">
        <f t="shared" si="295"/>
        <v>5.0176499390325695</v>
      </c>
      <c r="BR94" s="156">
        <f t="shared" si="296"/>
        <v>4.7176030425045496</v>
      </c>
      <c r="BS94" s="156">
        <f t="shared" si="297"/>
        <v>4.1540827914761049</v>
      </c>
      <c r="BT94" s="156">
        <f t="shared" si="298"/>
        <v>3.4709866135057355</v>
      </c>
      <c r="BU94" s="156">
        <f t="shared" si="299"/>
        <v>3.122705537859634</v>
      </c>
      <c r="BV94" s="156">
        <f t="shared" si="300"/>
        <v>2.2411150223414404</v>
      </c>
      <c r="BW94" s="156">
        <f t="shared" si="301"/>
        <v>2.4297424238916632</v>
      </c>
      <c r="BX94" s="156">
        <f t="shared" si="302"/>
        <v>2.0245479609611006</v>
      </c>
      <c r="BY94" s="156">
        <f t="shared" si="303"/>
        <v>2.06338440915358</v>
      </c>
    </row>
    <row r="95" spans="1:77">
      <c r="A95" s="3" t="s">
        <v>9</v>
      </c>
      <c r="B95" s="252"/>
      <c r="C95" s="156"/>
      <c r="D95" s="156"/>
      <c r="E95" s="156"/>
      <c r="F95" s="156">
        <f t="shared" si="304"/>
        <v>7.7954191981918566</v>
      </c>
      <c r="G95" s="156">
        <f t="shared" si="233"/>
        <v>7.0568437738081524</v>
      </c>
      <c r="H95" s="156">
        <f t="shared" si="234"/>
        <v>5.6858881782545962</v>
      </c>
      <c r="I95" s="156">
        <f t="shared" si="235"/>
        <v>4.1081354219302684</v>
      </c>
      <c r="J95" s="156">
        <f t="shared" si="236"/>
        <v>5.9165455677807763</v>
      </c>
      <c r="K95" s="156">
        <f t="shared" si="237"/>
        <v>7.3958604869401938</v>
      </c>
      <c r="L95" s="156">
        <f t="shared" si="238"/>
        <v>7.4748247714293186</v>
      </c>
      <c r="M95" s="156">
        <f t="shared" si="239"/>
        <v>9.4889093821288153</v>
      </c>
      <c r="N95" s="156">
        <f t="shared" si="240"/>
        <v>8.0497843982751824</v>
      </c>
      <c r="O95" s="156">
        <f t="shared" si="241"/>
        <v>7.477815103205895</v>
      </c>
      <c r="P95" s="156">
        <f t="shared" si="242"/>
        <v>4.0782853510126191</v>
      </c>
      <c r="Q95" s="156">
        <f t="shared" si="243"/>
        <v>2.7750687117652273</v>
      </c>
      <c r="R95" s="156">
        <f t="shared" si="244"/>
        <v>2.2411885283073665</v>
      </c>
      <c r="S95" s="156">
        <f t="shared" si="245"/>
        <v>4.1490514905148981</v>
      </c>
      <c r="T95" s="156">
        <f t="shared" si="246"/>
        <v>6.5118769011680673</v>
      </c>
      <c r="U95" s="156">
        <f t="shared" si="247"/>
        <v>7.720841959972395</v>
      </c>
      <c r="V95" s="156">
        <f t="shared" si="248"/>
        <v>8.8445331559104012</v>
      </c>
      <c r="W95" s="156">
        <f t="shared" si="249"/>
        <v>9.141925355398854</v>
      </c>
      <c r="X95" s="156">
        <f t="shared" si="250"/>
        <v>8.1891560318113701</v>
      </c>
      <c r="Y95" s="156">
        <f t="shared" si="251"/>
        <v>7.1394250020020822</v>
      </c>
      <c r="Z95" s="156">
        <f t="shared" si="252"/>
        <v>5.6320143445128199</v>
      </c>
      <c r="AA95" s="156">
        <f t="shared" si="253"/>
        <v>4.9565694213759564</v>
      </c>
      <c r="AB95" s="156">
        <f t="shared" si="254"/>
        <v>5.5132849509916761</v>
      </c>
      <c r="AC95" s="156">
        <f t="shared" si="255"/>
        <v>7.4148820869305228</v>
      </c>
      <c r="AD95" s="156">
        <f t="shared" si="256"/>
        <v>8.8652307160515136</v>
      </c>
      <c r="AE95" s="156">
        <f t="shared" si="257"/>
        <v>9.7016733550389898</v>
      </c>
      <c r="AF95" s="156">
        <f t="shared" si="258"/>
        <v>9.1775513133342859</v>
      </c>
      <c r="AG95" s="156">
        <f t="shared" si="259"/>
        <v>8.3045127170244584</v>
      </c>
      <c r="AH95" s="156">
        <f t="shared" si="260"/>
        <v>7.3035897799355043</v>
      </c>
      <c r="AI95" s="156">
        <f t="shared" si="261"/>
        <v>6.5411400923503855</v>
      </c>
      <c r="AJ95" s="156">
        <f t="shared" si="262"/>
        <v>5.4375262936474602</v>
      </c>
      <c r="AK95" s="156">
        <f t="shared" si="263"/>
        <v>6.191250265036401</v>
      </c>
      <c r="AL95" s="156">
        <f t="shared" si="264"/>
        <v>4.1479524438573314</v>
      </c>
      <c r="AM95" s="156">
        <f t="shared" si="265"/>
        <v>4.3113500906970721</v>
      </c>
      <c r="AN95" s="156">
        <f t="shared" si="266"/>
        <v>5.8697007481296755</v>
      </c>
      <c r="AO95" s="156">
        <f t="shared" si="267"/>
        <v>5.1489941007411888</v>
      </c>
      <c r="AP95" s="156">
        <f t="shared" si="268"/>
        <v>5.6725646879756519</v>
      </c>
      <c r="AQ95" s="156">
        <f t="shared" si="269"/>
        <v>5.6886004409527109</v>
      </c>
      <c r="AR95" s="156">
        <f t="shared" si="270"/>
        <v>5.0761122397903602</v>
      </c>
      <c r="AS95" s="156">
        <f t="shared" si="271"/>
        <v>4.7990332882584799</v>
      </c>
      <c r="AT95" s="156">
        <f t="shared" si="272"/>
        <v>4.6064654357552417</v>
      </c>
      <c r="AU95" s="156">
        <f t="shared" si="273"/>
        <v>4.9187745520039678</v>
      </c>
      <c r="AV95" s="156">
        <f t="shared" si="274"/>
        <v>5.8929021772634291</v>
      </c>
      <c r="AW95" s="156">
        <f t="shared" si="275"/>
        <v>5.0048043925875083</v>
      </c>
      <c r="AX95" s="156">
        <f t="shared" si="276"/>
        <v>7.2576018359150893</v>
      </c>
      <c r="AY95" s="156">
        <f t="shared" si="277"/>
        <v>7.0542440281161607</v>
      </c>
      <c r="AZ95" s="156">
        <f t="shared" si="278"/>
        <v>5.8534003704683775</v>
      </c>
      <c r="BA95" s="156">
        <f t="shared" si="279"/>
        <v>6.3297427316460988</v>
      </c>
      <c r="BB95" s="156">
        <f t="shared" si="280"/>
        <v>4.3521101898903476</v>
      </c>
      <c r="BC95" s="156">
        <f t="shared" si="281"/>
        <v>4.0550277283666496</v>
      </c>
      <c r="BD95" s="156">
        <f t="shared" si="282"/>
        <v>3.8582820858957034</v>
      </c>
      <c r="BE95" s="156">
        <f t="shared" si="283"/>
        <v>3.7184071405739054</v>
      </c>
      <c r="BF95" s="156">
        <f t="shared" si="284"/>
        <v>2.215445505211624</v>
      </c>
      <c r="BG95" s="156">
        <f t="shared" si="285"/>
        <v>0.76315000624941198</v>
      </c>
      <c r="BH95" s="156">
        <f t="shared" si="286"/>
        <v>0.35348566952916705</v>
      </c>
      <c r="BI95" s="156">
        <f t="shared" si="287"/>
        <v>0.38541067985223543</v>
      </c>
      <c r="BJ95" s="156">
        <f t="shared" si="288"/>
        <v>0.65084552649011918</v>
      </c>
      <c r="BK95" s="156">
        <f t="shared" si="289"/>
        <v>2.0251674310510506</v>
      </c>
      <c r="BL95" s="156">
        <f t="shared" si="290"/>
        <v>2.5534243812764381</v>
      </c>
      <c r="BM95" s="156">
        <f t="shared" si="291"/>
        <v>2.7822484561497904</v>
      </c>
      <c r="BN95" s="156">
        <f t="shared" si="292"/>
        <v>3.0207496392487014</v>
      </c>
      <c r="BO95" s="156">
        <f t="shared" si="293"/>
        <v>3.2777747142604321</v>
      </c>
      <c r="BP95" s="156">
        <f t="shared" si="294"/>
        <v>2.9843257545748294</v>
      </c>
      <c r="BQ95" s="156">
        <f t="shared" si="295"/>
        <v>3.1885909445171641</v>
      </c>
      <c r="BR95" s="156">
        <f t="shared" si="296"/>
        <v>2.9784522310093271</v>
      </c>
      <c r="BS95" s="156">
        <f t="shared" si="297"/>
        <v>2.6581646376460299</v>
      </c>
      <c r="BT95" s="156">
        <f t="shared" si="298"/>
        <v>2.1858758567187184</v>
      </c>
      <c r="BU95" s="156">
        <f t="shared" si="299"/>
        <v>1.8982309728669353</v>
      </c>
      <c r="BV95" s="156">
        <f t="shared" si="300"/>
        <v>1.8408872861105592</v>
      </c>
      <c r="BW95" s="156">
        <f t="shared" si="301"/>
        <v>1.7705125311703607</v>
      </c>
      <c r="BX95" s="156">
        <f t="shared" si="302"/>
        <v>2.0701023518451929</v>
      </c>
      <c r="BY95" s="156">
        <f t="shared" si="303"/>
        <v>2.0234337910627547</v>
      </c>
    </row>
    <row r="96" spans="1:77">
      <c r="A96" s="3" t="s">
        <v>10</v>
      </c>
      <c r="B96" s="252"/>
      <c r="C96" s="156"/>
      <c r="D96" s="156"/>
      <c r="E96" s="156"/>
      <c r="F96" s="156">
        <f t="shared" si="304"/>
        <v>4.3916148331261597</v>
      </c>
      <c r="G96" s="156">
        <f t="shared" si="233"/>
        <v>6.6555744304563289</v>
      </c>
      <c r="H96" s="156">
        <f t="shared" si="234"/>
        <v>7.3688469562819412</v>
      </c>
      <c r="I96" s="156">
        <f t="shared" si="235"/>
        <v>8.6014424724030416</v>
      </c>
      <c r="J96" s="156">
        <f t="shared" si="236"/>
        <v>8.3056837366347853</v>
      </c>
      <c r="K96" s="156">
        <f t="shared" si="237"/>
        <v>6.6626521007743413</v>
      </c>
      <c r="L96" s="156">
        <f t="shared" si="238"/>
        <v>3.5189251436306717</v>
      </c>
      <c r="M96" s="156">
        <f t="shared" si="239"/>
        <v>0.74850974045926921</v>
      </c>
      <c r="N96" s="156">
        <f t="shared" si="240"/>
        <v>0.87665333743462637</v>
      </c>
      <c r="O96" s="156">
        <f t="shared" si="241"/>
        <v>2.1181586849619936</v>
      </c>
      <c r="P96" s="156">
        <f t="shared" si="242"/>
        <v>2.9762994236533946</v>
      </c>
      <c r="Q96" s="156">
        <f t="shared" si="243"/>
        <v>3.2052116204170624</v>
      </c>
      <c r="R96" s="156">
        <f t="shared" si="244"/>
        <v>5.1870135114532099</v>
      </c>
      <c r="S96" s="156">
        <f t="shared" si="245"/>
        <v>4.7487796035038388</v>
      </c>
      <c r="T96" s="156">
        <f t="shared" si="246"/>
        <v>5.0188307366599894</v>
      </c>
      <c r="U96" s="156">
        <f t="shared" si="247"/>
        <v>5.4847632331733607</v>
      </c>
      <c r="V96" s="156">
        <f t="shared" si="248"/>
        <v>3.592064903573069</v>
      </c>
      <c r="W96" s="156">
        <f t="shared" si="249"/>
        <v>2.6898437649398552</v>
      </c>
      <c r="X96" s="156">
        <f t="shared" si="250"/>
        <v>2.7181128541501365</v>
      </c>
      <c r="Y96" s="156">
        <f t="shared" si="251"/>
        <v>3.72543087025706</v>
      </c>
      <c r="Z96" s="156">
        <f t="shared" si="252"/>
        <v>6.2972577952318201</v>
      </c>
      <c r="AA96" s="156">
        <f t="shared" si="253"/>
        <v>8.1730590171993853</v>
      </c>
      <c r="AB96" s="156">
        <f t="shared" si="254"/>
        <v>8.8632785324594536</v>
      </c>
      <c r="AC96" s="156">
        <f t="shared" si="255"/>
        <v>9.2589691649786126</v>
      </c>
      <c r="AD96" s="156">
        <f t="shared" si="256"/>
        <v>10.965054270294887</v>
      </c>
      <c r="AE96" s="156">
        <f t="shared" si="257"/>
        <v>7.1210308408721179</v>
      </c>
      <c r="AF96" s="156">
        <f t="shared" si="258"/>
        <v>4.1398644205753756</v>
      </c>
      <c r="AG96" s="156">
        <f t="shared" si="259"/>
        <v>3.2173857154864032</v>
      </c>
      <c r="AH96" s="156">
        <f t="shared" si="260"/>
        <v>4.5044322972604718</v>
      </c>
      <c r="AI96" s="156">
        <f t="shared" si="261"/>
        <v>4.176777822418642</v>
      </c>
      <c r="AJ96" s="156">
        <f t="shared" si="262"/>
        <v>5.1610819539765842</v>
      </c>
      <c r="AK96" s="156">
        <f t="shared" si="263"/>
        <v>5.3534934218929626</v>
      </c>
      <c r="AL96" s="156">
        <f t="shared" si="264"/>
        <v>6.2399337352169706</v>
      </c>
      <c r="AM96" s="156">
        <f t="shared" si="265"/>
        <v>6.9881525360977417</v>
      </c>
      <c r="AN96" s="156">
        <f t="shared" si="266"/>
        <v>7.0637735907003885</v>
      </c>
      <c r="AO96" s="156">
        <f t="shared" si="267"/>
        <v>7.9154353262105026</v>
      </c>
      <c r="AP96" s="156">
        <f t="shared" si="268"/>
        <v>5.6425694113570488</v>
      </c>
      <c r="AQ96" s="156">
        <f t="shared" si="269"/>
        <v>5.672347665599677</v>
      </c>
      <c r="AR96" s="156">
        <f t="shared" si="270"/>
        <v>6.0742100658338227</v>
      </c>
      <c r="AS96" s="156">
        <f t="shared" si="271"/>
        <v>5.4530389843837765</v>
      </c>
      <c r="AT96" s="156">
        <f t="shared" si="272"/>
        <v>8.3859170059492243</v>
      </c>
      <c r="AU96" s="156">
        <f t="shared" si="273"/>
        <v>9.504966706691409</v>
      </c>
      <c r="AV96" s="156">
        <f t="shared" si="274"/>
        <v>10.030288279517551</v>
      </c>
      <c r="AW96" s="156">
        <f t="shared" si="275"/>
        <v>10.624442343290141</v>
      </c>
      <c r="AX96" s="156">
        <f t="shared" si="276"/>
        <v>8.5568375260071861</v>
      </c>
      <c r="AY96" s="156">
        <f t="shared" si="277"/>
        <v>6.8033992075161365</v>
      </c>
      <c r="AZ96" s="156">
        <f t="shared" si="278"/>
        <v>7.1411015803573621</v>
      </c>
      <c r="BA96" s="156">
        <f t="shared" si="279"/>
        <v>8.9588173686934969</v>
      </c>
      <c r="BB96" s="156">
        <f t="shared" si="280"/>
        <v>6.3549035323088363</v>
      </c>
      <c r="BC96" s="156">
        <f t="shared" si="281"/>
        <v>8.3136943789812641</v>
      </c>
      <c r="BD96" s="156">
        <f t="shared" si="282"/>
        <v>8.0300510408900614</v>
      </c>
      <c r="BE96" s="156">
        <f t="shared" si="283"/>
        <v>6.7859155240799458</v>
      </c>
      <c r="BF96" s="156">
        <f t="shared" si="284"/>
        <v>2.9913064371682512</v>
      </c>
      <c r="BG96" s="156">
        <f t="shared" si="285"/>
        <v>1.4884855665661392</v>
      </c>
      <c r="BH96" s="156">
        <f t="shared" si="286"/>
        <v>0.1412099462765167</v>
      </c>
      <c r="BI96" s="156">
        <f t="shared" si="287"/>
        <v>-0.52559154915005224</v>
      </c>
      <c r="BJ96" s="156">
        <f t="shared" si="288"/>
        <v>1.4397529610003847</v>
      </c>
      <c r="BK96" s="156">
        <f t="shared" si="289"/>
        <v>2.2278788447400335</v>
      </c>
      <c r="BL96" s="156">
        <f t="shared" si="290"/>
        <v>2.4724604798608976</v>
      </c>
      <c r="BM96" s="156">
        <f t="shared" si="291"/>
        <v>2.5097508970825317</v>
      </c>
      <c r="BN96" s="156">
        <f t="shared" si="292"/>
        <v>4.0775215192361163</v>
      </c>
      <c r="BO96" s="156">
        <f t="shared" si="293"/>
        <v>4.1891565562090038</v>
      </c>
      <c r="BP96" s="156">
        <f t="shared" si="294"/>
        <v>5.0842929716195426</v>
      </c>
      <c r="BQ96" s="156">
        <f t="shared" si="295"/>
        <v>5.5206071551776619</v>
      </c>
      <c r="BR96" s="156">
        <f t="shared" si="296"/>
        <v>5.5263657465766567</v>
      </c>
      <c r="BS96" s="156">
        <f t="shared" si="297"/>
        <v>4.2438875165535528</v>
      </c>
      <c r="BT96" s="156">
        <f t="shared" si="298"/>
        <v>2.7254265297245071</v>
      </c>
      <c r="BU96" s="156">
        <f t="shared" si="299"/>
        <v>2.3702824065616084</v>
      </c>
      <c r="BV96" s="156">
        <f t="shared" si="300"/>
        <v>1.6541802817598465</v>
      </c>
      <c r="BW96" s="156">
        <f t="shared" si="301"/>
        <v>3.5844729871691503</v>
      </c>
      <c r="BX96" s="156">
        <f t="shared" si="302"/>
        <v>3.3420841516258926</v>
      </c>
      <c r="BY96" s="156">
        <f t="shared" si="303"/>
        <v>1.0791715928199936</v>
      </c>
    </row>
    <row r="97" spans="1:77">
      <c r="A97" s="3" t="s">
        <v>11</v>
      </c>
      <c r="B97" s="252"/>
      <c r="C97" s="156"/>
      <c r="D97" s="156"/>
      <c r="E97" s="156"/>
      <c r="F97" s="156">
        <f t="shared" si="304"/>
        <v>5.7713236100199339</v>
      </c>
      <c r="G97" s="156">
        <f t="shared" si="233"/>
        <v>2.4531530782845912</v>
      </c>
      <c r="H97" s="156">
        <f t="shared" si="234"/>
        <v>1.1896958493215768</v>
      </c>
      <c r="I97" s="156">
        <f t="shared" si="235"/>
        <v>1.3522793412584448</v>
      </c>
      <c r="J97" s="156">
        <f t="shared" si="236"/>
        <v>-0.91656880186036949</v>
      </c>
      <c r="K97" s="156">
        <f t="shared" si="237"/>
        <v>0.60609854367436855</v>
      </c>
      <c r="L97" s="156">
        <f t="shared" si="238"/>
        <v>0.90048512959057592</v>
      </c>
      <c r="M97" s="156">
        <f t="shared" si="239"/>
        <v>-0.71830735324243844</v>
      </c>
      <c r="N97" s="156">
        <f t="shared" si="240"/>
        <v>3.2024486086741097</v>
      </c>
      <c r="O97" s="156">
        <f t="shared" si="241"/>
        <v>5.0171095880042813</v>
      </c>
      <c r="P97" s="156">
        <f t="shared" si="242"/>
        <v>7.3219038716921592</v>
      </c>
      <c r="Q97" s="156">
        <f t="shared" si="243"/>
        <v>9.283657611237949</v>
      </c>
      <c r="R97" s="156">
        <f t="shared" si="244"/>
        <v>5.7477929955852733</v>
      </c>
      <c r="S97" s="156">
        <f t="shared" si="245"/>
        <v>4.0694527041284161</v>
      </c>
      <c r="T97" s="156">
        <f t="shared" si="246"/>
        <v>3.2014739152254821</v>
      </c>
      <c r="U97" s="156">
        <f t="shared" si="247"/>
        <v>2.5737279574375256</v>
      </c>
      <c r="V97" s="156">
        <f t="shared" si="248"/>
        <v>3.8636091263294134</v>
      </c>
      <c r="W97" s="156">
        <f t="shared" si="249"/>
        <v>4.4073092490904475</v>
      </c>
      <c r="X97" s="156">
        <f t="shared" si="250"/>
        <v>5.3531287314349356</v>
      </c>
      <c r="Y97" s="156">
        <f t="shared" si="251"/>
        <v>5.6102085549418081</v>
      </c>
      <c r="Z97" s="156">
        <f t="shared" si="252"/>
        <v>4.0331063063578139</v>
      </c>
      <c r="AA97" s="156">
        <f t="shared" si="253"/>
        <v>2.6792148542984213</v>
      </c>
      <c r="AB97" s="156">
        <f t="shared" si="254"/>
        <v>1.546196628347011</v>
      </c>
      <c r="AC97" s="156">
        <f t="shared" si="255"/>
        <v>0.83010133652028206</v>
      </c>
      <c r="AD97" s="156">
        <f t="shared" si="256"/>
        <v>1.2255655023340217</v>
      </c>
      <c r="AE97" s="156">
        <f t="shared" si="257"/>
        <v>1.9726220124098415</v>
      </c>
      <c r="AF97" s="156">
        <f t="shared" si="258"/>
        <v>2.7817623014933042</v>
      </c>
      <c r="AG97" s="156">
        <f t="shared" si="259"/>
        <v>3.8474333383363395</v>
      </c>
      <c r="AH97" s="156">
        <f t="shared" si="260"/>
        <v>5.0850250849175378</v>
      </c>
      <c r="AI97" s="156">
        <f t="shared" si="261"/>
        <v>6.2284611124084526</v>
      </c>
      <c r="AJ97" s="156">
        <f t="shared" si="262"/>
        <v>6.5074790088107957</v>
      </c>
      <c r="AK97" s="156">
        <f t="shared" si="263"/>
        <v>4.412824213113308</v>
      </c>
      <c r="AL97" s="156">
        <f t="shared" si="264"/>
        <v>2.0115902170710074</v>
      </c>
      <c r="AM97" s="156">
        <f t="shared" si="265"/>
        <v>1.7200998272221226</v>
      </c>
      <c r="AN97" s="156">
        <f t="shared" si="266"/>
        <v>0.83841818435884297</v>
      </c>
      <c r="AO97" s="156">
        <f t="shared" si="267"/>
        <v>2.4420313907724407</v>
      </c>
      <c r="AP97" s="156">
        <f t="shared" si="268"/>
        <v>4.9182537695700006</v>
      </c>
      <c r="AQ97" s="156">
        <f t="shared" si="269"/>
        <v>3.8255388215755066</v>
      </c>
      <c r="AR97" s="156">
        <f t="shared" si="270"/>
        <v>3.3451891542334549</v>
      </c>
      <c r="AS97" s="156">
        <f t="shared" si="271"/>
        <v>3.1433993704869398</v>
      </c>
      <c r="AT97" s="156">
        <f t="shared" si="272"/>
        <v>5.7715250628636428</v>
      </c>
      <c r="AU97" s="156">
        <f t="shared" si="273"/>
        <v>5.3296493556068532</v>
      </c>
      <c r="AV97" s="156">
        <f t="shared" si="274"/>
        <v>4.5044964511111472</v>
      </c>
      <c r="AW97" s="156">
        <f t="shared" si="275"/>
        <v>5.2950442263419433</v>
      </c>
      <c r="AX97" s="156">
        <f t="shared" si="276"/>
        <v>6.5246627044379846</v>
      </c>
      <c r="AY97" s="156">
        <f t="shared" si="277"/>
        <v>7.1835361118301844</v>
      </c>
      <c r="AZ97" s="156">
        <f t="shared" si="278"/>
        <v>6.2358325135794024</v>
      </c>
      <c r="BA97" s="156">
        <f t="shared" si="279"/>
        <v>2.3313301794314452</v>
      </c>
      <c r="BB97" s="156">
        <f t="shared" si="280"/>
        <v>4.2822235797189983</v>
      </c>
      <c r="BC97" s="156">
        <f t="shared" si="281"/>
        <v>4.7039407478967856</v>
      </c>
      <c r="BD97" s="156">
        <f t="shared" si="282"/>
        <v>4.0363943798059445</v>
      </c>
      <c r="BE97" s="156">
        <f t="shared" si="283"/>
        <v>2.649521032902963</v>
      </c>
      <c r="BF97" s="156">
        <f t="shared" si="284"/>
        <v>-1.4920898990490701</v>
      </c>
      <c r="BG97" s="156">
        <f t="shared" si="285"/>
        <v>-2.2420650786572152</v>
      </c>
      <c r="BH97" s="156">
        <f t="shared" si="286"/>
        <v>-1.5141593399789466</v>
      </c>
      <c r="BI97" s="156">
        <f t="shared" si="287"/>
        <v>1.9630327657666535</v>
      </c>
      <c r="BJ97" s="156">
        <f t="shared" si="288"/>
        <v>-0.37951306566792936</v>
      </c>
      <c r="BK97" s="156">
        <f t="shared" si="289"/>
        <v>0.29465082805240628</v>
      </c>
      <c r="BL97" s="156">
        <f t="shared" si="290"/>
        <v>0.73056064488312777</v>
      </c>
      <c r="BM97" s="156">
        <f t="shared" si="291"/>
        <v>1.0848205819013892</v>
      </c>
      <c r="BN97" s="156">
        <f t="shared" si="292"/>
        <v>3.5084945507323906</v>
      </c>
      <c r="BO97" s="156">
        <f t="shared" si="293"/>
        <v>2.6084164388271214</v>
      </c>
      <c r="BP97" s="156">
        <f t="shared" si="294"/>
        <v>1.6217662437095492</v>
      </c>
      <c r="BQ97" s="156">
        <f t="shared" si="295"/>
        <v>1.5441268025681145</v>
      </c>
      <c r="BR97" s="156">
        <f t="shared" si="296"/>
        <v>1.6060691562742875</v>
      </c>
      <c r="BS97" s="156">
        <f t="shared" si="297"/>
        <v>3.0009024951734942</v>
      </c>
      <c r="BT97" s="156">
        <f t="shared" si="298"/>
        <v>2.840898207957633</v>
      </c>
      <c r="BU97" s="156">
        <f t="shared" si="299"/>
        <v>0.82180437355167235</v>
      </c>
      <c r="BV97" s="156">
        <f t="shared" si="300"/>
        <v>1.9279228030215387</v>
      </c>
      <c r="BW97" s="156">
        <f t="shared" si="301"/>
        <v>1.4701237158886482</v>
      </c>
      <c r="BX97" s="156">
        <f t="shared" si="302"/>
        <v>1.7643883174894965</v>
      </c>
      <c r="BY97" s="156">
        <f t="shared" si="303"/>
        <v>1.8675908945800017</v>
      </c>
    </row>
    <row r="98" spans="1:77">
      <c r="A98" s="170" t="s">
        <v>12</v>
      </c>
      <c r="B98" s="253"/>
      <c r="C98" s="157"/>
      <c r="D98" s="157"/>
      <c r="E98" s="157"/>
      <c r="F98" s="157">
        <f t="shared" si="304"/>
        <v>1.9071992808490412</v>
      </c>
      <c r="G98" s="157">
        <f t="shared" si="233"/>
        <v>1.8685111674498938</v>
      </c>
      <c r="H98" s="157">
        <f t="shared" si="234"/>
        <v>1.9168297210515692</v>
      </c>
      <c r="I98" s="157">
        <f t="shared" si="235"/>
        <v>2.0333919303182966</v>
      </c>
      <c r="J98" s="157">
        <f t="shared" si="236"/>
        <v>0.87644721994651653</v>
      </c>
      <c r="K98" s="157">
        <f t="shared" si="237"/>
        <v>0.78892519877518452</v>
      </c>
      <c r="L98" s="157">
        <f t="shared" si="238"/>
        <v>0.79429787452247258</v>
      </c>
      <c r="M98" s="157">
        <f t="shared" si="239"/>
        <v>0.69620997815711527</v>
      </c>
      <c r="N98" s="157">
        <f t="shared" si="240"/>
        <v>-0.59311472060476633</v>
      </c>
      <c r="O98" s="157">
        <f t="shared" si="241"/>
        <v>-0.52550957885707883</v>
      </c>
      <c r="P98" s="157">
        <f t="shared" si="242"/>
        <v>-0.90189454834048377</v>
      </c>
      <c r="Q98" s="157">
        <f t="shared" si="243"/>
        <v>-0.9717142160448613</v>
      </c>
      <c r="R98" s="157">
        <f t="shared" si="244"/>
        <v>-0.79683977087516134</v>
      </c>
      <c r="S98" s="157">
        <f t="shared" si="245"/>
        <v>-0.73442604101862274</v>
      </c>
      <c r="T98" s="157">
        <f t="shared" si="246"/>
        <v>-0.7758050671693647</v>
      </c>
      <c r="U98" s="157">
        <f t="shared" si="247"/>
        <v>-1.1055981680066049</v>
      </c>
      <c r="V98" s="157">
        <f t="shared" si="248"/>
        <v>-0.91729338885781164</v>
      </c>
      <c r="W98" s="157">
        <f t="shared" si="249"/>
        <v>-0.93842430760956652</v>
      </c>
      <c r="X98" s="157">
        <f t="shared" si="250"/>
        <v>-0.92446192052979526</v>
      </c>
      <c r="Y98" s="157">
        <f t="shared" si="251"/>
        <v>-0.92509596431164764</v>
      </c>
      <c r="Z98" s="157">
        <f t="shared" si="252"/>
        <v>-0.60743242183620239</v>
      </c>
      <c r="AA98" s="157">
        <f t="shared" si="253"/>
        <v>-0.88227372095888745</v>
      </c>
      <c r="AB98" s="157">
        <f t="shared" si="254"/>
        <v>-1.1897028197345971</v>
      </c>
      <c r="AC98" s="157">
        <f t="shared" si="255"/>
        <v>-1.0584481608573166</v>
      </c>
      <c r="AD98" s="157">
        <f t="shared" si="256"/>
        <v>-0.81994372419596606</v>
      </c>
      <c r="AE98" s="157">
        <f t="shared" si="257"/>
        <v>0.47871584080723395</v>
      </c>
      <c r="AF98" s="157">
        <f t="shared" si="258"/>
        <v>1.3767407446555504</v>
      </c>
      <c r="AG98" s="157">
        <f t="shared" si="259"/>
        <v>1.8399259161264718</v>
      </c>
      <c r="AH98" s="157">
        <f t="shared" si="260"/>
        <v>2.3756999830307142</v>
      </c>
      <c r="AI98" s="157">
        <f t="shared" si="261"/>
        <v>2.670971529204579</v>
      </c>
      <c r="AJ98" s="157">
        <f t="shared" si="262"/>
        <v>2.8693566885621937</v>
      </c>
      <c r="AK98" s="157">
        <f t="shared" si="263"/>
        <v>3.144680231953942</v>
      </c>
      <c r="AL98" s="157">
        <f t="shared" si="264"/>
        <v>1.7197082711752032</v>
      </c>
      <c r="AM98" s="157">
        <f t="shared" si="265"/>
        <v>1.7887772604753736</v>
      </c>
      <c r="AN98" s="157">
        <f t="shared" si="266"/>
        <v>1.7027832397478257</v>
      </c>
      <c r="AO98" s="157">
        <f t="shared" si="267"/>
        <v>2.4342078749042839</v>
      </c>
      <c r="AP98" s="157">
        <f t="shared" si="268"/>
        <v>3.9475292296410966</v>
      </c>
      <c r="AQ98" s="157">
        <f t="shared" si="269"/>
        <v>4.6080083453699245</v>
      </c>
      <c r="AR98" s="157">
        <f t="shared" si="270"/>
        <v>4.8512088656793795</v>
      </c>
      <c r="AS98" s="157">
        <f t="shared" si="271"/>
        <v>3.8259826100641332</v>
      </c>
      <c r="AT98" s="157">
        <f t="shared" si="272"/>
        <v>3.6232168051418721</v>
      </c>
      <c r="AU98" s="157">
        <f t="shared" si="273"/>
        <v>2.6752325246907662</v>
      </c>
      <c r="AV98" s="157">
        <f t="shared" si="274"/>
        <v>2.4467302475624866</v>
      </c>
      <c r="AW98" s="157">
        <f t="shared" si="275"/>
        <v>3.5148515789453709</v>
      </c>
      <c r="AX98" s="157">
        <f t="shared" si="276"/>
        <v>4.2075603713999357</v>
      </c>
      <c r="AY98" s="157">
        <f t="shared" si="277"/>
        <v>3.5861038475905866</v>
      </c>
      <c r="AZ98" s="157">
        <f t="shared" si="278"/>
        <v>3.9876048393082462</v>
      </c>
      <c r="BA98" s="157">
        <f t="shared" si="279"/>
        <v>3.739429659186587</v>
      </c>
      <c r="BB98" s="157">
        <f t="shared" si="280"/>
        <v>3.8943127790077305</v>
      </c>
      <c r="BC98" s="157">
        <f t="shared" si="281"/>
        <v>4.3995672556797691</v>
      </c>
      <c r="BD98" s="157">
        <f t="shared" si="282"/>
        <v>4.9142592030834571</v>
      </c>
      <c r="BE98" s="157">
        <f t="shared" si="283"/>
        <v>4.9261605236692132</v>
      </c>
      <c r="BF98" s="157">
        <f t="shared" si="284"/>
        <v>4.0330468804583246</v>
      </c>
      <c r="BG98" s="157">
        <f t="shared" si="285"/>
        <v>4.6770293609671842</v>
      </c>
      <c r="BH98" s="157">
        <f t="shared" si="286"/>
        <v>3.6788842588655495</v>
      </c>
      <c r="BI98" s="157">
        <f t="shared" si="287"/>
        <v>3.2722931275118126</v>
      </c>
      <c r="BJ98" s="157">
        <f t="shared" si="288"/>
        <v>2.7803428417924483</v>
      </c>
      <c r="BK98" s="157">
        <f t="shared" si="289"/>
        <v>2.8560586061246038</v>
      </c>
      <c r="BL98" s="157">
        <f t="shared" si="290"/>
        <v>3.0250336297122611</v>
      </c>
      <c r="BM98" s="157">
        <f t="shared" si="291"/>
        <v>3.6489456973052183</v>
      </c>
      <c r="BN98" s="157">
        <f t="shared" si="292"/>
        <v>3.7473250894359413</v>
      </c>
      <c r="BO98" s="157">
        <f t="shared" si="293"/>
        <v>4.1482859846965789</v>
      </c>
      <c r="BP98" s="157">
        <f t="shared" si="294"/>
        <v>4.2880799974523107</v>
      </c>
      <c r="BQ98" s="157">
        <f t="shared" si="295"/>
        <v>4.5667336936031164</v>
      </c>
      <c r="BR98" s="157">
        <f t="shared" si="296"/>
        <v>3.0561634992363529</v>
      </c>
      <c r="BS98" s="157">
        <f t="shared" si="297"/>
        <v>2.6461301501732768</v>
      </c>
      <c r="BT98" s="157">
        <f t="shared" si="298"/>
        <v>2.6795938621268798</v>
      </c>
      <c r="BU98" s="157">
        <f t="shared" si="299"/>
        <v>2.713219055631507</v>
      </c>
      <c r="BV98" s="157">
        <f t="shared" si="300"/>
        <v>2.2184196052068694</v>
      </c>
      <c r="BW98" s="157">
        <f t="shared" si="301"/>
        <v>1.7451195174286873</v>
      </c>
      <c r="BX98" s="157">
        <f t="shared" si="302"/>
        <v>1.02453531598513</v>
      </c>
      <c r="BY98" s="157">
        <f t="shared" si="303"/>
        <v>1.2081498924951366</v>
      </c>
    </row>
    <row r="99" spans="1:77">
      <c r="A99" s="2" t="s">
        <v>13</v>
      </c>
      <c r="B99" s="256"/>
      <c r="C99" s="155"/>
      <c r="D99" s="155"/>
      <c r="E99" s="155"/>
      <c r="F99" s="155">
        <f>(F19-B19)/B19*100</f>
        <v>3.4026042420889651</v>
      </c>
      <c r="G99" s="155">
        <f t="shared" si="233"/>
        <v>5.103295811412643</v>
      </c>
      <c r="H99" s="155">
        <f t="shared" si="234"/>
        <v>3.2651957469059099</v>
      </c>
      <c r="I99" s="155">
        <f t="shared" si="235"/>
        <v>3.3953103858337013</v>
      </c>
      <c r="J99" s="155">
        <f t="shared" si="236"/>
        <v>3.135484694451153</v>
      </c>
      <c r="K99" s="155">
        <f t="shared" si="237"/>
        <v>3.2065194691557068</v>
      </c>
      <c r="L99" s="155">
        <f t="shared" si="238"/>
        <v>2.2559642418640196</v>
      </c>
      <c r="M99" s="155">
        <f t="shared" si="239"/>
        <v>1.477074816455848</v>
      </c>
      <c r="N99" s="155">
        <f t="shared" si="240"/>
        <v>1.1803765222558846</v>
      </c>
      <c r="O99" s="155">
        <f t="shared" si="241"/>
        <v>0.95340421492200733</v>
      </c>
      <c r="P99" s="155">
        <f t="shared" si="242"/>
        <v>0.41907864679769785</v>
      </c>
      <c r="Q99" s="155">
        <f t="shared" si="243"/>
        <v>0.39374489893870318</v>
      </c>
      <c r="R99" s="155">
        <f t="shared" si="244"/>
        <v>1.3096272414940586</v>
      </c>
      <c r="S99" s="155">
        <f t="shared" si="245"/>
        <v>2.0662547202921107</v>
      </c>
      <c r="T99" s="155">
        <f t="shared" si="246"/>
        <v>2.9415246364354171</v>
      </c>
      <c r="U99" s="155">
        <f t="shared" si="247"/>
        <v>3.864559615207861</v>
      </c>
      <c r="V99" s="155">
        <f t="shared" si="248"/>
        <v>3.6996796304442645</v>
      </c>
      <c r="W99" s="155">
        <f t="shared" si="249"/>
        <v>3.5059089448867189</v>
      </c>
      <c r="X99" s="155">
        <f t="shared" si="250"/>
        <v>5.3388412536738148</v>
      </c>
      <c r="Y99" s="155">
        <f t="shared" si="251"/>
        <v>4.5926289070763771</v>
      </c>
      <c r="Z99" s="155">
        <f t="shared" si="252"/>
        <v>3.9264165609044888</v>
      </c>
      <c r="AA99" s="155">
        <f t="shared" si="253"/>
        <v>3.8876634083179549</v>
      </c>
      <c r="AB99" s="155">
        <f t="shared" si="254"/>
        <v>1.6192963299970478</v>
      </c>
      <c r="AC99" s="155">
        <f t="shared" si="255"/>
        <v>2.0196916779440084</v>
      </c>
      <c r="AD99" s="155">
        <f t="shared" si="256"/>
        <v>3.4527719792873293</v>
      </c>
      <c r="AE99" s="155">
        <f t="shared" si="257"/>
        <v>3.6823293682235985</v>
      </c>
      <c r="AF99" s="155">
        <f t="shared" si="258"/>
        <v>3.5216216569362331</v>
      </c>
      <c r="AG99" s="155">
        <f t="shared" si="259"/>
        <v>4.005236590086982</v>
      </c>
      <c r="AH99" s="155">
        <f t="shared" si="260"/>
        <v>3.2509773230572971</v>
      </c>
      <c r="AI99" s="155">
        <f t="shared" si="261"/>
        <v>3.2184632935381181</v>
      </c>
      <c r="AJ99" s="155">
        <f t="shared" si="262"/>
        <v>3.1219577541499954</v>
      </c>
      <c r="AK99" s="155">
        <f t="shared" si="263"/>
        <v>2.3587757840789543</v>
      </c>
      <c r="AL99" s="155">
        <f t="shared" si="264"/>
        <v>3.7949390595584322</v>
      </c>
      <c r="AM99" s="155">
        <f t="shared" si="265"/>
        <v>3.628674623537794</v>
      </c>
      <c r="AN99" s="155">
        <f t="shared" si="266"/>
        <v>4.919427189559527</v>
      </c>
      <c r="AO99" s="155">
        <f t="shared" si="267"/>
        <v>5.5999103226805547</v>
      </c>
      <c r="AP99" s="155">
        <f t="shared" si="268"/>
        <v>5.4369297979219455</v>
      </c>
      <c r="AQ99" s="155">
        <f t="shared" si="269"/>
        <v>5.1770883299695676</v>
      </c>
      <c r="AR99" s="155">
        <f t="shared" si="270"/>
        <v>5.5056098325926541</v>
      </c>
      <c r="AS99" s="155">
        <f t="shared" si="271"/>
        <v>5.1373092248030572</v>
      </c>
      <c r="AT99" s="155">
        <f t="shared" si="272"/>
        <v>5.0682637278293843</v>
      </c>
      <c r="AU99" s="155">
        <f t="shared" si="273"/>
        <v>4.8547809426886825</v>
      </c>
      <c r="AV99" s="155">
        <f t="shared" si="274"/>
        <v>5.2438999595468969</v>
      </c>
      <c r="AW99" s="155">
        <f t="shared" si="275"/>
        <v>6.8818566958717504</v>
      </c>
      <c r="AX99" s="155">
        <f t="shared" si="276"/>
        <v>6.5506260507496377</v>
      </c>
      <c r="AY99" s="155">
        <f t="shared" si="277"/>
        <v>5.5614681130175851</v>
      </c>
      <c r="AZ99" s="155">
        <f t="shared" si="278"/>
        <v>5.0608904305330817</v>
      </c>
      <c r="BA99" s="155">
        <f t="shared" si="279"/>
        <v>5.2364531030676753</v>
      </c>
      <c r="BB99" s="155">
        <f t="shared" si="280"/>
        <v>3.8216694022829274</v>
      </c>
      <c r="BC99" s="155">
        <f t="shared" si="281"/>
        <v>5.1966741774523495</v>
      </c>
      <c r="BD99" s="155">
        <f t="shared" si="282"/>
        <v>4.1775328290353837</v>
      </c>
      <c r="BE99" s="155">
        <f t="shared" si="283"/>
        <v>1.9357343807984386</v>
      </c>
      <c r="BF99" s="155">
        <f t="shared" si="284"/>
        <v>-0.74628569048488946</v>
      </c>
      <c r="BG99" s="155">
        <f t="shared" si="285"/>
        <v>-2.4042449120679534</v>
      </c>
      <c r="BH99" s="155">
        <f t="shared" si="286"/>
        <v>-1.751700064340072</v>
      </c>
      <c r="BI99" s="155">
        <f t="shared" si="287"/>
        <v>-0.45437981413671114</v>
      </c>
      <c r="BJ99" s="155">
        <f t="shared" si="288"/>
        <v>2.3678748470135922</v>
      </c>
      <c r="BK99" s="155">
        <f t="shared" si="289"/>
        <v>3.2836371311970889</v>
      </c>
      <c r="BL99" s="155">
        <f t="shared" si="290"/>
        <v>3.2401350394469999</v>
      </c>
      <c r="BM99" s="155">
        <f t="shared" si="291"/>
        <v>3.3960780214937065</v>
      </c>
      <c r="BN99" s="155">
        <f t="shared" si="292"/>
        <v>3.713809287488278</v>
      </c>
      <c r="BO99" s="155">
        <f t="shared" si="293"/>
        <v>3.4922653671230521</v>
      </c>
      <c r="BP99" s="155">
        <f t="shared" si="294"/>
        <v>3.0804778005376652</v>
      </c>
      <c r="BQ99" s="155">
        <f t="shared" si="295"/>
        <v>3.4537659177210447</v>
      </c>
      <c r="BR99" s="155">
        <f t="shared" si="296"/>
        <v>2.5191697805359903</v>
      </c>
      <c r="BS99" s="155">
        <f t="shared" si="297"/>
        <v>2.8837971505362971</v>
      </c>
      <c r="BT99" s="155">
        <f t="shared" si="298"/>
        <v>2.2381093318755516</v>
      </c>
      <c r="BU99" s="155">
        <f t="shared" si="299"/>
        <v>2.1309120305118561</v>
      </c>
      <c r="BV99" s="155">
        <f t="shared" si="300"/>
        <v>1.6257855070455636</v>
      </c>
      <c r="BW99" s="155">
        <f t="shared" si="301"/>
        <v>2.2940318556495329</v>
      </c>
      <c r="BX99" s="155">
        <f t="shared" si="302"/>
        <v>1.6540960489105017</v>
      </c>
      <c r="BY99" s="155">
        <f t="shared" si="303"/>
        <v>1.8906321179999488</v>
      </c>
    </row>
    <row r="100" spans="1:77">
      <c r="A100" s="3" t="s">
        <v>14</v>
      </c>
      <c r="B100" s="252"/>
      <c r="C100" s="156"/>
      <c r="D100" s="156"/>
      <c r="E100" s="156"/>
      <c r="F100" s="156">
        <f t="shared" si="304"/>
        <v>3.8307024103328242</v>
      </c>
      <c r="G100" s="156">
        <f t="shared" si="233"/>
        <v>4.9251634303161644</v>
      </c>
      <c r="H100" s="156">
        <f t="shared" si="234"/>
        <v>4.9628959111064326</v>
      </c>
      <c r="I100" s="156">
        <f t="shared" si="235"/>
        <v>5.8145743498527809</v>
      </c>
      <c r="J100" s="156">
        <f t="shared" si="236"/>
        <v>4.0426565933249066</v>
      </c>
      <c r="K100" s="156">
        <f t="shared" si="237"/>
        <v>3.2400186938044264</v>
      </c>
      <c r="L100" s="156">
        <f t="shared" si="238"/>
        <v>2.7579987120610698</v>
      </c>
      <c r="M100" s="156">
        <f t="shared" si="239"/>
        <v>1.6845048771503521</v>
      </c>
      <c r="N100" s="156">
        <f t="shared" si="240"/>
        <v>-1.2602731977841852</v>
      </c>
      <c r="O100" s="156">
        <f t="shared" si="241"/>
        <v>-2.5145673632261398</v>
      </c>
      <c r="P100" s="156">
        <f t="shared" si="242"/>
        <v>-0.99334676300324753</v>
      </c>
      <c r="Q100" s="156">
        <f t="shared" si="243"/>
        <v>0.20298125064554945</v>
      </c>
      <c r="R100" s="156">
        <f t="shared" si="244"/>
        <v>-1.8961469526116308</v>
      </c>
      <c r="S100" s="156">
        <f t="shared" si="245"/>
        <v>-1.09154933469395</v>
      </c>
      <c r="T100" s="156">
        <f t="shared" si="246"/>
        <v>6.0146576007669358E-2</v>
      </c>
      <c r="U100" s="156">
        <f t="shared" si="247"/>
        <v>0.7235674173596085</v>
      </c>
      <c r="V100" s="156">
        <f t="shared" si="248"/>
        <v>1.2907862345895946</v>
      </c>
      <c r="W100" s="156">
        <f t="shared" si="249"/>
        <v>1.6297357244549713</v>
      </c>
      <c r="X100" s="156">
        <f t="shared" si="250"/>
        <v>1.718429600176864</v>
      </c>
      <c r="Y100" s="156">
        <f t="shared" si="251"/>
        <v>1.6650250125442905</v>
      </c>
      <c r="Z100" s="156">
        <f t="shared" si="252"/>
        <v>1.6243787090660589</v>
      </c>
      <c r="AA100" s="156">
        <f t="shared" si="253"/>
        <v>1.5523251326866621</v>
      </c>
      <c r="AB100" s="156">
        <f t="shared" si="254"/>
        <v>1.2186037570922084</v>
      </c>
      <c r="AC100" s="156">
        <f t="shared" si="255"/>
        <v>1.3664402107747466</v>
      </c>
      <c r="AD100" s="156">
        <f t="shared" si="256"/>
        <v>1.3447140786206868</v>
      </c>
      <c r="AE100" s="156">
        <f t="shared" si="257"/>
        <v>4.1252616404637461</v>
      </c>
      <c r="AF100" s="156">
        <f t="shared" si="258"/>
        <v>3.0608793827169025</v>
      </c>
      <c r="AG100" s="156">
        <f t="shared" si="259"/>
        <v>2.322430135660376</v>
      </c>
      <c r="AH100" s="156">
        <f t="shared" si="260"/>
        <v>2.847141833416019</v>
      </c>
      <c r="AI100" s="156">
        <f t="shared" si="261"/>
        <v>3.127680102915952</v>
      </c>
      <c r="AJ100" s="156">
        <f t="shared" si="262"/>
        <v>2.0358777421221528</v>
      </c>
      <c r="AK100" s="156">
        <f t="shared" si="263"/>
        <v>2.7338987886805177</v>
      </c>
      <c r="AL100" s="156">
        <f t="shared" si="264"/>
        <v>3.3605788556880607</v>
      </c>
      <c r="AM100" s="156">
        <f t="shared" si="265"/>
        <v>4.5791210790301209</v>
      </c>
      <c r="AN100" s="156">
        <f t="shared" si="266"/>
        <v>5.8620334089502988</v>
      </c>
      <c r="AO100" s="156">
        <f t="shared" si="267"/>
        <v>6.2034488852980534</v>
      </c>
      <c r="AP100" s="156">
        <f t="shared" si="268"/>
        <v>5.5303482071093368</v>
      </c>
      <c r="AQ100" s="156">
        <f t="shared" si="269"/>
        <v>5.2856539350413758</v>
      </c>
      <c r="AR100" s="156">
        <f t="shared" si="270"/>
        <v>5.0406662445818924</v>
      </c>
      <c r="AS100" s="156">
        <f t="shared" si="271"/>
        <v>4.1484404716622292</v>
      </c>
      <c r="AT100" s="156">
        <f t="shared" si="272"/>
        <v>5.1913910864330992</v>
      </c>
      <c r="AU100" s="156">
        <f t="shared" si="273"/>
        <v>5.5985649546827796</v>
      </c>
      <c r="AV100" s="156">
        <f t="shared" si="274"/>
        <v>5.2740170623145399</v>
      </c>
      <c r="AW100" s="156">
        <f t="shared" si="275"/>
        <v>8.7995617338902967</v>
      </c>
      <c r="AX100" s="156">
        <f t="shared" si="276"/>
        <v>7.5557631671143293</v>
      </c>
      <c r="AY100" s="156">
        <f t="shared" si="277"/>
        <v>5.3308001788109074</v>
      </c>
      <c r="AZ100" s="156">
        <f t="shared" si="278"/>
        <v>5.5228909295104707</v>
      </c>
      <c r="BA100" s="156">
        <f t="shared" si="279"/>
        <v>2.7924639140651224</v>
      </c>
      <c r="BB100" s="156">
        <f t="shared" si="280"/>
        <v>3.328990228013029</v>
      </c>
      <c r="BC100" s="156">
        <f t="shared" si="281"/>
        <v>3.8578249336870027</v>
      </c>
      <c r="BD100" s="156">
        <f t="shared" si="282"/>
        <v>2.0492915127611178</v>
      </c>
      <c r="BE100" s="156">
        <f t="shared" si="283"/>
        <v>0.75517909990815391</v>
      </c>
      <c r="BF100" s="156">
        <f t="shared" si="284"/>
        <v>-2.0343399953765</v>
      </c>
      <c r="BG100" s="156">
        <f t="shared" si="285"/>
        <v>-4.8055901763275646</v>
      </c>
      <c r="BH100" s="156">
        <f t="shared" si="286"/>
        <v>-3.9917384102574589</v>
      </c>
      <c r="BI100" s="156">
        <f t="shared" si="287"/>
        <v>-1.379519902765117</v>
      </c>
      <c r="BJ100" s="156">
        <f t="shared" si="288"/>
        <v>2.0830204869677145</v>
      </c>
      <c r="BK100" s="156">
        <f t="shared" si="289"/>
        <v>4.1853576871069516</v>
      </c>
      <c r="BL100" s="156">
        <f t="shared" si="290"/>
        <v>4.7711346354554944</v>
      </c>
      <c r="BM100" s="156">
        <f t="shared" si="291"/>
        <v>3.5596910689343524</v>
      </c>
      <c r="BN100" s="156">
        <f t="shared" si="292"/>
        <v>4.6358172571764804</v>
      </c>
      <c r="BO100" s="156">
        <f t="shared" si="293"/>
        <v>4.8433283203889497</v>
      </c>
      <c r="BP100" s="156">
        <f t="shared" si="294"/>
        <v>4.8405131228526699</v>
      </c>
      <c r="BQ100" s="156">
        <f t="shared" si="295"/>
        <v>5.694507804907075</v>
      </c>
      <c r="BR100" s="156">
        <f t="shared" si="296"/>
        <v>4.1492609254498714</v>
      </c>
      <c r="BS100" s="156">
        <f t="shared" si="297"/>
        <v>3.35416175430323</v>
      </c>
      <c r="BT100" s="156">
        <f t="shared" si="298"/>
        <v>1.6909055652511149</v>
      </c>
      <c r="BU100" s="156">
        <f t="shared" si="299"/>
        <v>1.6964419756793276</v>
      </c>
      <c r="BV100" s="156">
        <f t="shared" si="300"/>
        <v>1.4616838289174283</v>
      </c>
      <c r="BW100" s="156">
        <f t="shared" si="301"/>
        <v>2.2738074868343503</v>
      </c>
      <c r="BX100" s="156">
        <f t="shared" si="302"/>
        <v>1.897334197780405</v>
      </c>
      <c r="BY100" s="156">
        <f t="shared" si="303"/>
        <v>2.6553734868615293</v>
      </c>
    </row>
    <row r="101" spans="1:77" ht="13.5" thickBot="1">
      <c r="A101" s="105" t="s">
        <v>283</v>
      </c>
      <c r="B101" s="255"/>
      <c r="C101" s="158"/>
      <c r="D101" s="158"/>
      <c r="E101" s="158"/>
      <c r="F101" s="158">
        <f t="shared" si="304"/>
        <v>3.4539811899135437</v>
      </c>
      <c r="G101" s="158">
        <f t="shared" si="233"/>
        <v>5.0822925287045377</v>
      </c>
      <c r="H101" s="158">
        <f t="shared" si="234"/>
        <v>3.4602991283207243</v>
      </c>
      <c r="I101" s="158">
        <f t="shared" si="235"/>
        <v>3.6716673448207873</v>
      </c>
      <c r="J101" s="158">
        <f t="shared" si="236"/>
        <v>3.2447527219830867</v>
      </c>
      <c r="K101" s="158">
        <f t="shared" si="237"/>
        <v>3.2104633989503535</v>
      </c>
      <c r="L101" s="158">
        <f t="shared" si="238"/>
        <v>2.3144970577527029</v>
      </c>
      <c r="M101" s="158">
        <f t="shared" si="239"/>
        <v>1.5012597138382116</v>
      </c>
      <c r="N101" s="158">
        <f t="shared" si="240"/>
        <v>0.88413057803483819</v>
      </c>
      <c r="O101" s="158">
        <f t="shared" si="241"/>
        <v>0.54499616246304294</v>
      </c>
      <c r="P101" s="158">
        <f t="shared" si="242"/>
        <v>0.25368841112513246</v>
      </c>
      <c r="Q101" s="158">
        <f t="shared" si="243"/>
        <v>0.37146303488282689</v>
      </c>
      <c r="R101" s="158">
        <f t="shared" si="244"/>
        <v>0.9287816320167992</v>
      </c>
      <c r="S101" s="158">
        <f t="shared" si="245"/>
        <v>1.7056900200821634</v>
      </c>
      <c r="T101" s="158">
        <f t="shared" si="246"/>
        <v>2.6083218615131383</v>
      </c>
      <c r="U101" s="158">
        <f t="shared" si="247"/>
        <v>3.4982965323186197</v>
      </c>
      <c r="V101" s="158">
        <f t="shared" si="248"/>
        <v>3.4215132498305332</v>
      </c>
      <c r="W101" s="158">
        <f t="shared" si="249"/>
        <v>3.2975754451655179</v>
      </c>
      <c r="X101" s="158">
        <f t="shared" si="250"/>
        <v>4.9305736980832506</v>
      </c>
      <c r="Y101" s="158">
        <f t="shared" si="251"/>
        <v>4.2604006999476969</v>
      </c>
      <c r="Z101" s="158">
        <f t="shared" si="252"/>
        <v>3.6660659666824911</v>
      </c>
      <c r="AA101" s="158">
        <f t="shared" si="253"/>
        <v>3.6325304045017486</v>
      </c>
      <c r="AB101" s="158">
        <f t="shared" si="254"/>
        <v>1.575494141853452</v>
      </c>
      <c r="AC101" s="158">
        <f t="shared" si="255"/>
        <v>1.9474052503718882</v>
      </c>
      <c r="AD101" s="158">
        <f t="shared" si="256"/>
        <v>3.2190551779887957</v>
      </c>
      <c r="AE101" s="158">
        <f t="shared" si="257"/>
        <v>3.7297478820270102</v>
      </c>
      <c r="AF101" s="158">
        <f t="shared" si="258"/>
        <v>3.4714320292754968</v>
      </c>
      <c r="AG101" s="158">
        <f t="shared" si="259"/>
        <v>3.8200845268019759</v>
      </c>
      <c r="AH101" s="158">
        <f t="shared" si="260"/>
        <v>3.2070177866564213</v>
      </c>
      <c r="AI101" s="158">
        <f t="shared" si="261"/>
        <v>3.2087073598580531</v>
      </c>
      <c r="AJ101" s="158">
        <f t="shared" si="262"/>
        <v>3.0041181927469509</v>
      </c>
      <c r="AK101" s="158">
        <f t="shared" si="263"/>
        <v>2.3994535931117311</v>
      </c>
      <c r="AL101" s="158">
        <f t="shared" si="264"/>
        <v>3.7478216237945188</v>
      </c>
      <c r="AM101" s="158">
        <f t="shared" si="265"/>
        <v>3.7307333070830397</v>
      </c>
      <c r="AN101" s="158">
        <f t="shared" si="266"/>
        <v>5.0207384954685619</v>
      </c>
      <c r="AO101" s="158">
        <f t="shared" si="267"/>
        <v>5.665570947315274</v>
      </c>
      <c r="AP101" s="158">
        <f t="shared" si="268"/>
        <v>5.4470255815095907</v>
      </c>
      <c r="AQ101" s="158">
        <f t="shared" si="269"/>
        <v>5.1888414210925671</v>
      </c>
      <c r="AR101" s="158">
        <f t="shared" si="270"/>
        <v>5.4552373866886166</v>
      </c>
      <c r="AS101" s="158">
        <f t="shared" si="271"/>
        <v>5.0291798340352036</v>
      </c>
      <c r="AT101" s="158">
        <f t="shared" si="272"/>
        <v>5.0815806899747553</v>
      </c>
      <c r="AU101" s="158">
        <f t="shared" si="273"/>
        <v>4.93537559240478</v>
      </c>
      <c r="AV101" s="158">
        <f t="shared" si="274"/>
        <v>5.2471500487526637</v>
      </c>
      <c r="AW101" s="158">
        <f t="shared" si="275"/>
        <v>7.0897927068593898</v>
      </c>
      <c r="AX101" s="158">
        <f t="shared" si="276"/>
        <v>6.6594512607973613</v>
      </c>
      <c r="AY101" s="158">
        <f t="shared" si="277"/>
        <v>5.5363155240062127</v>
      </c>
      <c r="AZ101" s="158">
        <f t="shared" si="278"/>
        <v>5.110759973211044</v>
      </c>
      <c r="BA101" s="158">
        <f t="shared" si="279"/>
        <v>4.967221369507028</v>
      </c>
      <c r="BB101" s="158">
        <f t="shared" si="280"/>
        <v>3.7678792529728886</v>
      </c>
      <c r="BC101" s="158">
        <f t="shared" si="281"/>
        <v>5.0509671154199189</v>
      </c>
      <c r="BD101" s="158">
        <f t="shared" si="282"/>
        <v>3.9469041478166349</v>
      </c>
      <c r="BE101" s="158">
        <f t="shared" si="283"/>
        <v>1.8083779525811465</v>
      </c>
      <c r="BF101" s="158">
        <f t="shared" si="284"/>
        <v>-0.88631919660775538</v>
      </c>
      <c r="BG101" s="158">
        <f t="shared" si="285"/>
        <v>-2.6626152772545875</v>
      </c>
      <c r="BH101" s="158">
        <f t="shared" si="286"/>
        <v>-1.9900122957146853</v>
      </c>
      <c r="BI101" s="158">
        <f t="shared" si="287"/>
        <v>-0.55315000747855536</v>
      </c>
      <c r="BJ101" s="158">
        <f t="shared" si="288"/>
        <v>2.3372650165426041</v>
      </c>
      <c r="BK101" s="158">
        <f t="shared" si="289"/>
        <v>3.3785208798298876</v>
      </c>
      <c r="BL101" s="158">
        <f t="shared" si="290"/>
        <v>3.3996877650990949</v>
      </c>
      <c r="BM101" s="158">
        <f t="shared" si="291"/>
        <v>3.4134005952214692</v>
      </c>
      <c r="BN101" s="158">
        <f t="shared" si="292"/>
        <v>3.8126401154293359</v>
      </c>
      <c r="BO101" s="158">
        <f t="shared" si="293"/>
        <v>3.635540830861856</v>
      </c>
      <c r="BP101" s="158">
        <f t="shared" si="294"/>
        <v>3.2663322467627145</v>
      </c>
      <c r="BQ101" s="158">
        <f t="shared" si="295"/>
        <v>3.6913406475274657</v>
      </c>
      <c r="BR101" s="158">
        <f t="shared" si="296"/>
        <v>2.6952861732772622</v>
      </c>
      <c r="BS101" s="158">
        <f t="shared" si="297"/>
        <v>2.9342589752828987</v>
      </c>
      <c r="BT101" s="158">
        <f t="shared" si="298"/>
        <v>2.1794454178951241</v>
      </c>
      <c r="BU101" s="158">
        <f t="shared" si="299"/>
        <v>2.0839574255435931</v>
      </c>
      <c r="BV101" s="158">
        <f t="shared" si="300"/>
        <v>1.6078048069035116</v>
      </c>
      <c r="BW101" s="158">
        <f t="shared" si="301"/>
        <v>2.2918532866386605</v>
      </c>
      <c r="BX101" s="158">
        <f t="shared" si="302"/>
        <v>1.6800481318341429</v>
      </c>
      <c r="BY101" s="158">
        <f t="shared" si="303"/>
        <v>1.972966491917671</v>
      </c>
    </row>
    <row r="103" spans="1:77" ht="18">
      <c r="A103" s="407" t="s">
        <v>168</v>
      </c>
      <c r="B103" s="407"/>
      <c r="C103" s="407"/>
      <c r="D103" s="407"/>
      <c r="E103" s="407"/>
      <c r="F103" s="407"/>
      <c r="G103" s="407"/>
      <c r="H103" s="407"/>
      <c r="I103" s="407"/>
      <c r="J103" s="407"/>
      <c r="K103" s="407"/>
      <c r="L103" s="407"/>
      <c r="M103" s="407"/>
      <c r="N103" s="407"/>
      <c r="O103" s="407"/>
      <c r="P103" s="407"/>
      <c r="Q103" s="407"/>
      <c r="R103" s="407"/>
      <c r="S103" s="407"/>
      <c r="T103" s="407"/>
      <c r="U103" s="407"/>
      <c r="V103" s="407"/>
      <c r="W103" s="407"/>
      <c r="X103" s="407"/>
      <c r="Y103" s="407"/>
      <c r="Z103" s="408"/>
      <c r="AA103" s="408"/>
      <c r="AB103" s="408"/>
      <c r="AC103" s="408"/>
      <c r="AD103" s="408"/>
      <c r="AE103" s="408"/>
      <c r="AF103" s="408"/>
      <c r="AG103" s="408"/>
      <c r="AH103" s="408"/>
      <c r="AI103" s="408"/>
      <c r="AJ103" s="408"/>
      <c r="AK103" s="408"/>
      <c r="AL103" s="408"/>
      <c r="AM103" s="408"/>
      <c r="AN103" s="408"/>
      <c r="AO103" s="408"/>
      <c r="AP103" s="408"/>
      <c r="AQ103" s="408"/>
      <c r="AR103" s="408"/>
      <c r="AS103" s="408"/>
      <c r="AT103" s="408"/>
      <c r="AU103" s="408"/>
      <c r="AV103" s="408"/>
      <c r="AW103" s="408"/>
      <c r="AX103" s="408"/>
      <c r="AY103" s="408"/>
      <c r="AZ103" s="408"/>
      <c r="BA103" s="408"/>
      <c r="BB103" s="408"/>
      <c r="BC103" s="408"/>
      <c r="BD103" s="408"/>
      <c r="BE103" s="408"/>
      <c r="BF103" s="408"/>
      <c r="BG103" s="408"/>
      <c r="BH103" s="408"/>
    </row>
    <row r="104" spans="1:77" ht="13.5" thickBot="1">
      <c r="A104" s="1" t="s">
        <v>200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77" ht="13.5" thickBot="1">
      <c r="A105" s="144" t="s">
        <v>167</v>
      </c>
      <c r="B105" s="249" t="str">
        <f>B85</f>
        <v>1995q1</v>
      </c>
      <c r="C105" s="248" t="str">
        <f t="shared" ref="C105:BH105" si="305">C85</f>
        <v>1995q2</v>
      </c>
      <c r="D105" s="248" t="str">
        <f t="shared" si="305"/>
        <v>1995q3</v>
      </c>
      <c r="E105" s="248" t="str">
        <f t="shared" si="305"/>
        <v>1995q4</v>
      </c>
      <c r="F105" s="248" t="str">
        <f t="shared" si="305"/>
        <v>1996q1</v>
      </c>
      <c r="G105" s="248" t="str">
        <f t="shared" si="305"/>
        <v>1996q2</v>
      </c>
      <c r="H105" s="248" t="str">
        <f t="shared" si="305"/>
        <v>1996q3</v>
      </c>
      <c r="I105" s="248" t="str">
        <f t="shared" si="305"/>
        <v>1996q4</v>
      </c>
      <c r="J105" s="248" t="str">
        <f t="shared" si="305"/>
        <v>1997q1</v>
      </c>
      <c r="K105" s="248" t="str">
        <f t="shared" si="305"/>
        <v>1997q2</v>
      </c>
      <c r="L105" s="248" t="str">
        <f t="shared" si="305"/>
        <v>1997q3</v>
      </c>
      <c r="M105" s="248" t="str">
        <f t="shared" si="305"/>
        <v>1997q4</v>
      </c>
      <c r="N105" s="248" t="str">
        <f t="shared" si="305"/>
        <v>1998q1</v>
      </c>
      <c r="O105" s="248" t="str">
        <f t="shared" si="305"/>
        <v>1998q2</v>
      </c>
      <c r="P105" s="248" t="str">
        <f t="shared" si="305"/>
        <v>1998q3</v>
      </c>
      <c r="Q105" s="248" t="str">
        <f t="shared" si="305"/>
        <v>1998q4</v>
      </c>
      <c r="R105" s="248" t="str">
        <f t="shared" si="305"/>
        <v>1999q1</v>
      </c>
      <c r="S105" s="248" t="str">
        <f t="shared" si="305"/>
        <v>1999q2</v>
      </c>
      <c r="T105" s="248" t="str">
        <f t="shared" si="305"/>
        <v>1999q3</v>
      </c>
      <c r="U105" s="248" t="str">
        <f t="shared" si="305"/>
        <v>1999q4</v>
      </c>
      <c r="V105" s="248" t="str">
        <f t="shared" si="305"/>
        <v>2000q1</v>
      </c>
      <c r="W105" s="248" t="str">
        <f t="shared" si="305"/>
        <v>2000q2</v>
      </c>
      <c r="X105" s="248" t="str">
        <f t="shared" si="305"/>
        <v>2000q3</v>
      </c>
      <c r="Y105" s="248" t="str">
        <f t="shared" si="305"/>
        <v>2000q4</v>
      </c>
      <c r="Z105" s="248" t="str">
        <f t="shared" si="305"/>
        <v>2001q1</v>
      </c>
      <c r="AA105" s="248" t="str">
        <f t="shared" si="305"/>
        <v>2001q2</v>
      </c>
      <c r="AB105" s="248" t="str">
        <f t="shared" si="305"/>
        <v>2001q3</v>
      </c>
      <c r="AC105" s="248" t="str">
        <f t="shared" si="305"/>
        <v>2001q4</v>
      </c>
      <c r="AD105" s="248" t="str">
        <f t="shared" si="305"/>
        <v>2002q1</v>
      </c>
      <c r="AE105" s="248" t="str">
        <f t="shared" si="305"/>
        <v>2002q2</v>
      </c>
      <c r="AF105" s="248" t="str">
        <f t="shared" si="305"/>
        <v>2002q3</v>
      </c>
      <c r="AG105" s="248" t="str">
        <f t="shared" si="305"/>
        <v>2002q4</v>
      </c>
      <c r="AH105" s="248" t="str">
        <f t="shared" si="305"/>
        <v>2003q1</v>
      </c>
      <c r="AI105" s="248" t="str">
        <f t="shared" si="305"/>
        <v>2003q2</v>
      </c>
      <c r="AJ105" s="248" t="str">
        <f t="shared" si="305"/>
        <v>2003q3</v>
      </c>
      <c r="AK105" s="248" t="str">
        <f t="shared" si="305"/>
        <v>2003q4</v>
      </c>
      <c r="AL105" s="248" t="str">
        <f t="shared" si="305"/>
        <v>2004q1</v>
      </c>
      <c r="AM105" s="248" t="str">
        <f t="shared" si="305"/>
        <v>2004q2</v>
      </c>
      <c r="AN105" s="248" t="str">
        <f t="shared" si="305"/>
        <v>2004q3</v>
      </c>
      <c r="AO105" s="248" t="str">
        <f t="shared" si="305"/>
        <v>2004q4</v>
      </c>
      <c r="AP105" s="248" t="str">
        <f t="shared" si="305"/>
        <v>2005q1</v>
      </c>
      <c r="AQ105" s="248" t="str">
        <f t="shared" si="305"/>
        <v>2005q2</v>
      </c>
      <c r="AR105" s="248" t="str">
        <f t="shared" si="305"/>
        <v>2005q3</v>
      </c>
      <c r="AS105" s="248" t="str">
        <f t="shared" si="305"/>
        <v>2005q4</v>
      </c>
      <c r="AT105" s="248" t="str">
        <f t="shared" si="305"/>
        <v>2006q1</v>
      </c>
      <c r="AU105" s="248" t="str">
        <f t="shared" si="305"/>
        <v>2006q2</v>
      </c>
      <c r="AV105" s="248" t="str">
        <f t="shared" si="305"/>
        <v>2006q3</v>
      </c>
      <c r="AW105" s="248" t="str">
        <f t="shared" si="305"/>
        <v>2006q4</v>
      </c>
      <c r="AX105" s="248" t="str">
        <f t="shared" si="305"/>
        <v>2007q1</v>
      </c>
      <c r="AY105" s="248" t="str">
        <f t="shared" si="305"/>
        <v>2007q2</v>
      </c>
      <c r="AZ105" s="248" t="str">
        <f t="shared" si="305"/>
        <v>2007q3</v>
      </c>
      <c r="BA105" s="248" t="str">
        <f t="shared" si="305"/>
        <v>2007q4</v>
      </c>
      <c r="BB105" s="248" t="str">
        <f t="shared" si="305"/>
        <v>2008q1</v>
      </c>
      <c r="BC105" s="248" t="str">
        <f t="shared" si="305"/>
        <v>2008q2</v>
      </c>
      <c r="BD105" s="248" t="str">
        <f t="shared" si="305"/>
        <v>2008q3</v>
      </c>
      <c r="BE105" s="248" t="str">
        <f t="shared" si="305"/>
        <v>2008q4</v>
      </c>
      <c r="BF105" s="248" t="str">
        <f t="shared" si="305"/>
        <v>2009q1</v>
      </c>
      <c r="BG105" s="248" t="str">
        <f t="shared" si="305"/>
        <v>2009q2</v>
      </c>
      <c r="BH105" s="248" t="str">
        <f t="shared" si="305"/>
        <v>2009q3</v>
      </c>
      <c r="BI105" s="248" t="str">
        <f>BI85</f>
        <v>2009q4</v>
      </c>
      <c r="BJ105" s="248" t="str">
        <f t="shared" ref="BJ105:BQ105" si="306">BJ85</f>
        <v>2010q1</v>
      </c>
      <c r="BK105" s="248" t="str">
        <f t="shared" si="306"/>
        <v>2010q2</v>
      </c>
      <c r="BL105" s="248" t="str">
        <f t="shared" si="306"/>
        <v>2010q3</v>
      </c>
      <c r="BM105" s="248" t="str">
        <f t="shared" si="306"/>
        <v>2010q4</v>
      </c>
      <c r="BN105" s="248" t="str">
        <f t="shared" si="306"/>
        <v>2011q1</v>
      </c>
      <c r="BO105" s="248" t="str">
        <f t="shared" si="306"/>
        <v>2011q2</v>
      </c>
      <c r="BP105" s="248" t="str">
        <f t="shared" si="306"/>
        <v>2011q3</v>
      </c>
      <c r="BQ105" s="248" t="str">
        <f t="shared" si="306"/>
        <v>2011q4</v>
      </c>
      <c r="BR105" s="248" t="str">
        <f t="shared" ref="BR105:BX105" si="307">BR85</f>
        <v>2012q1</v>
      </c>
      <c r="BS105" s="248" t="str">
        <f t="shared" si="307"/>
        <v>2012q2</v>
      </c>
      <c r="BT105" s="248" t="str">
        <f t="shared" si="307"/>
        <v>2012q3</v>
      </c>
      <c r="BU105" s="248" t="str">
        <f t="shared" si="307"/>
        <v>2012q4</v>
      </c>
      <c r="BV105" s="248" t="str">
        <f t="shared" si="307"/>
        <v>2013q1</v>
      </c>
      <c r="BW105" s="248" t="str">
        <f t="shared" si="307"/>
        <v>2013q2</v>
      </c>
      <c r="BX105" s="248" t="str">
        <f t="shared" si="307"/>
        <v>2013q3</v>
      </c>
      <c r="BY105" s="248" t="str">
        <f t="shared" ref="BY105" si="308">BY85</f>
        <v>2013q4</v>
      </c>
    </row>
    <row r="106" spans="1:77" ht="13.5" thickTop="1">
      <c r="A106" s="145" t="s">
        <v>0</v>
      </c>
      <c r="B106" s="251"/>
      <c r="C106" s="154"/>
      <c r="D106" s="154"/>
      <c r="E106" s="154"/>
      <c r="F106" s="154">
        <f t="shared" ref="F106:F121" si="309">(F26-B26)/B26*100</f>
        <v>17.70382580892716</v>
      </c>
      <c r="G106" s="154">
        <f t="shared" ref="G106:G121" si="310">(G26-C26)/C26*100</f>
        <v>51.775910750240492</v>
      </c>
      <c r="H106" s="154">
        <f t="shared" ref="H106:H121" si="311">(H26-D26)/D26*100</f>
        <v>15.943345704001915</v>
      </c>
      <c r="I106" s="154">
        <f t="shared" ref="I106:I121" si="312">(I26-E26)/E26*100</f>
        <v>9.2366168770093466</v>
      </c>
      <c r="J106" s="154">
        <f t="shared" ref="J106:J121" si="313">(J26-F26)/F26*100</f>
        <v>4.190171954191741</v>
      </c>
      <c r="K106" s="154">
        <f t="shared" ref="K106:K121" si="314">(K26-G26)/G26*100</f>
        <v>-1.7551418409703774</v>
      </c>
      <c r="L106" s="154">
        <f t="shared" ref="L106:L121" si="315">(L26-H26)/H26*100</f>
        <v>-0.47329085941719545</v>
      </c>
      <c r="M106" s="154">
        <f t="shared" ref="M106:M121" si="316">(M26-I26)/I26*100</f>
        <v>0.3388765523454263</v>
      </c>
      <c r="N106" s="154">
        <f t="shared" ref="N106:N121" si="317">(N26-J26)/J26*100</f>
        <v>2.1814992212393522</v>
      </c>
      <c r="O106" s="154">
        <f t="shared" ref="O106:O121" si="318">(O26-K26)/K26*100</f>
        <v>1.7259171719735482</v>
      </c>
      <c r="P106" s="154">
        <f t="shared" ref="P106:P121" si="319">(P26-L26)/L26*100</f>
        <v>0.75853908874326093</v>
      </c>
      <c r="Q106" s="154">
        <f t="shared" ref="Q106:Q121" si="320">(Q26-M26)/M26*100</f>
        <v>-5.691040714129449</v>
      </c>
      <c r="R106" s="154">
        <f t="shared" ref="R106:R121" si="321">(R26-N26)/N26*100</f>
        <v>-12.490630856057013</v>
      </c>
      <c r="S106" s="154">
        <f t="shared" ref="S106:S121" si="322">(S26-O26)/O26*100</f>
        <v>-7.3320434097774863</v>
      </c>
      <c r="T106" s="154">
        <f t="shared" ref="T106:T121" si="323">(T26-P26)/P26*100</f>
        <v>-11.521206453121525</v>
      </c>
      <c r="U106" s="154">
        <f t="shared" ref="U106:U121" si="324">(U26-Q26)/Q26*100</f>
        <v>-21.368536583373377</v>
      </c>
      <c r="V106" s="154">
        <f t="shared" ref="V106:V120" si="325">(V26-R26)/R26*100</f>
        <v>-10.872686329707742</v>
      </c>
      <c r="W106" s="154">
        <f t="shared" ref="W106:W120" si="326">(W26-S26)/S26*100</f>
        <v>-12.028523407315218</v>
      </c>
      <c r="X106" s="154">
        <f t="shared" ref="X106:X120" si="327">(X26-T26)/T26*100</f>
        <v>23.746665129142595</v>
      </c>
      <c r="Y106" s="154">
        <f t="shared" ref="Y106:Y120" si="328">(Y26-U26)/U26*100</f>
        <v>10.572743118932172</v>
      </c>
      <c r="Z106" s="154">
        <f t="shared" ref="Z106:Z121" si="329">(Z26-V26)/V26*100</f>
        <v>6.2981249728460504</v>
      </c>
      <c r="AA106" s="154">
        <f t="shared" ref="AA106:AA121" si="330">(AA26-W26)/W26*100</f>
        <v>12.982924437799634</v>
      </c>
      <c r="AB106" s="154">
        <f t="shared" ref="AB106:AB121" si="331">(AB26-X26)/X26*100</f>
        <v>-14.866374336583066</v>
      </c>
      <c r="AC106" s="154">
        <f t="shared" ref="AC106:AC121" si="332">(AC26-Y26)/Y26*100</f>
        <v>-10.682564639767781</v>
      </c>
      <c r="AD106" s="154">
        <f t="shared" ref="AD106:AD121" si="333">(AD26-Z26)/Z26*100</f>
        <v>0.41975102266384345</v>
      </c>
      <c r="AE106" s="154">
        <f t="shared" ref="AE106:AE121" si="334">(AE26-AA26)/AA26*100</f>
        <v>3.6792263888912977</v>
      </c>
      <c r="AF106" s="154">
        <f t="shared" ref="AF106:AF121" si="335">(AF26-AB26)/AB26*100</f>
        <v>-8.2439187194704626</v>
      </c>
      <c r="AG106" s="154">
        <f t="shared" ref="AG106:AG121" si="336">(AG26-AC26)/AC26*100</f>
        <v>6.1365494227609698</v>
      </c>
      <c r="AH106" s="154">
        <f t="shared" ref="AH106:AH121" si="337">(AH26-AD26)/AD26*100</f>
        <v>-1.0593421919591253</v>
      </c>
      <c r="AI106" s="154">
        <f t="shared" ref="AI106:AI121" si="338">(AI26-AE26)/AE26*100</f>
        <v>13.774905933178921</v>
      </c>
      <c r="AJ106" s="154">
        <f t="shared" ref="AJ106:AJ121" si="339">(AJ26-AF26)/AF26*100</f>
        <v>8.9497998753454233</v>
      </c>
      <c r="AK106" s="154">
        <f t="shared" ref="AK106:AK121" si="340">(AK26-AG26)/AG26*100</f>
        <v>-8.7284016572537002</v>
      </c>
      <c r="AL106" s="154">
        <f t="shared" ref="AL106:AL121" si="341">(AL26-AH26)/AH26*100</f>
        <v>1.8718459054246877</v>
      </c>
      <c r="AM106" s="154">
        <f t="shared" ref="AM106:AM121" si="342">(AM26-AI26)/AI26*100</f>
        <v>-7.7711633470387618</v>
      </c>
      <c r="AN106" s="154">
        <f t="shared" ref="AN106:AN121" si="343">(AN26-AJ26)/AJ26*100</f>
        <v>7.6176483251006415</v>
      </c>
      <c r="AO106" s="154">
        <f t="shared" ref="AO106:AO121" si="344">(AO26-AK26)/AK26*100</f>
        <v>8.4463621467098484</v>
      </c>
      <c r="AP106" s="154">
        <f t="shared" ref="AP106:AP121" si="345">(AP26-AL26)/AL26*100</f>
        <v>2.430661471719048</v>
      </c>
      <c r="AQ106" s="154">
        <f t="shared" ref="AQ106:AQ121" si="346">(AQ26-AM26)/AM26*100</f>
        <v>-13.088938475317342</v>
      </c>
      <c r="AR106" s="154">
        <f t="shared" ref="AR106:AR121" si="347">(AR26-AN26)/AN26*100</f>
        <v>-1.9231432936401924</v>
      </c>
      <c r="AS106" s="154">
        <f t="shared" ref="AS106:AS121" si="348">(AS26-AO26)/AO26*100</f>
        <v>-7.3794168702789085</v>
      </c>
      <c r="AT106" s="154">
        <f t="shared" ref="AT106:AT121" si="349">(AT26-AP26)/AP26*100</f>
        <v>0.79903444489803355</v>
      </c>
      <c r="AU106" s="154">
        <f t="shared" ref="AU106:AU121" si="350">(AU26-AQ26)/AQ26*100</f>
        <v>-3.3458458636519528</v>
      </c>
      <c r="AV106" s="154">
        <f t="shared" ref="AV106:AV121" si="351">(AV26-AR26)/AR26*100</f>
        <v>-3.6998897832227056</v>
      </c>
      <c r="AW106" s="154">
        <f t="shared" ref="AW106:AW121" si="352">(AW26-AS26)/AS26*100</f>
        <v>8.8422806931370435</v>
      </c>
      <c r="AX106" s="154">
        <f t="shared" ref="AX106:AX121" si="353">(AX26-AT26)/AT26*100</f>
        <v>4.6929173534358162</v>
      </c>
      <c r="AY106" s="154">
        <f t="shared" ref="AY106:AY121" si="354">(AY26-AU26)/AU26*100</f>
        <v>4.1726774645241012</v>
      </c>
      <c r="AZ106" s="154">
        <f t="shared" ref="AZ106:AZ121" si="355">(AZ26-AV26)/AV26*100</f>
        <v>3.3618624003247577</v>
      </c>
      <c r="BA106" s="154">
        <f t="shared" ref="BA106:BA121" si="356">(BA26-AW26)/AW26*100</f>
        <v>2.1278086729678081</v>
      </c>
      <c r="BB106" s="154">
        <f t="shared" ref="BB106:BB121" si="357">(BB26-AX26)/AX26*100</f>
        <v>9.2244253883996112</v>
      </c>
      <c r="BC106" s="154">
        <f t="shared" ref="BC106:BC121" si="358">(BC26-AY26)/AY26*100</f>
        <v>11.055280665652512</v>
      </c>
      <c r="BD106" s="154">
        <f t="shared" ref="BD106:BD121" si="359">(BD26-AZ26)/AZ26*100</f>
        <v>8.9943042915557569</v>
      </c>
      <c r="BE106" s="154">
        <f t="shared" ref="BE106:BE121" si="360">(BE26-BA26)/BA26*100</f>
        <v>5.76233596221656</v>
      </c>
      <c r="BF106" s="154">
        <f t="shared" ref="BF106:BF121" si="361">(BF26-BB26)/BB26*100</f>
        <v>-4.2538271506757628</v>
      </c>
      <c r="BG106" s="154">
        <f t="shared" ref="BG106:BG121" si="362">(BG26-BC26)/BC26*100</f>
        <v>-5.2653675482779496</v>
      </c>
      <c r="BH106" s="154">
        <f t="shared" ref="BH106:BH121" si="363">(BH26-BD26)/BD26*100</f>
        <v>-4.2097293249088841</v>
      </c>
      <c r="BI106" s="154">
        <f t="shared" ref="BI106:BI121" si="364">(BI26-BE26)/BE26*100</f>
        <v>0.87108376036904334</v>
      </c>
      <c r="BJ106" s="154">
        <f t="shared" ref="BJ106:BJ121" si="365">(BJ26-BF26)/BF26*100</f>
        <v>6.0882288988469284</v>
      </c>
      <c r="BK106" s="154">
        <f t="shared" ref="BK106:BK121" si="366">(BK26-BG26)/BG26*100</f>
        <v>4.2932914630826327</v>
      </c>
      <c r="BL106" s="154">
        <f t="shared" ref="BL106:BL121" si="367">(BL26-BH26)/BH26*100</f>
        <v>2.1682259398745169</v>
      </c>
      <c r="BM106" s="154">
        <f t="shared" ref="BM106:BM121" si="368">(BM26-BI26)/BI26*100</f>
        <v>3.218666994950242</v>
      </c>
      <c r="BN106" s="154">
        <f t="shared" ref="BN106:BN121" si="369">(BN26-BJ26)/BJ26*100</f>
        <v>-0.60669624536897815</v>
      </c>
      <c r="BO106" s="154">
        <f t="shared" ref="BO106:BO121" si="370">(BO26-BK26)/BK26*100</f>
        <v>1.6341030412008204</v>
      </c>
      <c r="BP106" s="154">
        <f t="shared" ref="BP106:BP121" si="371">(BP26-BL26)/BL26*100</f>
        <v>0.53337505752620917</v>
      </c>
      <c r="BQ106" s="154">
        <f t="shared" ref="BQ106:BQ121" si="372">(BQ26-BM26)/BM26*100</f>
        <v>-0.23128156389472698</v>
      </c>
      <c r="BR106" s="154">
        <f t="shared" ref="BR106:BR121" si="373">(BR26-BN26)/BN26*100</f>
        <v>3.237038805375783</v>
      </c>
      <c r="BS106" s="154">
        <f t="shared" ref="BS106:BS121" si="374">(BS26-BO26)/BO26*100</f>
        <v>6.3009149425676316</v>
      </c>
      <c r="BT106" s="154">
        <f t="shared" ref="BT106:BT121" si="375">(BT26-BP26)/BP26*100</f>
        <v>-0.87280772012308383</v>
      </c>
      <c r="BU106" s="154">
        <f t="shared" ref="BU106:BU121" si="376">(BU26-BQ26)/BQ26*100</f>
        <v>-0.49066901454965817</v>
      </c>
      <c r="BV106" s="154">
        <f t="shared" ref="BV106:BV121" si="377">(BV26-BR26)/BR26*100</f>
        <v>5.0065320309040731</v>
      </c>
      <c r="BW106" s="154">
        <f t="shared" ref="BW106:BW121" si="378">(BW26-BS26)/BS26*100</f>
        <v>5.7992231195084756</v>
      </c>
      <c r="BX106" s="154">
        <f t="shared" ref="BX106:BX121" si="379">(BX26-BT26)/BT26*100</f>
        <v>-1.289570334349915</v>
      </c>
      <c r="BY106" s="154">
        <f t="shared" ref="BY106:BY121" si="380">(BY26-BU26)/BU26*100</f>
        <v>1.7581752166474789</v>
      </c>
    </row>
    <row r="107" spans="1:77">
      <c r="A107" s="146" t="s">
        <v>1</v>
      </c>
      <c r="B107" s="252"/>
      <c r="C107" s="156"/>
      <c r="D107" s="156"/>
      <c r="E107" s="156"/>
      <c r="F107" s="156">
        <f t="shared" si="309"/>
        <v>3.0097500457038007</v>
      </c>
      <c r="G107" s="156">
        <f t="shared" si="310"/>
        <v>57.944660113251444</v>
      </c>
      <c r="H107" s="156">
        <f t="shared" si="311"/>
        <v>5.4742333040015332</v>
      </c>
      <c r="I107" s="156">
        <f t="shared" si="312"/>
        <v>-8.7511493856881373</v>
      </c>
      <c r="J107" s="156">
        <f t="shared" si="313"/>
        <v>9.0395908802411782</v>
      </c>
      <c r="K107" s="156">
        <f t="shared" si="314"/>
        <v>-3.2011755571277583</v>
      </c>
      <c r="L107" s="156">
        <f t="shared" si="315"/>
        <v>-1.9492089346664965</v>
      </c>
      <c r="M107" s="156">
        <f t="shared" si="316"/>
        <v>-0.84749889903298214</v>
      </c>
      <c r="N107" s="156">
        <f t="shared" si="317"/>
        <v>3.1332349081571191</v>
      </c>
      <c r="O107" s="156">
        <f t="shared" si="318"/>
        <v>2.8856462123018836</v>
      </c>
      <c r="P107" s="156">
        <f t="shared" si="319"/>
        <v>2.8752958909192574</v>
      </c>
      <c r="Q107" s="156">
        <f t="shared" si="320"/>
        <v>-8.3304976968035085</v>
      </c>
      <c r="R107" s="156">
        <f t="shared" si="321"/>
        <v>0.60665549002193375</v>
      </c>
      <c r="S107" s="156">
        <f t="shared" si="322"/>
        <v>1.3375225409331328</v>
      </c>
      <c r="T107" s="156">
        <f t="shared" si="323"/>
        <v>-2.2721994768929203</v>
      </c>
      <c r="U107" s="156">
        <f t="shared" si="324"/>
        <v>-16.050173647160005</v>
      </c>
      <c r="V107" s="156">
        <f t="shared" si="325"/>
        <v>-15.815735445199437</v>
      </c>
      <c r="W107" s="156">
        <f t="shared" si="326"/>
        <v>-15.08417839949513</v>
      </c>
      <c r="X107" s="156">
        <f t="shared" si="327"/>
        <v>35.349237179254224</v>
      </c>
      <c r="Y107" s="156">
        <f t="shared" si="328"/>
        <v>21.938346162548044</v>
      </c>
      <c r="Z107" s="156">
        <f t="shared" si="329"/>
        <v>14.508758971818725</v>
      </c>
      <c r="AA107" s="156">
        <f t="shared" si="330"/>
        <v>19.1135223814508</v>
      </c>
      <c r="AB107" s="156">
        <f t="shared" si="331"/>
        <v>-18.102870718451584</v>
      </c>
      <c r="AC107" s="156">
        <f t="shared" si="332"/>
        <v>-14.000604315689227</v>
      </c>
      <c r="AD107" s="156">
        <f t="shared" si="333"/>
        <v>7.4795039804115113</v>
      </c>
      <c r="AE107" s="156">
        <f t="shared" si="334"/>
        <v>7.9372205398621443</v>
      </c>
      <c r="AF107" s="156">
        <f t="shared" si="335"/>
        <v>-7.4793599989486825</v>
      </c>
      <c r="AG107" s="156">
        <f t="shared" si="336"/>
        <v>17.068659475286978</v>
      </c>
      <c r="AH107" s="156">
        <f t="shared" si="337"/>
        <v>-4.0525754819102593</v>
      </c>
      <c r="AI107" s="156">
        <f t="shared" si="338"/>
        <v>15.550193539415266</v>
      </c>
      <c r="AJ107" s="156">
        <f t="shared" si="339"/>
        <v>9.7826875315666548</v>
      </c>
      <c r="AK107" s="156">
        <f t="shared" si="340"/>
        <v>-16.879382396435755</v>
      </c>
      <c r="AL107" s="156">
        <f t="shared" si="341"/>
        <v>2.5990285682535551E-2</v>
      </c>
      <c r="AM107" s="156">
        <f t="shared" si="342"/>
        <v>-9.7707032369412694</v>
      </c>
      <c r="AN107" s="156">
        <f t="shared" si="343"/>
        <v>9.2770130084852855</v>
      </c>
      <c r="AO107" s="156">
        <f t="shared" si="344"/>
        <v>15.930516598406369</v>
      </c>
      <c r="AP107" s="156">
        <f t="shared" si="345"/>
        <v>5.5383230268886106</v>
      </c>
      <c r="AQ107" s="156">
        <f t="shared" si="346"/>
        <v>-15.009490145493773</v>
      </c>
      <c r="AR107" s="156">
        <f t="shared" si="347"/>
        <v>0.34121911869675059</v>
      </c>
      <c r="AS107" s="156">
        <f t="shared" si="348"/>
        <v>-7.1577021235221601</v>
      </c>
      <c r="AT107" s="156">
        <f t="shared" si="349"/>
        <v>5.1725665257178468</v>
      </c>
      <c r="AU107" s="156">
        <f t="shared" si="350"/>
        <v>-2.8858049365766107</v>
      </c>
      <c r="AV107" s="156">
        <f t="shared" si="351"/>
        <v>-3.8679803733117177</v>
      </c>
      <c r="AW107" s="156">
        <f t="shared" si="352"/>
        <v>12.21921203639895</v>
      </c>
      <c r="AX107" s="156">
        <f t="shared" si="353"/>
        <v>4.6762136117014999</v>
      </c>
      <c r="AY107" s="156">
        <f t="shared" si="354"/>
        <v>4.4894985102640028</v>
      </c>
      <c r="AZ107" s="156">
        <f t="shared" si="355"/>
        <v>3.4713945837143019</v>
      </c>
      <c r="BA107" s="156">
        <f t="shared" si="356"/>
        <v>3.6458858012875823</v>
      </c>
      <c r="BB107" s="156">
        <f t="shared" si="357"/>
        <v>17.384189860886263</v>
      </c>
      <c r="BC107" s="156">
        <f t="shared" si="358"/>
        <v>15.011462279841187</v>
      </c>
      <c r="BD107" s="156">
        <f t="shared" si="359"/>
        <v>13.633124369818095</v>
      </c>
      <c r="BE107" s="156">
        <f t="shared" si="360"/>
        <v>11.663615088860583</v>
      </c>
      <c r="BF107" s="156">
        <f t="shared" si="361"/>
        <v>-3.1696861526979694</v>
      </c>
      <c r="BG107" s="156">
        <f t="shared" si="362"/>
        <v>-4.7275583180103631</v>
      </c>
      <c r="BH107" s="156">
        <f t="shared" si="363"/>
        <v>-3.9184441228819313</v>
      </c>
      <c r="BI107" s="156">
        <f t="shared" si="364"/>
        <v>3.5024031176707617</v>
      </c>
      <c r="BJ107" s="156">
        <f t="shared" si="365"/>
        <v>3.7637380016334805</v>
      </c>
      <c r="BK107" s="156">
        <f t="shared" si="366"/>
        <v>4.508158656868118</v>
      </c>
      <c r="BL107" s="156">
        <f t="shared" si="367"/>
        <v>0.2366558842170271</v>
      </c>
      <c r="BM107" s="156">
        <f t="shared" si="368"/>
        <v>4.5984037805946046E-3</v>
      </c>
      <c r="BN107" s="156">
        <f t="shared" si="369"/>
        <v>-0.77012217242677072</v>
      </c>
      <c r="BO107" s="156">
        <f t="shared" si="370"/>
        <v>0.54093310100492142</v>
      </c>
      <c r="BP107" s="156">
        <f t="shared" si="371"/>
        <v>2.0659329922398726</v>
      </c>
      <c r="BQ107" s="156">
        <f t="shared" si="372"/>
        <v>2.6229582373293212</v>
      </c>
      <c r="BR107" s="156">
        <f t="shared" si="373"/>
        <v>5.8200265952387902</v>
      </c>
      <c r="BS107" s="156">
        <f t="shared" si="374"/>
        <v>6.7051700093339131</v>
      </c>
      <c r="BT107" s="156">
        <f t="shared" si="375"/>
        <v>-2.2882910930828593</v>
      </c>
      <c r="BU107" s="156">
        <f t="shared" si="376"/>
        <v>-1.770912661720174</v>
      </c>
      <c r="BV107" s="156">
        <f t="shared" si="377"/>
        <v>6.0103959279397552</v>
      </c>
      <c r="BW107" s="156">
        <f t="shared" si="378"/>
        <v>7.9336533491189591</v>
      </c>
      <c r="BX107" s="156">
        <f t="shared" si="379"/>
        <v>-1.8883197613675042</v>
      </c>
      <c r="BY107" s="156">
        <f t="shared" si="380"/>
        <v>-0.85964701051190218</v>
      </c>
    </row>
    <row r="108" spans="1:77">
      <c r="A108" s="149" t="s">
        <v>2</v>
      </c>
      <c r="B108" s="253"/>
      <c r="C108" s="157"/>
      <c r="D108" s="157"/>
      <c r="E108" s="157"/>
      <c r="F108" s="157">
        <f t="shared" si="309"/>
        <v>38.799913120344826</v>
      </c>
      <c r="G108" s="157">
        <f t="shared" si="310"/>
        <v>38.816237184164102</v>
      </c>
      <c r="H108" s="157">
        <f t="shared" si="311"/>
        <v>39.171512476508973</v>
      </c>
      <c r="I108" s="157">
        <f t="shared" si="312"/>
        <v>40.375405507573603</v>
      </c>
      <c r="J108" s="157">
        <f t="shared" si="313"/>
        <v>-0.9768282845888796</v>
      </c>
      <c r="K108" s="157">
        <f t="shared" si="314"/>
        <v>1.7013858151920691</v>
      </c>
      <c r="L108" s="157">
        <f t="shared" si="315"/>
        <v>2.0084895643427041</v>
      </c>
      <c r="M108" s="157">
        <f t="shared" si="316"/>
        <v>1.6738819094470083</v>
      </c>
      <c r="N108" s="157">
        <f t="shared" si="317"/>
        <v>1.0648609376519778</v>
      </c>
      <c r="O108" s="157">
        <f t="shared" si="318"/>
        <v>-0.91260872733164322</v>
      </c>
      <c r="P108" s="157">
        <f t="shared" si="319"/>
        <v>-2.6627269937363618</v>
      </c>
      <c r="Q108" s="157">
        <f t="shared" si="320"/>
        <v>-2.7945661863179843</v>
      </c>
      <c r="R108" s="157">
        <f t="shared" si="321"/>
        <v>-28.171709728290999</v>
      </c>
      <c r="S108" s="157">
        <f t="shared" si="322"/>
        <v>-27.812450217905521</v>
      </c>
      <c r="T108" s="157">
        <f t="shared" si="323"/>
        <v>-27.320690958621345</v>
      </c>
      <c r="U108" s="157">
        <f t="shared" si="324"/>
        <v>-26.872397200625592</v>
      </c>
      <c r="V108" s="157">
        <f t="shared" si="325"/>
        <v>-2.5833315970164348</v>
      </c>
      <c r="W108" s="157">
        <f t="shared" si="326"/>
        <v>-1.8951622089369662</v>
      </c>
      <c r="X108" s="157">
        <f t="shared" si="327"/>
        <v>-2.9040838698935612</v>
      </c>
      <c r="Y108" s="157">
        <f t="shared" si="328"/>
        <v>-2.9299502295710806</v>
      </c>
      <c r="Z108" s="157">
        <f t="shared" si="329"/>
        <v>-5.6005922082814914</v>
      </c>
      <c r="AA108" s="157">
        <f t="shared" si="330"/>
        <v>-4.6145455377149664</v>
      </c>
      <c r="AB108" s="157">
        <f t="shared" si="331"/>
        <v>-4.5033833705068735</v>
      </c>
      <c r="AC108" s="157">
        <f t="shared" si="332"/>
        <v>-5.7307481238510256</v>
      </c>
      <c r="AD108" s="157">
        <f t="shared" si="333"/>
        <v>-11.990552143698086</v>
      </c>
      <c r="AE108" s="157">
        <f t="shared" si="334"/>
        <v>-11.583473776490589</v>
      </c>
      <c r="AF108" s="157">
        <f t="shared" si="335"/>
        <v>-10.343349371100643</v>
      </c>
      <c r="AG108" s="157">
        <f t="shared" si="336"/>
        <v>-8.7471984016902251</v>
      </c>
      <c r="AH108" s="157">
        <f t="shared" si="337"/>
        <v>5.3664963722212127</v>
      </c>
      <c r="AI108" s="157">
        <f t="shared" si="338"/>
        <v>6.0064838218612904</v>
      </c>
      <c r="AJ108" s="157">
        <f t="shared" si="339"/>
        <v>6.589684518366604</v>
      </c>
      <c r="AK108" s="157">
        <f t="shared" si="340"/>
        <v>5.508405865938161</v>
      </c>
      <c r="AL108" s="157">
        <f t="shared" si="341"/>
        <v>5.4802714985680119</v>
      </c>
      <c r="AM108" s="157">
        <f t="shared" si="342"/>
        <v>1.7662897430557725</v>
      </c>
      <c r="AN108" s="157">
        <f t="shared" si="343"/>
        <v>2.7747279428374325</v>
      </c>
      <c r="AO108" s="157">
        <f t="shared" si="344"/>
        <v>-1.8519769611565797</v>
      </c>
      <c r="AP108" s="157">
        <f t="shared" si="345"/>
        <v>-3.3303051932363958</v>
      </c>
      <c r="AQ108" s="157">
        <f t="shared" si="346"/>
        <v>-4.9667704481444206</v>
      </c>
      <c r="AR108" s="157">
        <f t="shared" si="347"/>
        <v>-8.949883602417632</v>
      </c>
      <c r="AS108" s="157">
        <f t="shared" si="348"/>
        <v>-7.7397757613269125</v>
      </c>
      <c r="AT108" s="157">
        <f t="shared" si="349"/>
        <v>-8.0524030149571733</v>
      </c>
      <c r="AU108" s="157">
        <f t="shared" si="350"/>
        <v>-5.0857983544362746</v>
      </c>
      <c r="AV108" s="157">
        <f t="shared" si="351"/>
        <v>-3.1250454744601059</v>
      </c>
      <c r="AW108" s="157">
        <f t="shared" si="352"/>
        <v>3.3190362050129103</v>
      </c>
      <c r="AX108" s="157">
        <f t="shared" si="353"/>
        <v>4.731585855050688</v>
      </c>
      <c r="AY108" s="157">
        <f t="shared" si="354"/>
        <v>2.9466323278061322</v>
      </c>
      <c r="AZ108" s="157">
        <f t="shared" si="355"/>
        <v>2.9901516394915868</v>
      </c>
      <c r="BA108" s="157">
        <f t="shared" si="356"/>
        <v>-0.5690161845888092</v>
      </c>
      <c r="BB108" s="157">
        <f t="shared" si="357"/>
        <v>-9.6551196980839116</v>
      </c>
      <c r="BC108" s="157">
        <f t="shared" si="358"/>
        <v>-4.4839372382180329</v>
      </c>
      <c r="BD108" s="157">
        <f t="shared" si="359"/>
        <v>-6.821654406812935</v>
      </c>
      <c r="BE108" s="157">
        <f t="shared" si="360"/>
        <v>-5.1655308546109655</v>
      </c>
      <c r="BF108" s="157">
        <f t="shared" si="361"/>
        <v>-7.5129875177949375</v>
      </c>
      <c r="BG108" s="157">
        <f t="shared" si="362"/>
        <v>-7.8089504741351012</v>
      </c>
      <c r="BH108" s="157">
        <f t="shared" si="363"/>
        <v>-5.4208749608752198</v>
      </c>
      <c r="BI108" s="157">
        <f t="shared" si="364"/>
        <v>-4.8662255405305315</v>
      </c>
      <c r="BJ108" s="157">
        <f t="shared" si="365"/>
        <v>13.40430813873294</v>
      </c>
      <c r="BK108" s="157">
        <f t="shared" si="366"/>
        <v>3.2431052855491047</v>
      </c>
      <c r="BL108" s="157">
        <f t="shared" si="367"/>
        <v>10.327154789379431</v>
      </c>
      <c r="BM108" s="157">
        <f t="shared" si="368"/>
        <v>10.843064826644566</v>
      </c>
      <c r="BN108" s="157">
        <f t="shared" si="369"/>
        <v>-0.13605762405986521</v>
      </c>
      <c r="BO108" s="157">
        <f t="shared" si="370"/>
        <v>7.0425553485276096</v>
      </c>
      <c r="BP108" s="157">
        <f t="shared" si="371"/>
        <v>-5.348065791396456</v>
      </c>
      <c r="BQ108" s="157">
        <f t="shared" si="372"/>
        <v>-6.3400309850735441</v>
      </c>
      <c r="BR108" s="157">
        <f t="shared" si="373"/>
        <v>-4.1542931730996635</v>
      </c>
      <c r="BS108" s="157">
        <f t="shared" si="374"/>
        <v>4.4223455652245054</v>
      </c>
      <c r="BT108" s="157">
        <f t="shared" si="375"/>
        <v>4.9848355752175006</v>
      </c>
      <c r="BU108" s="157">
        <f t="shared" si="376"/>
        <v>2.5115681879452114</v>
      </c>
      <c r="BV108" s="157">
        <f t="shared" si="377"/>
        <v>1.8349905711719485</v>
      </c>
      <c r="BW108" s="157">
        <f t="shared" si="378"/>
        <v>-4.3362901765531214</v>
      </c>
      <c r="BX108" s="157">
        <f t="shared" si="379"/>
        <v>1.0165570693391077</v>
      </c>
      <c r="BY108" s="157">
        <f t="shared" si="380"/>
        <v>7.6406456820690014</v>
      </c>
    </row>
    <row r="109" spans="1:77">
      <c r="A109" s="145" t="s">
        <v>3</v>
      </c>
      <c r="B109" s="256"/>
      <c r="C109" s="155"/>
      <c r="D109" s="155"/>
      <c r="E109" s="155"/>
      <c r="F109" s="155">
        <f t="shared" si="309"/>
        <v>2.1616908688543042</v>
      </c>
      <c r="G109" s="155">
        <f t="shared" si="310"/>
        <v>1.6729677135596581</v>
      </c>
      <c r="H109" s="155">
        <f t="shared" si="311"/>
        <v>1.7142614880755733</v>
      </c>
      <c r="I109" s="155">
        <f t="shared" si="312"/>
        <v>3.4875277618440679</v>
      </c>
      <c r="J109" s="155">
        <f t="shared" si="313"/>
        <v>2.6680565809194894</v>
      </c>
      <c r="K109" s="155">
        <f t="shared" si="314"/>
        <v>4.508880326100277</v>
      </c>
      <c r="L109" s="155">
        <f t="shared" si="315"/>
        <v>2.6389052069167014</v>
      </c>
      <c r="M109" s="155">
        <f t="shared" si="316"/>
        <v>2.2338720688047715</v>
      </c>
      <c r="N109" s="155">
        <f t="shared" si="317"/>
        <v>7.2979267299611503E-2</v>
      </c>
      <c r="O109" s="155">
        <f t="shared" si="318"/>
        <v>-1.6514182700667204</v>
      </c>
      <c r="P109" s="155">
        <f t="shared" si="319"/>
        <v>-3.1580952778870484</v>
      </c>
      <c r="Q109" s="155">
        <f t="shared" si="320"/>
        <v>-3.023204074754263</v>
      </c>
      <c r="R109" s="155">
        <f t="shared" si="321"/>
        <v>-1.9556090227930638</v>
      </c>
      <c r="S109" s="155">
        <f t="shared" si="322"/>
        <v>-0.76867227754494194</v>
      </c>
      <c r="T109" s="155">
        <f t="shared" si="323"/>
        <v>1.6789470786172596</v>
      </c>
      <c r="U109" s="155">
        <f t="shared" si="324"/>
        <v>4.3699680211985807</v>
      </c>
      <c r="V109" s="155">
        <f t="shared" si="325"/>
        <v>6.8878216679279101</v>
      </c>
      <c r="W109" s="155">
        <f t="shared" si="326"/>
        <v>7.8724155280855497</v>
      </c>
      <c r="X109" s="155">
        <f t="shared" si="327"/>
        <v>8.5100333753579527</v>
      </c>
      <c r="Y109" s="155">
        <f t="shared" si="328"/>
        <v>8.5652983962469857</v>
      </c>
      <c r="Z109" s="155">
        <f t="shared" si="329"/>
        <v>8.1319508551786921</v>
      </c>
      <c r="AA109" s="155">
        <f t="shared" si="330"/>
        <v>6.4269309764687907</v>
      </c>
      <c r="AB109" s="155">
        <f t="shared" si="331"/>
        <v>3.3637537649288474</v>
      </c>
      <c r="AC109" s="155">
        <f t="shared" si="332"/>
        <v>2.3969333360652416</v>
      </c>
      <c r="AD109" s="155">
        <f t="shared" si="333"/>
        <v>-1.1901174915444719</v>
      </c>
      <c r="AE109" s="155">
        <f t="shared" si="334"/>
        <v>0.44939611742710373</v>
      </c>
      <c r="AF109" s="155">
        <f t="shared" si="335"/>
        <v>2.8468981022843765</v>
      </c>
      <c r="AG109" s="155">
        <f t="shared" si="336"/>
        <v>1.8816104312195325</v>
      </c>
      <c r="AH109" s="155">
        <f t="shared" si="337"/>
        <v>1.4287130181919365</v>
      </c>
      <c r="AI109" s="155">
        <f t="shared" si="338"/>
        <v>-1.5500220673281777</v>
      </c>
      <c r="AJ109" s="155">
        <f t="shared" si="339"/>
        <v>-2.3360802592147594</v>
      </c>
      <c r="AK109" s="155">
        <f t="shared" si="340"/>
        <v>-3.2787652089535713</v>
      </c>
      <c r="AL109" s="155">
        <f t="shared" si="341"/>
        <v>2.4983652736592119</v>
      </c>
      <c r="AM109" s="155">
        <f t="shared" si="342"/>
        <v>4.8073687299291858</v>
      </c>
      <c r="AN109" s="155">
        <f t="shared" si="343"/>
        <v>6.5482882802726987</v>
      </c>
      <c r="AO109" s="155">
        <f t="shared" si="344"/>
        <v>7.1584769238588208</v>
      </c>
      <c r="AP109" s="155">
        <f t="shared" si="345"/>
        <v>4.6193568166128758</v>
      </c>
      <c r="AQ109" s="155">
        <f t="shared" si="346"/>
        <v>7.6349639468178356</v>
      </c>
      <c r="AR109" s="155">
        <f t="shared" si="347"/>
        <v>7.3613937457997771</v>
      </c>
      <c r="AS109" s="155">
        <f t="shared" si="348"/>
        <v>7.4423322538117693</v>
      </c>
      <c r="AT109" s="155">
        <f t="shared" si="349"/>
        <v>6.3378892506946833</v>
      </c>
      <c r="AU109" s="155">
        <f t="shared" si="350"/>
        <v>5.115581982510669</v>
      </c>
      <c r="AV109" s="155">
        <f t="shared" si="351"/>
        <v>5.221821383408316</v>
      </c>
      <c r="AW109" s="155">
        <f t="shared" si="352"/>
        <v>7.0691959268482627</v>
      </c>
      <c r="AX109" s="155">
        <f t="shared" si="353"/>
        <v>7.4263173706217005</v>
      </c>
      <c r="AY109" s="155">
        <f t="shared" si="354"/>
        <v>6.1046481165253841</v>
      </c>
      <c r="AZ109" s="155">
        <f t="shared" si="355"/>
        <v>4.3509942918377238</v>
      </c>
      <c r="BA109" s="155">
        <f t="shared" si="356"/>
        <v>6.0054732765910614</v>
      </c>
      <c r="BB109" s="155">
        <f t="shared" si="357"/>
        <v>2.9472051898694018</v>
      </c>
      <c r="BC109" s="155">
        <f t="shared" si="358"/>
        <v>6.0512291903363487</v>
      </c>
      <c r="BD109" s="155">
        <f t="shared" si="359"/>
        <v>4.6546424020537618</v>
      </c>
      <c r="BE109" s="155">
        <f t="shared" si="360"/>
        <v>-2.946581655608294</v>
      </c>
      <c r="BF109" s="155">
        <f t="shared" si="361"/>
        <v>-7.4191957022549913</v>
      </c>
      <c r="BG109" s="155">
        <f t="shared" si="362"/>
        <v>-11.518867370270167</v>
      </c>
      <c r="BH109" s="155">
        <f t="shared" si="363"/>
        <v>-8.5134138053918491</v>
      </c>
      <c r="BI109" s="155">
        <f t="shared" si="364"/>
        <v>-3.068881225319017</v>
      </c>
      <c r="BJ109" s="155">
        <f t="shared" si="365"/>
        <v>4.2187409377237675</v>
      </c>
      <c r="BK109" s="155">
        <f t="shared" si="366"/>
        <v>7.8923850251109231</v>
      </c>
      <c r="BL109" s="155">
        <f t="shared" si="367"/>
        <v>4.908433826873976</v>
      </c>
      <c r="BM109" s="155">
        <f t="shared" si="368"/>
        <v>3.7867900449356493</v>
      </c>
      <c r="BN109" s="155">
        <f t="shared" si="369"/>
        <v>4.8284144137782992</v>
      </c>
      <c r="BO109" s="155">
        <f t="shared" si="370"/>
        <v>1.7343593230475847</v>
      </c>
      <c r="BP109" s="155">
        <f t="shared" si="371"/>
        <v>2.0816925487668487</v>
      </c>
      <c r="BQ109" s="155">
        <f t="shared" si="372"/>
        <v>2.6588097940532225</v>
      </c>
      <c r="BR109" s="155">
        <f t="shared" si="373"/>
        <v>0.58118814639114302</v>
      </c>
      <c r="BS109" s="155">
        <f t="shared" si="374"/>
        <v>1.584270230542955</v>
      </c>
      <c r="BT109" s="155">
        <f t="shared" si="375"/>
        <v>1.9096338025650337</v>
      </c>
      <c r="BU109" s="155">
        <f t="shared" si="376"/>
        <v>2.8849053231096171</v>
      </c>
      <c r="BV109" s="155">
        <f t="shared" si="377"/>
        <v>-0.2105978292271527</v>
      </c>
      <c r="BW109" s="155">
        <f t="shared" si="378"/>
        <v>2.3299372714492987</v>
      </c>
      <c r="BX109" s="155">
        <f t="shared" si="379"/>
        <v>2.4660675416701416E-2</v>
      </c>
      <c r="BY109" s="155">
        <f t="shared" si="380"/>
        <v>1.3881001936840145</v>
      </c>
    </row>
    <row r="110" spans="1:77">
      <c r="A110" s="146" t="s">
        <v>4</v>
      </c>
      <c r="B110" s="252"/>
      <c r="C110" s="156"/>
      <c r="D110" s="156"/>
      <c r="E110" s="156"/>
      <c r="F110" s="156">
        <f t="shared" si="309"/>
        <v>2.6270137223237588</v>
      </c>
      <c r="G110" s="156">
        <f t="shared" si="310"/>
        <v>1.5223053194385101</v>
      </c>
      <c r="H110" s="156">
        <f t="shared" si="311"/>
        <v>0.78570492515564527</v>
      </c>
      <c r="I110" s="156">
        <f t="shared" si="312"/>
        <v>2.1198529398329136</v>
      </c>
      <c r="J110" s="156">
        <f t="shared" si="313"/>
        <v>1.6219877305971742</v>
      </c>
      <c r="K110" s="156">
        <f t="shared" si="314"/>
        <v>4.2578843735201009</v>
      </c>
      <c r="L110" s="156">
        <f t="shared" si="315"/>
        <v>2.8327666529223783</v>
      </c>
      <c r="M110" s="156">
        <f t="shared" si="316"/>
        <v>1.91870542643396</v>
      </c>
      <c r="N110" s="156">
        <f t="shared" si="317"/>
        <v>1.6955764371806676</v>
      </c>
      <c r="O110" s="156">
        <f t="shared" si="318"/>
        <v>3.8137061957722643E-3</v>
      </c>
      <c r="P110" s="156">
        <f t="shared" si="319"/>
        <v>-1.7107591416554153</v>
      </c>
      <c r="Q110" s="156">
        <f t="shared" si="320"/>
        <v>-1.6098998702630751</v>
      </c>
      <c r="R110" s="156">
        <f t="shared" si="321"/>
        <v>-1.1344969574890054</v>
      </c>
      <c r="S110" s="156">
        <f t="shared" si="322"/>
        <v>-0.25591864053198721</v>
      </c>
      <c r="T110" s="156">
        <f t="shared" si="323"/>
        <v>2.3119484978874612</v>
      </c>
      <c r="U110" s="156">
        <f t="shared" si="324"/>
        <v>5.3347760504350026</v>
      </c>
      <c r="V110" s="156">
        <f t="shared" si="325"/>
        <v>7.5525375246764739</v>
      </c>
      <c r="W110" s="156">
        <f t="shared" si="326"/>
        <v>8.5332367809584042</v>
      </c>
      <c r="X110" s="156">
        <f t="shared" si="327"/>
        <v>8.9632310535929012</v>
      </c>
      <c r="Y110" s="156">
        <f t="shared" si="328"/>
        <v>9.2125069537113173</v>
      </c>
      <c r="Z110" s="156">
        <f t="shared" si="329"/>
        <v>6.1897117603957996</v>
      </c>
      <c r="AA110" s="156">
        <f t="shared" si="330"/>
        <v>4.6081909091120137</v>
      </c>
      <c r="AB110" s="156">
        <f t="shared" si="331"/>
        <v>1.3788734520463166</v>
      </c>
      <c r="AC110" s="156">
        <f t="shared" si="332"/>
        <v>0.18152157596361973</v>
      </c>
      <c r="AD110" s="156">
        <f t="shared" si="333"/>
        <v>0.31301004684413186</v>
      </c>
      <c r="AE110" s="156">
        <f t="shared" si="334"/>
        <v>2.1135928220629907</v>
      </c>
      <c r="AF110" s="156">
        <f t="shared" si="335"/>
        <v>4.5829101388528297</v>
      </c>
      <c r="AG110" s="156">
        <f t="shared" si="336"/>
        <v>3.3997527768488931</v>
      </c>
      <c r="AH110" s="156">
        <f t="shared" si="337"/>
        <v>2.4919284333445733</v>
      </c>
      <c r="AI110" s="156">
        <f t="shared" si="338"/>
        <v>-0.97079018340842926</v>
      </c>
      <c r="AJ110" s="156">
        <f t="shared" si="339"/>
        <v>-1.8933349504637647</v>
      </c>
      <c r="AK110" s="156">
        <f t="shared" si="340"/>
        <v>-2.9991840663227873</v>
      </c>
      <c r="AL110" s="156">
        <f t="shared" si="341"/>
        <v>1.7177630759223073</v>
      </c>
      <c r="AM110" s="156">
        <f t="shared" si="342"/>
        <v>4.1676786552050649</v>
      </c>
      <c r="AN110" s="156">
        <f t="shared" si="343"/>
        <v>5.9900927050415715</v>
      </c>
      <c r="AO110" s="156">
        <f t="shared" si="344"/>
        <v>6.7893187911813726</v>
      </c>
      <c r="AP110" s="156">
        <f t="shared" si="345"/>
        <v>3.5743853988489156</v>
      </c>
      <c r="AQ110" s="156">
        <f t="shared" si="346"/>
        <v>7.1491581018740504</v>
      </c>
      <c r="AR110" s="156">
        <f t="shared" si="347"/>
        <v>7.0033722698549878</v>
      </c>
      <c r="AS110" s="156">
        <f t="shared" si="348"/>
        <v>6.7903380517220917</v>
      </c>
      <c r="AT110" s="156">
        <f t="shared" si="349"/>
        <v>6.5653601636096406</v>
      </c>
      <c r="AU110" s="156">
        <f t="shared" si="350"/>
        <v>5.0694952047841966</v>
      </c>
      <c r="AV110" s="156">
        <f t="shared" si="351"/>
        <v>5.1302370145363509</v>
      </c>
      <c r="AW110" s="156">
        <f t="shared" si="352"/>
        <v>7.3898742861777</v>
      </c>
      <c r="AX110" s="156">
        <f t="shared" si="353"/>
        <v>7.0308879020572936</v>
      </c>
      <c r="AY110" s="156">
        <f t="shared" si="354"/>
        <v>5.6890195879759551</v>
      </c>
      <c r="AZ110" s="156">
        <f t="shared" si="355"/>
        <v>3.6142073783835724</v>
      </c>
      <c r="BA110" s="156">
        <f t="shared" si="356"/>
        <v>5.0649744084270649</v>
      </c>
      <c r="BB110" s="156">
        <f t="shared" si="357"/>
        <v>2.8052971430409204</v>
      </c>
      <c r="BC110" s="156">
        <f t="shared" si="358"/>
        <v>6.688370421811082</v>
      </c>
      <c r="BD110" s="156">
        <f t="shared" si="359"/>
        <v>4.6847421287050395</v>
      </c>
      <c r="BE110" s="156">
        <f t="shared" si="360"/>
        <v>-3.5703257047948767</v>
      </c>
      <c r="BF110" s="156">
        <f t="shared" si="361"/>
        <v>-9.803290853500787</v>
      </c>
      <c r="BG110" s="156">
        <f t="shared" si="362"/>
        <v>-14.564677586380324</v>
      </c>
      <c r="BH110" s="156">
        <f t="shared" si="363"/>
        <v>-10.690322824476278</v>
      </c>
      <c r="BI110" s="156">
        <f t="shared" si="364"/>
        <v>-4.570346511311679</v>
      </c>
      <c r="BJ110" s="156">
        <f t="shared" si="365"/>
        <v>4.5421806085663583</v>
      </c>
      <c r="BK110" s="156">
        <f t="shared" si="366"/>
        <v>9.3566049530039681</v>
      </c>
      <c r="BL110" s="156">
        <f t="shared" si="367"/>
        <v>5.971818382181425</v>
      </c>
      <c r="BM110" s="156">
        <f t="shared" si="368"/>
        <v>4.5714056700997467</v>
      </c>
      <c r="BN110" s="156">
        <f t="shared" si="369"/>
        <v>5.8530348752405494</v>
      </c>
      <c r="BO110" s="156">
        <f t="shared" si="370"/>
        <v>1.8856897626768609</v>
      </c>
      <c r="BP110" s="156">
        <f t="shared" si="371"/>
        <v>2.3810342377261771</v>
      </c>
      <c r="BQ110" s="156">
        <f t="shared" si="372"/>
        <v>3.1766132462656902</v>
      </c>
      <c r="BR110" s="156">
        <f t="shared" si="373"/>
        <v>0.70267167212963866</v>
      </c>
      <c r="BS110" s="156">
        <f t="shared" si="374"/>
        <v>2.0378594127998624</v>
      </c>
      <c r="BT110" s="156">
        <f t="shared" si="375"/>
        <v>2.251279029974</v>
      </c>
      <c r="BU110" s="156">
        <f t="shared" si="376"/>
        <v>3.404168127356662</v>
      </c>
      <c r="BV110" s="156">
        <f t="shared" si="377"/>
        <v>-0.30201101202456637</v>
      </c>
      <c r="BW110" s="156">
        <f t="shared" si="378"/>
        <v>2.548100151709602</v>
      </c>
      <c r="BX110" s="156">
        <f t="shared" si="379"/>
        <v>-0.36450985498885941</v>
      </c>
      <c r="BY110" s="156">
        <f t="shared" si="380"/>
        <v>1.0891804834857481</v>
      </c>
    </row>
    <row r="111" spans="1:77">
      <c r="A111" s="146" t="s">
        <v>5</v>
      </c>
      <c r="B111" s="252"/>
      <c r="C111" s="156"/>
      <c r="D111" s="156"/>
      <c r="E111" s="156"/>
      <c r="F111" s="156">
        <f t="shared" si="309"/>
        <v>2.173072235089081</v>
      </c>
      <c r="G111" s="156">
        <f t="shared" si="310"/>
        <v>6.7696137045820768</v>
      </c>
      <c r="H111" s="156">
        <f t="shared" si="311"/>
        <v>13.796000233294173</v>
      </c>
      <c r="I111" s="156">
        <f t="shared" si="312"/>
        <v>21.751982836676277</v>
      </c>
      <c r="J111" s="156">
        <f t="shared" si="313"/>
        <v>10.422538920469142</v>
      </c>
      <c r="K111" s="156">
        <f t="shared" si="314"/>
        <v>7.4797382436886384</v>
      </c>
      <c r="L111" s="156">
        <f t="shared" si="315"/>
        <v>0.50426793159087746</v>
      </c>
      <c r="M111" s="156">
        <f t="shared" si="316"/>
        <v>-3.3088306127038738</v>
      </c>
      <c r="N111" s="156">
        <f t="shared" si="317"/>
        <v>-5.150885238703518</v>
      </c>
      <c r="O111" s="156">
        <f t="shared" si="318"/>
        <v>-6.3309899369580593</v>
      </c>
      <c r="P111" s="156">
        <f t="shared" si="319"/>
        <v>-6.8427554770170911</v>
      </c>
      <c r="Q111" s="156">
        <f t="shared" si="320"/>
        <v>-6.0775270496285971</v>
      </c>
      <c r="R111" s="156">
        <f t="shared" si="321"/>
        <v>-3.5129330409256374</v>
      </c>
      <c r="S111" s="156">
        <f t="shared" si="322"/>
        <v>-0.78777813375044192</v>
      </c>
      <c r="T111" s="156">
        <f t="shared" si="323"/>
        <v>1.4062936385061549</v>
      </c>
      <c r="U111" s="156">
        <f t="shared" si="324"/>
        <v>3.0679783415840176</v>
      </c>
      <c r="V111" s="156">
        <f t="shared" si="325"/>
        <v>6.8362729847710799</v>
      </c>
      <c r="W111" s="156">
        <f t="shared" si="326"/>
        <v>6.5266576337153284</v>
      </c>
      <c r="X111" s="156">
        <f t="shared" si="327"/>
        <v>6.9495699016495145</v>
      </c>
      <c r="Y111" s="156">
        <f t="shared" si="328"/>
        <v>3.2473412248918025</v>
      </c>
      <c r="Z111" s="156">
        <f t="shared" si="329"/>
        <v>1.47359134948184</v>
      </c>
      <c r="AA111" s="156">
        <f t="shared" si="330"/>
        <v>-0.7316351016517425</v>
      </c>
      <c r="AB111" s="156">
        <f t="shared" si="331"/>
        <v>-0.98260266797535034</v>
      </c>
      <c r="AC111" s="156">
        <f t="shared" si="332"/>
        <v>-0.27633296431347032</v>
      </c>
      <c r="AD111" s="156">
        <f t="shared" si="333"/>
        <v>7.6407488827925141</v>
      </c>
      <c r="AE111" s="156">
        <f t="shared" si="334"/>
        <v>9.8230966768310441</v>
      </c>
      <c r="AF111" s="156">
        <f t="shared" si="335"/>
        <v>10.139630584049538</v>
      </c>
      <c r="AG111" s="156">
        <f t="shared" si="336"/>
        <v>11.14271416206282</v>
      </c>
      <c r="AH111" s="156">
        <f t="shared" si="337"/>
        <v>-10.960917686206969</v>
      </c>
      <c r="AI111" s="156">
        <f t="shared" si="338"/>
        <v>-11.698258889345404</v>
      </c>
      <c r="AJ111" s="156">
        <f t="shared" si="339"/>
        <v>-11.752051615550355</v>
      </c>
      <c r="AK111" s="156">
        <f t="shared" si="340"/>
        <v>-11.594040527521143</v>
      </c>
      <c r="AL111" s="156">
        <f t="shared" si="341"/>
        <v>6.5848498994451239</v>
      </c>
      <c r="AM111" s="156">
        <f t="shared" si="342"/>
        <v>7.2772842009632157</v>
      </c>
      <c r="AN111" s="156">
        <f t="shared" si="343"/>
        <v>8.0074027978081492</v>
      </c>
      <c r="AO111" s="156">
        <f t="shared" si="344"/>
        <v>7.3529766958773894</v>
      </c>
      <c r="AP111" s="156">
        <f t="shared" si="345"/>
        <v>6.4369500843339491</v>
      </c>
      <c r="AQ111" s="156">
        <f t="shared" si="346"/>
        <v>6.391017744861947</v>
      </c>
      <c r="AR111" s="156">
        <f t="shared" si="347"/>
        <v>5.0489857047156246</v>
      </c>
      <c r="AS111" s="156">
        <f t="shared" si="348"/>
        <v>8.1982171313610177</v>
      </c>
      <c r="AT111" s="156">
        <f t="shared" si="349"/>
        <v>2.6837234887724817</v>
      </c>
      <c r="AU111" s="156">
        <f t="shared" si="350"/>
        <v>3.1837124469916436</v>
      </c>
      <c r="AV111" s="156">
        <f t="shared" si="351"/>
        <v>3.7917239274136207</v>
      </c>
      <c r="AW111" s="156">
        <f t="shared" si="352"/>
        <v>3.5014781533395634</v>
      </c>
      <c r="AX111" s="156">
        <f t="shared" si="353"/>
        <v>3.5486135101335541</v>
      </c>
      <c r="AY111" s="156">
        <f t="shared" si="354"/>
        <v>2.8571038174429479</v>
      </c>
      <c r="AZ111" s="156">
        <f t="shared" si="355"/>
        <v>3.9503385272870521</v>
      </c>
      <c r="BA111" s="156">
        <f t="shared" si="356"/>
        <v>2.9796829735537114</v>
      </c>
      <c r="BB111" s="156">
        <f t="shared" si="357"/>
        <v>-3.7420488911144076</v>
      </c>
      <c r="BC111" s="156">
        <f t="shared" si="358"/>
        <v>-4.8262521454733101</v>
      </c>
      <c r="BD111" s="156">
        <f t="shared" si="359"/>
        <v>-1.8176869820331631</v>
      </c>
      <c r="BE111" s="156">
        <f t="shared" si="360"/>
        <v>-5.7338551045824611</v>
      </c>
      <c r="BF111" s="156">
        <f t="shared" si="361"/>
        <v>-4.5425744552922955</v>
      </c>
      <c r="BG111" s="156">
        <f t="shared" si="362"/>
        <v>-3.5895799410577229</v>
      </c>
      <c r="BH111" s="156">
        <f t="shared" si="363"/>
        <v>-5.6692588312043455</v>
      </c>
      <c r="BI111" s="156">
        <f t="shared" si="364"/>
        <v>-1.8078127182325665</v>
      </c>
      <c r="BJ111" s="156">
        <f t="shared" si="365"/>
        <v>1.6838141405896665</v>
      </c>
      <c r="BK111" s="156">
        <f t="shared" si="366"/>
        <v>1.3790094261542061</v>
      </c>
      <c r="BL111" s="156">
        <f t="shared" si="367"/>
        <v>0.51102194777099774</v>
      </c>
      <c r="BM111" s="156">
        <f t="shared" si="368"/>
        <v>1.245184331686104</v>
      </c>
      <c r="BN111" s="156">
        <f t="shared" si="369"/>
        <v>1.827771616331066</v>
      </c>
      <c r="BO111" s="156">
        <f t="shared" si="370"/>
        <v>1.936085734791575</v>
      </c>
      <c r="BP111" s="156">
        <f t="shared" si="371"/>
        <v>0.86226011252756707</v>
      </c>
      <c r="BQ111" s="156">
        <f t="shared" si="372"/>
        <v>0.23555291057971686</v>
      </c>
      <c r="BR111" s="156">
        <f t="shared" si="373"/>
        <v>-2.144402509753192</v>
      </c>
      <c r="BS111" s="156">
        <f t="shared" si="374"/>
        <v>-3.6714843132828854</v>
      </c>
      <c r="BT111" s="156">
        <f t="shared" si="375"/>
        <v>-3.1879042558847326</v>
      </c>
      <c r="BU111" s="156">
        <f t="shared" si="376"/>
        <v>-4.1457589929623255</v>
      </c>
      <c r="BV111" s="156">
        <f t="shared" si="377"/>
        <v>-2.9985761816960244</v>
      </c>
      <c r="BW111" s="156">
        <f t="shared" si="378"/>
        <v>-0.23489528317810945</v>
      </c>
      <c r="BX111" s="156">
        <f t="shared" si="379"/>
        <v>0.61382529164666022</v>
      </c>
      <c r="BY111" s="156">
        <f t="shared" si="380"/>
        <v>-0.29638622948234578</v>
      </c>
    </row>
    <row r="112" spans="1:77">
      <c r="A112" s="149" t="s">
        <v>6</v>
      </c>
      <c r="B112" s="253"/>
      <c r="C112" s="157"/>
      <c r="D112" s="157"/>
      <c r="E112" s="157"/>
      <c r="F112" s="157">
        <f t="shared" si="309"/>
        <v>-1.8041016631943347</v>
      </c>
      <c r="G112" s="157">
        <f t="shared" si="310"/>
        <v>-1.9728088882574961</v>
      </c>
      <c r="H112" s="157">
        <f t="shared" si="311"/>
        <v>-1.7114927620116509</v>
      </c>
      <c r="I112" s="157">
        <f t="shared" si="312"/>
        <v>-1.4169082984249537</v>
      </c>
      <c r="J112" s="157">
        <f t="shared" si="313"/>
        <v>4.1956177921442546</v>
      </c>
      <c r="K112" s="157">
        <f t="shared" si="314"/>
        <v>3.5982076971836237</v>
      </c>
      <c r="L112" s="157">
        <f t="shared" si="315"/>
        <v>3.2578522323065928</v>
      </c>
      <c r="M112" s="157">
        <f t="shared" si="316"/>
        <v>12.105380471991744</v>
      </c>
      <c r="N112" s="157">
        <f t="shared" si="317"/>
        <v>-8.4409269666342031</v>
      </c>
      <c r="O112" s="157">
        <f t="shared" si="318"/>
        <v>-11.275879152442595</v>
      </c>
      <c r="P112" s="157">
        <f t="shared" si="319"/>
        <v>-12.704611939706867</v>
      </c>
      <c r="Q112" s="157">
        <f t="shared" si="320"/>
        <v>-12.560079594175951</v>
      </c>
      <c r="R112" s="157">
        <f t="shared" si="321"/>
        <v>-8.144785136081131</v>
      </c>
      <c r="S112" s="157">
        <f t="shared" si="322"/>
        <v>-5.8942334594910859</v>
      </c>
      <c r="T112" s="157">
        <f t="shared" si="323"/>
        <v>-4.7299269097687624</v>
      </c>
      <c r="U112" s="157">
        <f t="shared" si="324"/>
        <v>-3.9505781491445275</v>
      </c>
      <c r="V112" s="157">
        <f t="shared" si="325"/>
        <v>6.3058320857739728E-2</v>
      </c>
      <c r="W112" s="157">
        <f t="shared" si="326"/>
        <v>2.4791564864112048</v>
      </c>
      <c r="X112" s="157">
        <f t="shared" si="327"/>
        <v>5.3186218656786428</v>
      </c>
      <c r="Y112" s="157">
        <f t="shared" si="328"/>
        <v>7.7985260284018043</v>
      </c>
      <c r="Z112" s="157">
        <f t="shared" si="329"/>
        <v>37.961355014396084</v>
      </c>
      <c r="AA112" s="157">
        <f t="shared" si="330"/>
        <v>35.981832155316887</v>
      </c>
      <c r="AB112" s="157">
        <f t="shared" si="331"/>
        <v>32.448393822976435</v>
      </c>
      <c r="AC112" s="157">
        <f t="shared" si="332"/>
        <v>30.46781135444937</v>
      </c>
      <c r="AD112" s="157">
        <f t="shared" si="333"/>
        <v>-22.076909845077573</v>
      </c>
      <c r="AE112" s="157">
        <f t="shared" si="334"/>
        <v>-22.637481957046688</v>
      </c>
      <c r="AF112" s="157">
        <f t="shared" si="335"/>
        <v>-19.911151578499979</v>
      </c>
      <c r="AG112" s="157">
        <f t="shared" si="336"/>
        <v>-19.462117233933025</v>
      </c>
      <c r="AH112" s="157">
        <f t="shared" si="337"/>
        <v>5.2202140718895871</v>
      </c>
      <c r="AI112" s="157">
        <f t="shared" si="338"/>
        <v>5.1307056179797454</v>
      </c>
      <c r="AJ112" s="157">
        <f t="shared" si="339"/>
        <v>4.9497417349889421</v>
      </c>
      <c r="AK112" s="157">
        <f t="shared" si="340"/>
        <v>3.7786589745259587</v>
      </c>
      <c r="AL112" s="157">
        <f t="shared" si="341"/>
        <v>6.5538566933313547</v>
      </c>
      <c r="AM112" s="157">
        <f t="shared" si="342"/>
        <v>8.981784871520734</v>
      </c>
      <c r="AN112" s="157">
        <f t="shared" si="343"/>
        <v>11.082841563241079</v>
      </c>
      <c r="AO112" s="157">
        <f t="shared" si="344"/>
        <v>10.790359112545374</v>
      </c>
      <c r="AP112" s="157">
        <f t="shared" si="345"/>
        <v>13.410091445852531</v>
      </c>
      <c r="AQ112" s="157">
        <f t="shared" si="346"/>
        <v>13.988811476565214</v>
      </c>
      <c r="AR112" s="157">
        <f t="shared" si="347"/>
        <v>13.647901946649476</v>
      </c>
      <c r="AS112" s="157">
        <f t="shared" si="348"/>
        <v>13.207291062051629</v>
      </c>
      <c r="AT112" s="157">
        <f t="shared" si="349"/>
        <v>7.8433126596982703</v>
      </c>
      <c r="AU112" s="157">
        <f t="shared" si="350"/>
        <v>7.5169736208918616</v>
      </c>
      <c r="AV112" s="157">
        <f t="shared" si="351"/>
        <v>7.5673252219616165</v>
      </c>
      <c r="AW112" s="157">
        <f t="shared" si="352"/>
        <v>7.4811280213876579</v>
      </c>
      <c r="AX112" s="157">
        <f t="shared" si="353"/>
        <v>14.76043795839724</v>
      </c>
      <c r="AY112" s="157">
        <f t="shared" si="354"/>
        <v>13.192224118730381</v>
      </c>
      <c r="AZ112" s="157">
        <f t="shared" si="355"/>
        <v>11.884836233737872</v>
      </c>
      <c r="BA112" s="157">
        <f t="shared" si="356"/>
        <v>17.690161308337164</v>
      </c>
      <c r="BB112" s="157">
        <f t="shared" si="357"/>
        <v>9.8908951797704052</v>
      </c>
      <c r="BC112" s="157">
        <f t="shared" si="358"/>
        <v>10.020901847106662</v>
      </c>
      <c r="BD112" s="157">
        <f t="shared" si="359"/>
        <v>10.213429917475606</v>
      </c>
      <c r="BE112" s="157">
        <f t="shared" si="360"/>
        <v>4.5726902787132371</v>
      </c>
      <c r="BF112" s="157">
        <f t="shared" si="361"/>
        <v>9.6806991540904939</v>
      </c>
      <c r="BG112" s="157">
        <f t="shared" si="362"/>
        <v>8.5269746648781499</v>
      </c>
      <c r="BH112" s="157">
        <f t="shared" si="363"/>
        <v>7.7752795166980349</v>
      </c>
      <c r="BI112" s="157">
        <f t="shared" si="364"/>
        <v>7.6708502626028325</v>
      </c>
      <c r="BJ112" s="157">
        <f t="shared" si="365"/>
        <v>3.7227505655102515</v>
      </c>
      <c r="BK112" s="157">
        <f t="shared" si="366"/>
        <v>2.4326162948493186</v>
      </c>
      <c r="BL112" s="157">
        <f t="shared" si="367"/>
        <v>0.47921913246069137</v>
      </c>
      <c r="BM112" s="157">
        <f t="shared" si="368"/>
        <v>8.2590591144620765E-2</v>
      </c>
      <c r="BN112" s="157">
        <f t="shared" si="369"/>
        <v>-0.11306663414520524</v>
      </c>
      <c r="BO112" s="157">
        <f t="shared" si="370"/>
        <v>0.50911851304662181</v>
      </c>
      <c r="BP112" s="157">
        <f t="shared" si="371"/>
        <v>0.70652547225352913</v>
      </c>
      <c r="BQ112" s="157">
        <f t="shared" si="372"/>
        <v>0.57143300194364721</v>
      </c>
      <c r="BR112" s="157">
        <f t="shared" si="373"/>
        <v>1.4947010870025506</v>
      </c>
      <c r="BS112" s="157">
        <f t="shared" si="374"/>
        <v>1.8508489741119141</v>
      </c>
      <c r="BT112" s="157">
        <f t="shared" si="375"/>
        <v>2.9064137889850752</v>
      </c>
      <c r="BU112" s="157">
        <f t="shared" si="376"/>
        <v>3.787893004891695</v>
      </c>
      <c r="BV112" s="157">
        <f t="shared" si="377"/>
        <v>2.1835985866706999</v>
      </c>
      <c r="BW112" s="157">
        <f t="shared" si="378"/>
        <v>2.3857278316562613</v>
      </c>
      <c r="BX112" s="157">
        <f t="shared" si="379"/>
        <v>2.5656515390875838</v>
      </c>
      <c r="BY112" s="157">
        <f t="shared" si="380"/>
        <v>4.6337582853062198</v>
      </c>
    </row>
    <row r="113" spans="1:77">
      <c r="A113" s="145" t="s">
        <v>7</v>
      </c>
      <c r="B113" s="256"/>
      <c r="C113" s="155"/>
      <c r="D113" s="155"/>
      <c r="E113" s="155"/>
      <c r="F113" s="155">
        <f t="shared" si="309"/>
        <v>4.6352148656377379</v>
      </c>
      <c r="G113" s="155">
        <f t="shared" si="310"/>
        <v>4.4999611256395529</v>
      </c>
      <c r="H113" s="155">
        <f t="shared" si="311"/>
        <v>3.9487473003746421</v>
      </c>
      <c r="I113" s="155">
        <f t="shared" si="312"/>
        <v>3.7617580451816242</v>
      </c>
      <c r="J113" s="155">
        <f t="shared" si="313"/>
        <v>2.3462570653272992</v>
      </c>
      <c r="K113" s="155">
        <f t="shared" si="314"/>
        <v>2.1666892733068841</v>
      </c>
      <c r="L113" s="155">
        <f t="shared" si="315"/>
        <v>1.2778353321958609</v>
      </c>
      <c r="M113" s="155">
        <f t="shared" si="316"/>
        <v>0.36513158685708924</v>
      </c>
      <c r="N113" s="155">
        <f t="shared" si="317"/>
        <v>2.3092125050247234</v>
      </c>
      <c r="O113" s="155">
        <f t="shared" si="318"/>
        <v>3.0483052818357761</v>
      </c>
      <c r="P113" s="155">
        <f t="shared" si="319"/>
        <v>2.7773496051586788</v>
      </c>
      <c r="Q113" s="155">
        <f t="shared" si="320"/>
        <v>2.8436048350770746</v>
      </c>
      <c r="R113" s="155">
        <f t="shared" si="321"/>
        <v>2.1896798919368665</v>
      </c>
      <c r="S113" s="155">
        <f t="shared" si="322"/>
        <v>2.6386575006703334</v>
      </c>
      <c r="T113" s="155">
        <f t="shared" si="323"/>
        <v>3.5013020442548086</v>
      </c>
      <c r="U113" s="155">
        <f t="shared" si="324"/>
        <v>4.4085537962986221</v>
      </c>
      <c r="V113" s="155">
        <f t="shared" si="325"/>
        <v>3.9793505609561595</v>
      </c>
      <c r="W113" s="155">
        <f t="shared" si="326"/>
        <v>3.8629082466142868</v>
      </c>
      <c r="X113" s="155">
        <f t="shared" si="327"/>
        <v>3.5530959570273821</v>
      </c>
      <c r="Y113" s="155">
        <f t="shared" si="328"/>
        <v>3.4137100543915548</v>
      </c>
      <c r="Z113" s="155">
        <f t="shared" si="329"/>
        <v>4.6425593218228638</v>
      </c>
      <c r="AA113" s="155">
        <f t="shared" si="330"/>
        <v>4.4306443310497388</v>
      </c>
      <c r="AB113" s="155">
        <f t="shared" si="331"/>
        <v>4.2099139396054133</v>
      </c>
      <c r="AC113" s="155">
        <f t="shared" si="332"/>
        <v>4.6312762255355837</v>
      </c>
      <c r="AD113" s="155">
        <f t="shared" si="333"/>
        <v>4.4288978356651132</v>
      </c>
      <c r="AE113" s="155">
        <f t="shared" si="334"/>
        <v>4.0922302322345505</v>
      </c>
      <c r="AF113" s="155">
        <f t="shared" si="335"/>
        <v>3.7854614478743174</v>
      </c>
      <c r="AG113" s="155">
        <f t="shared" si="336"/>
        <v>3.739630034361082</v>
      </c>
      <c r="AH113" s="155">
        <f t="shared" si="337"/>
        <v>4.4423933801187445</v>
      </c>
      <c r="AI113" s="155">
        <f t="shared" si="338"/>
        <v>4.4270720332104361</v>
      </c>
      <c r="AJ113" s="155">
        <f t="shared" si="339"/>
        <v>4.9061154188510416</v>
      </c>
      <c r="AK113" s="155">
        <f t="shared" si="340"/>
        <v>4.9413912415340508</v>
      </c>
      <c r="AL113" s="155">
        <f t="shared" si="341"/>
        <v>3.9347750728604254</v>
      </c>
      <c r="AM113" s="155">
        <f t="shared" si="342"/>
        <v>4.2037205722106545</v>
      </c>
      <c r="AN113" s="155">
        <f t="shared" si="343"/>
        <v>4.227910833554704</v>
      </c>
      <c r="AO113" s="155">
        <f t="shared" si="344"/>
        <v>5.5743434019407037</v>
      </c>
      <c r="AP113" s="155">
        <f t="shared" si="345"/>
        <v>7.0107376652400921</v>
      </c>
      <c r="AQ113" s="155">
        <f t="shared" si="346"/>
        <v>6.8781764954507443</v>
      </c>
      <c r="AR113" s="155">
        <f t="shared" si="347"/>
        <v>6.8822624798566352</v>
      </c>
      <c r="AS113" s="155">
        <f t="shared" si="348"/>
        <v>6.3587800876063554</v>
      </c>
      <c r="AT113" s="155">
        <f t="shared" si="349"/>
        <v>5.3356060114813468</v>
      </c>
      <c r="AU113" s="155">
        <f t="shared" si="350"/>
        <v>5.6129119969669556</v>
      </c>
      <c r="AV113" s="155">
        <f t="shared" si="351"/>
        <v>5.8966697192413786</v>
      </c>
      <c r="AW113" s="155">
        <f t="shared" si="352"/>
        <v>6.1337158748996856</v>
      </c>
      <c r="AX113" s="155">
        <f t="shared" si="353"/>
        <v>6.9245791159724801</v>
      </c>
      <c r="AY113" s="155">
        <f t="shared" si="354"/>
        <v>6.2281650386730139</v>
      </c>
      <c r="AZ113" s="155">
        <f t="shared" si="355"/>
        <v>5.9977733275977076</v>
      </c>
      <c r="BA113" s="155">
        <f t="shared" si="356"/>
        <v>5.8289221365869004</v>
      </c>
      <c r="BB113" s="155">
        <f t="shared" si="357"/>
        <v>4.9385300164527557</v>
      </c>
      <c r="BC113" s="155">
        <f t="shared" si="358"/>
        <v>5.0964139020901822</v>
      </c>
      <c r="BD113" s="155">
        <f t="shared" si="359"/>
        <v>4.312685253724128</v>
      </c>
      <c r="BE113" s="155">
        <f t="shared" si="360"/>
        <v>3.776385201542328</v>
      </c>
      <c r="BF113" s="155">
        <f t="shared" si="361"/>
        <v>2.3691692768866992</v>
      </c>
      <c r="BG113" s="155">
        <f t="shared" si="362"/>
        <v>1.4868984061073447</v>
      </c>
      <c r="BH113" s="155">
        <f t="shared" si="363"/>
        <v>1.3025677604466104</v>
      </c>
      <c r="BI113" s="155">
        <f t="shared" si="364"/>
        <v>1.0519671996034425</v>
      </c>
      <c r="BJ113" s="155">
        <f t="shared" si="365"/>
        <v>1.6823983049308728</v>
      </c>
      <c r="BK113" s="155">
        <f t="shared" si="366"/>
        <v>2.8356486499280074</v>
      </c>
      <c r="BL113" s="155">
        <f t="shared" si="367"/>
        <v>3.2975263135914958</v>
      </c>
      <c r="BM113" s="155">
        <f t="shared" si="368"/>
        <v>3.7555512501764721</v>
      </c>
      <c r="BN113" s="155">
        <f t="shared" si="369"/>
        <v>3.9170910874388105</v>
      </c>
      <c r="BO113" s="155">
        <f t="shared" si="370"/>
        <v>3.9347759132030409</v>
      </c>
      <c r="BP113" s="155">
        <f t="shared" si="371"/>
        <v>4.1774012015783635</v>
      </c>
      <c r="BQ113" s="155">
        <f t="shared" si="372"/>
        <v>4.567836221770138</v>
      </c>
      <c r="BR113" s="155">
        <f t="shared" si="373"/>
        <v>3.909753573250768</v>
      </c>
      <c r="BS113" s="155">
        <f t="shared" si="374"/>
        <v>3.3887769455119754</v>
      </c>
      <c r="BT113" s="155">
        <f t="shared" si="375"/>
        <v>2.6868846171384257</v>
      </c>
      <c r="BU113" s="155">
        <f t="shared" si="376"/>
        <v>2.2966024744999407</v>
      </c>
      <c r="BV113" s="155">
        <f t="shared" si="377"/>
        <v>2.0903533596588058</v>
      </c>
      <c r="BW113" s="155">
        <f t="shared" si="378"/>
        <v>2.5726064098449313</v>
      </c>
      <c r="BX113" s="155">
        <f t="shared" si="379"/>
        <v>2.3576603736894466</v>
      </c>
      <c r="BY113" s="155">
        <f t="shared" si="380"/>
        <v>1.752770650281366</v>
      </c>
    </row>
    <row r="114" spans="1:77">
      <c r="A114" s="152" t="s">
        <v>8</v>
      </c>
      <c r="B114" s="252"/>
      <c r="C114" s="156"/>
      <c r="D114" s="156"/>
      <c r="E114" s="156"/>
      <c r="F114" s="156">
        <f t="shared" si="309"/>
        <v>4.1858497344459122</v>
      </c>
      <c r="G114" s="156">
        <f t="shared" si="310"/>
        <v>3.197863058931155</v>
      </c>
      <c r="H114" s="156">
        <f t="shared" si="311"/>
        <v>1.4485926694057654</v>
      </c>
      <c r="I114" s="156">
        <f t="shared" si="312"/>
        <v>0.62443808763338149</v>
      </c>
      <c r="J114" s="156">
        <f t="shared" si="313"/>
        <v>2.2730282606317842</v>
      </c>
      <c r="K114" s="156">
        <f t="shared" si="314"/>
        <v>1.3039443538024931</v>
      </c>
      <c r="L114" s="156">
        <f t="shared" si="315"/>
        <v>0.33073380782022593</v>
      </c>
      <c r="M114" s="156">
        <f t="shared" si="316"/>
        <v>-1.2919777401551009</v>
      </c>
      <c r="N114" s="156">
        <f t="shared" si="317"/>
        <v>-0.3661196581715917</v>
      </c>
      <c r="O114" s="156">
        <f t="shared" si="318"/>
        <v>1.1661430370901589</v>
      </c>
      <c r="P114" s="156">
        <f t="shared" si="319"/>
        <v>1.0225747008090507</v>
      </c>
      <c r="Q114" s="156">
        <f t="shared" si="320"/>
        <v>1.5735697032015532</v>
      </c>
      <c r="R114" s="156">
        <f t="shared" si="321"/>
        <v>3.985349422006685</v>
      </c>
      <c r="S114" s="156">
        <f t="shared" si="322"/>
        <v>5.6779152094325962</v>
      </c>
      <c r="T114" s="156">
        <f t="shared" si="323"/>
        <v>7.779523239108717</v>
      </c>
      <c r="U114" s="156">
        <f t="shared" si="324"/>
        <v>10.510812970269514</v>
      </c>
      <c r="V114" s="156">
        <f t="shared" si="325"/>
        <v>9.64826032911167</v>
      </c>
      <c r="W114" s="156">
        <f t="shared" si="326"/>
        <v>9.5274748261945685</v>
      </c>
      <c r="X114" s="156">
        <f t="shared" si="327"/>
        <v>7.9461823842504806</v>
      </c>
      <c r="Y114" s="156">
        <f t="shared" si="328"/>
        <v>6.3472984145590381</v>
      </c>
      <c r="Z114" s="156">
        <f t="shared" si="329"/>
        <v>10.097267329705023</v>
      </c>
      <c r="AA114" s="156">
        <f t="shared" si="330"/>
        <v>8.2992747868424441</v>
      </c>
      <c r="AB114" s="156">
        <f t="shared" si="331"/>
        <v>6.7665754276436685</v>
      </c>
      <c r="AC114" s="156">
        <f t="shared" si="332"/>
        <v>6.464008944534819</v>
      </c>
      <c r="AD114" s="156">
        <f t="shared" si="333"/>
        <v>1.4024065995740989</v>
      </c>
      <c r="AE114" s="156">
        <f t="shared" si="334"/>
        <v>1.8166279253321191</v>
      </c>
      <c r="AF114" s="156">
        <f t="shared" si="335"/>
        <v>2.8745582332670065</v>
      </c>
      <c r="AG114" s="156">
        <f t="shared" si="336"/>
        <v>3.4967410251701074</v>
      </c>
      <c r="AH114" s="156">
        <f t="shared" si="337"/>
        <v>2.4446574609038718</v>
      </c>
      <c r="AI114" s="156">
        <f t="shared" si="338"/>
        <v>2.6459821790984677</v>
      </c>
      <c r="AJ114" s="156">
        <f t="shared" si="339"/>
        <v>4.2871355557715969</v>
      </c>
      <c r="AK114" s="156">
        <f t="shared" si="340"/>
        <v>4.2875520401552158</v>
      </c>
      <c r="AL114" s="156">
        <f t="shared" si="341"/>
        <v>4.5682692899876507</v>
      </c>
      <c r="AM114" s="156">
        <f t="shared" si="342"/>
        <v>4.8694459259198544</v>
      </c>
      <c r="AN114" s="156">
        <f t="shared" si="343"/>
        <v>3.9448455786283718</v>
      </c>
      <c r="AO114" s="156">
        <f t="shared" si="344"/>
        <v>7.9142780187921771</v>
      </c>
      <c r="AP114" s="156">
        <f t="shared" si="345"/>
        <v>7.0088369230693033</v>
      </c>
      <c r="AQ114" s="156">
        <f t="shared" si="346"/>
        <v>6.312508962413764</v>
      </c>
      <c r="AR114" s="156">
        <f t="shared" si="347"/>
        <v>6.4797775632300301</v>
      </c>
      <c r="AS114" s="156">
        <f t="shared" si="348"/>
        <v>6.1591686059031057</v>
      </c>
      <c r="AT114" s="156">
        <f t="shared" si="349"/>
        <v>5.8261113196670715</v>
      </c>
      <c r="AU114" s="156">
        <f t="shared" si="350"/>
        <v>6.4664619899560796</v>
      </c>
      <c r="AV114" s="156">
        <f t="shared" si="351"/>
        <v>6.7404761994556095</v>
      </c>
      <c r="AW114" s="156">
        <f t="shared" si="352"/>
        <v>6.5209734806471342</v>
      </c>
      <c r="AX114" s="156">
        <f t="shared" si="353"/>
        <v>6.518057648792877</v>
      </c>
      <c r="AY114" s="156">
        <f t="shared" si="354"/>
        <v>6.0928878352231504</v>
      </c>
      <c r="AZ114" s="156">
        <f t="shared" si="355"/>
        <v>5.7592758815299341</v>
      </c>
      <c r="BA114" s="156">
        <f t="shared" si="356"/>
        <v>4.3206757398624731</v>
      </c>
      <c r="BB114" s="156">
        <f t="shared" si="357"/>
        <v>4.2665151858167283</v>
      </c>
      <c r="BC114" s="156">
        <f t="shared" si="358"/>
        <v>2.0334087317993794</v>
      </c>
      <c r="BD114" s="156">
        <f t="shared" si="359"/>
        <v>-1.001055601601093</v>
      </c>
      <c r="BE114" s="156">
        <f t="shared" si="360"/>
        <v>-0.54155907805673253</v>
      </c>
      <c r="BF114" s="156">
        <f t="shared" si="361"/>
        <v>3.3528006027217436E-2</v>
      </c>
      <c r="BG114" s="156">
        <f t="shared" si="362"/>
        <v>-0.82268641447926627</v>
      </c>
      <c r="BH114" s="156">
        <f t="shared" si="363"/>
        <v>1.1717625196408277</v>
      </c>
      <c r="BI114" s="156">
        <f t="shared" si="364"/>
        <v>-0.11257226999443848</v>
      </c>
      <c r="BJ114" s="156">
        <f t="shared" si="365"/>
        <v>1.3839509205753775</v>
      </c>
      <c r="BK114" s="156">
        <f t="shared" si="366"/>
        <v>4.0652024030803009</v>
      </c>
      <c r="BL114" s="156">
        <f t="shared" si="367"/>
        <v>5.0074355282031489</v>
      </c>
      <c r="BM114" s="156">
        <f t="shared" si="368"/>
        <v>5.8726130149086497</v>
      </c>
      <c r="BN114" s="156">
        <f t="shared" si="369"/>
        <v>4.8689265641877073</v>
      </c>
      <c r="BO114" s="156">
        <f t="shared" si="370"/>
        <v>4.5799535205480586</v>
      </c>
      <c r="BP114" s="156">
        <f t="shared" si="371"/>
        <v>5.0718233905592349</v>
      </c>
      <c r="BQ114" s="156">
        <f t="shared" si="372"/>
        <v>5.6888426122538025</v>
      </c>
      <c r="BR114" s="156">
        <f t="shared" si="373"/>
        <v>4.6370071588884016</v>
      </c>
      <c r="BS114" s="156">
        <f t="shared" si="374"/>
        <v>4.0739206211158798</v>
      </c>
      <c r="BT114" s="156">
        <f t="shared" si="375"/>
        <v>3.3913501879912538</v>
      </c>
      <c r="BU114" s="156">
        <f t="shared" si="376"/>
        <v>3.0433371668099443</v>
      </c>
      <c r="BV114" s="156">
        <f t="shared" si="377"/>
        <v>2.8909125065686117</v>
      </c>
      <c r="BW114" s="156">
        <f t="shared" si="378"/>
        <v>3.0807387370924371</v>
      </c>
      <c r="BX114" s="156">
        <f t="shared" si="379"/>
        <v>2.6729690445922683</v>
      </c>
      <c r="BY114" s="156">
        <f t="shared" si="380"/>
        <v>2.7120523193801667</v>
      </c>
    </row>
    <row r="115" spans="1:77">
      <c r="A115" s="152" t="s">
        <v>9</v>
      </c>
      <c r="B115" s="252"/>
      <c r="C115" s="156"/>
      <c r="D115" s="156"/>
      <c r="E115" s="156"/>
      <c r="F115" s="156">
        <f t="shared" si="309"/>
        <v>6.1365244265127261</v>
      </c>
      <c r="G115" s="156">
        <f t="shared" si="310"/>
        <v>5.4093151521854104</v>
      </c>
      <c r="H115" s="156">
        <f t="shared" si="311"/>
        <v>4.0594575873885193</v>
      </c>
      <c r="I115" s="156">
        <f t="shared" si="312"/>
        <v>2.5059853229249334</v>
      </c>
      <c r="J115" s="156">
        <f t="shared" si="313"/>
        <v>3.9083479618313488</v>
      </c>
      <c r="K115" s="156">
        <f t="shared" si="314"/>
        <v>5.3596147921565382</v>
      </c>
      <c r="L115" s="156">
        <f t="shared" si="315"/>
        <v>5.4370818989741529</v>
      </c>
      <c r="M115" s="156">
        <f t="shared" si="316"/>
        <v>7.4129790870032481</v>
      </c>
      <c r="N115" s="156">
        <f t="shared" si="317"/>
        <v>7.054955392338333</v>
      </c>
      <c r="O115" s="156">
        <f t="shared" si="318"/>
        <v>6.4882522960718507</v>
      </c>
      <c r="P115" s="156">
        <f t="shared" si="319"/>
        <v>3.1200224749507122</v>
      </c>
      <c r="Q115" s="156">
        <f t="shared" si="320"/>
        <v>1.8288047278895856</v>
      </c>
      <c r="R115" s="156">
        <f t="shared" si="321"/>
        <v>0.63907572887628972</v>
      </c>
      <c r="S115" s="156">
        <f t="shared" si="322"/>
        <v>2.5170426020876806</v>
      </c>
      <c r="T115" s="156">
        <f t="shared" si="323"/>
        <v>4.8428426916572684</v>
      </c>
      <c r="U115" s="156">
        <f t="shared" si="324"/>
        <v>6.0328633463260779</v>
      </c>
      <c r="V115" s="156">
        <f t="shared" si="325"/>
        <v>6.9897054013890072</v>
      </c>
      <c r="W115" s="156">
        <f t="shared" si="326"/>
        <v>7.2820297183702305</v>
      </c>
      <c r="X115" s="156">
        <f t="shared" si="327"/>
        <v>6.3454966074229846</v>
      </c>
      <c r="Y115" s="156">
        <f t="shared" si="328"/>
        <v>5.3136541218741886</v>
      </c>
      <c r="Z115" s="156">
        <f t="shared" si="329"/>
        <v>4.0498267028344248</v>
      </c>
      <c r="AA115" s="156">
        <f t="shared" si="330"/>
        <v>3.3844987940956228</v>
      </c>
      <c r="AB115" s="156">
        <f t="shared" si="331"/>
        <v>3.9328756733850003</v>
      </c>
      <c r="AC115" s="156">
        <f t="shared" si="332"/>
        <v>5.8059901234013696</v>
      </c>
      <c r="AD115" s="156">
        <f t="shared" si="333"/>
        <v>9.2199333934702814</v>
      </c>
      <c r="AE115" s="156">
        <f t="shared" si="334"/>
        <v>10.059101314364604</v>
      </c>
      <c r="AF115" s="156">
        <f t="shared" si="335"/>
        <v>9.5332715879357011</v>
      </c>
      <c r="AG115" s="156">
        <f t="shared" si="336"/>
        <v>8.657388473449009</v>
      </c>
      <c r="AH115" s="156">
        <f t="shared" si="337"/>
        <v>7.952572592505744</v>
      </c>
      <c r="AI115" s="156">
        <f t="shared" si="338"/>
        <v>7.1855115331696275</v>
      </c>
      <c r="AJ115" s="156">
        <f t="shared" si="339"/>
        <v>6.0752229681467602</v>
      </c>
      <c r="AK115" s="156">
        <f t="shared" si="340"/>
        <v>6.8335055372849123</v>
      </c>
      <c r="AL115" s="156">
        <f t="shared" si="341"/>
        <v>3.7424551683161349</v>
      </c>
      <c r="AM115" s="156">
        <f t="shared" si="342"/>
        <v>3.9052166307752154</v>
      </c>
      <c r="AN115" s="156">
        <f t="shared" si="343"/>
        <v>5.4574998914794222</v>
      </c>
      <c r="AO115" s="156">
        <f t="shared" si="344"/>
        <v>4.7395992962035551</v>
      </c>
      <c r="AP115" s="156">
        <f t="shared" si="345"/>
        <v>6.2960580852537777</v>
      </c>
      <c r="AQ115" s="156">
        <f t="shared" si="346"/>
        <v>6.3121884530074324</v>
      </c>
      <c r="AR115" s="156">
        <f t="shared" si="347"/>
        <v>5.6960864250163077</v>
      </c>
      <c r="AS115" s="156">
        <f t="shared" si="348"/>
        <v>5.4173726414226406</v>
      </c>
      <c r="AT115" s="156">
        <f t="shared" si="349"/>
        <v>4.6904091931188363</v>
      </c>
      <c r="AU115" s="156">
        <f t="shared" si="350"/>
        <v>5.0029689286822414</v>
      </c>
      <c r="AV115" s="156">
        <f t="shared" si="351"/>
        <v>5.9778782640652093</v>
      </c>
      <c r="AW115" s="156">
        <f t="shared" si="352"/>
        <v>5.0890678058022063</v>
      </c>
      <c r="AX115" s="156">
        <f t="shared" si="353"/>
        <v>7.789069731742809</v>
      </c>
      <c r="AY115" s="156">
        <f t="shared" si="354"/>
        <v>7.5847042737227142</v>
      </c>
      <c r="AZ115" s="156">
        <f t="shared" si="355"/>
        <v>6.3779103632161451</v>
      </c>
      <c r="BA115" s="156">
        <f t="shared" si="356"/>
        <v>6.8566130295662591</v>
      </c>
      <c r="BB115" s="156">
        <f t="shared" si="357"/>
        <v>4.5534536919994837</v>
      </c>
      <c r="BC115" s="156">
        <f t="shared" si="358"/>
        <v>4.2557980209536144</v>
      </c>
      <c r="BD115" s="156">
        <f t="shared" si="359"/>
        <v>4.0586727651082475</v>
      </c>
      <c r="BE115" s="156">
        <f t="shared" si="360"/>
        <v>3.918527936299669</v>
      </c>
      <c r="BF115" s="156">
        <f t="shared" si="361"/>
        <v>2.907549298850034</v>
      </c>
      <c r="BG115" s="156">
        <f t="shared" si="362"/>
        <v>1.4454202642675704</v>
      </c>
      <c r="BH115" s="156">
        <f t="shared" si="363"/>
        <v>1.0329820782512531</v>
      </c>
      <c r="BI115" s="156">
        <f t="shared" si="364"/>
        <v>1.0651232537599846</v>
      </c>
      <c r="BJ115" s="156">
        <f t="shared" si="365"/>
        <v>1.2963694781677608</v>
      </c>
      <c r="BK115" s="156">
        <f t="shared" si="366"/>
        <v>2.6795055929031584</v>
      </c>
      <c r="BL115" s="156">
        <f t="shared" si="367"/>
        <v>3.2111505177871527</v>
      </c>
      <c r="BM115" s="156">
        <f t="shared" si="368"/>
        <v>3.4414421553052197</v>
      </c>
      <c r="BN115" s="156">
        <f t="shared" si="369"/>
        <v>2.8049445364941539</v>
      </c>
      <c r="BO115" s="156">
        <f t="shared" si="370"/>
        <v>3.0614312022736003</v>
      </c>
      <c r="BP115" s="156">
        <f t="shared" si="371"/>
        <v>2.7685969515968254</v>
      </c>
      <c r="BQ115" s="156">
        <f t="shared" si="372"/>
        <v>2.9724342522987879</v>
      </c>
      <c r="BR115" s="156">
        <f t="shared" si="373"/>
        <v>3.1258491836356157</v>
      </c>
      <c r="BS115" s="156">
        <f t="shared" si="374"/>
        <v>2.8051031505288293</v>
      </c>
      <c r="BT115" s="156">
        <f t="shared" si="375"/>
        <v>2.3321383648105907</v>
      </c>
      <c r="BU115" s="156">
        <f t="shared" si="376"/>
        <v>2.0440817639597681</v>
      </c>
      <c r="BV115" s="156">
        <f t="shared" si="377"/>
        <v>1.6274114598804468</v>
      </c>
      <c r="BW115" s="156">
        <f t="shared" si="378"/>
        <v>1.5571842223996692</v>
      </c>
      <c r="BX115" s="156">
        <f t="shared" si="379"/>
        <v>1.8561460518403146</v>
      </c>
      <c r="BY115" s="156">
        <f t="shared" si="380"/>
        <v>1.8095753163011306</v>
      </c>
    </row>
    <row r="116" spans="1:77">
      <c r="A116" s="152" t="s">
        <v>10</v>
      </c>
      <c r="B116" s="252"/>
      <c r="C116" s="156"/>
      <c r="D116" s="156"/>
      <c r="E116" s="156"/>
      <c r="F116" s="156">
        <f t="shared" si="309"/>
        <v>4.4503391616144761</v>
      </c>
      <c r="G116" s="156">
        <f t="shared" si="310"/>
        <v>6.7155723239459215</v>
      </c>
      <c r="H116" s="156">
        <f t="shared" si="311"/>
        <v>7.4292460932064177</v>
      </c>
      <c r="I116" s="156">
        <f t="shared" si="312"/>
        <v>8.6625349920680623</v>
      </c>
      <c r="J116" s="156">
        <f t="shared" si="313"/>
        <v>7.8233350324649065</v>
      </c>
      <c r="K116" s="156">
        <f t="shared" si="314"/>
        <v>6.18762077971056</v>
      </c>
      <c r="L116" s="156">
        <f t="shared" si="315"/>
        <v>3.057894681725227</v>
      </c>
      <c r="M116" s="156">
        <f t="shared" si="316"/>
        <v>0.29981756250740005</v>
      </c>
      <c r="N116" s="156">
        <f t="shared" si="317"/>
        <v>0.99973069833789086</v>
      </c>
      <c r="O116" s="156">
        <f t="shared" si="318"/>
        <v>2.2427507789245453</v>
      </c>
      <c r="P116" s="156">
        <f t="shared" si="319"/>
        <v>3.1019385160432926</v>
      </c>
      <c r="Q116" s="156">
        <f t="shared" si="320"/>
        <v>3.3311300034864759</v>
      </c>
      <c r="R116" s="156">
        <f t="shared" si="321"/>
        <v>6.1584965650845716</v>
      </c>
      <c r="S116" s="156">
        <f t="shared" si="322"/>
        <v>5.7162152295974593</v>
      </c>
      <c r="T116" s="156">
        <f t="shared" si="323"/>
        <v>5.9887604928816254</v>
      </c>
      <c r="U116" s="156">
        <f t="shared" si="324"/>
        <v>6.4589962347233758</v>
      </c>
      <c r="V116" s="156">
        <f t="shared" si="325"/>
        <v>1.5972336007954804</v>
      </c>
      <c r="W116" s="156">
        <f t="shared" si="326"/>
        <v>0.71238617675178184</v>
      </c>
      <c r="X116" s="156">
        <f t="shared" si="327"/>
        <v>0.74011089932441876</v>
      </c>
      <c r="Y116" s="156">
        <f t="shared" si="328"/>
        <v>1.7280313919603045</v>
      </c>
      <c r="Z116" s="156">
        <f t="shared" si="329"/>
        <v>3.8724624517194086</v>
      </c>
      <c r="AA116" s="156">
        <f t="shared" si="330"/>
        <v>5.7054739144521358</v>
      </c>
      <c r="AB116" s="156">
        <f t="shared" si="331"/>
        <v>6.3799485168017656</v>
      </c>
      <c r="AC116" s="156">
        <f t="shared" si="332"/>
        <v>6.766612869404538</v>
      </c>
      <c r="AD116" s="156">
        <f t="shared" si="333"/>
        <v>9.6896189823581622</v>
      </c>
      <c r="AE116" s="156">
        <f t="shared" si="334"/>
        <v>5.8897788605702193</v>
      </c>
      <c r="AF116" s="156">
        <f t="shared" si="335"/>
        <v>2.9428780464741155</v>
      </c>
      <c r="AG116" s="156">
        <f t="shared" si="336"/>
        <v>2.0310023361800198</v>
      </c>
      <c r="AH116" s="156">
        <f t="shared" si="337"/>
        <v>5.2925721376564132</v>
      </c>
      <c r="AI116" s="156">
        <f t="shared" si="338"/>
        <v>4.9624465949390109</v>
      </c>
      <c r="AJ116" s="156">
        <f t="shared" si="339"/>
        <v>5.9541740413181099</v>
      </c>
      <c r="AK116" s="156">
        <f t="shared" si="340"/>
        <v>6.1480366165251388</v>
      </c>
      <c r="AL116" s="156">
        <f t="shared" si="341"/>
        <v>6.4091833351364187</v>
      </c>
      <c r="AM116" s="156">
        <f t="shared" si="342"/>
        <v>7.1585941146663483</v>
      </c>
      <c r="AN116" s="156">
        <f t="shared" si="343"/>
        <v>7.2343356402894967</v>
      </c>
      <c r="AO116" s="156">
        <f t="shared" si="344"/>
        <v>8.0873541481820386</v>
      </c>
      <c r="AP116" s="156">
        <f t="shared" si="345"/>
        <v>10.506177294743672</v>
      </c>
      <c r="AQ116" s="156">
        <f t="shared" si="346"/>
        <v>10.537326490197731</v>
      </c>
      <c r="AR116" s="156">
        <f t="shared" si="347"/>
        <v>10.957689965791062</v>
      </c>
      <c r="AS116" s="156">
        <f t="shared" si="348"/>
        <v>10.307921202691391</v>
      </c>
      <c r="AT116" s="156">
        <f t="shared" si="349"/>
        <v>6.4590114101573377</v>
      </c>
      <c r="AU116" s="156">
        <f t="shared" si="350"/>
        <v>7.558166430945759</v>
      </c>
      <c r="AV116" s="156">
        <f t="shared" si="351"/>
        <v>8.0741487362154452</v>
      </c>
      <c r="AW116" s="156">
        <f t="shared" si="352"/>
        <v>8.6577398152214684</v>
      </c>
      <c r="AX116" s="156">
        <f t="shared" si="353"/>
        <v>8.446201338299316</v>
      </c>
      <c r="AY116" s="156">
        <f t="shared" si="354"/>
        <v>6.6945500443325532</v>
      </c>
      <c r="AZ116" s="156">
        <f t="shared" si="355"/>
        <v>7.0319082462863269</v>
      </c>
      <c r="BA116" s="156">
        <f t="shared" si="356"/>
        <v>8.8477715014265748</v>
      </c>
      <c r="BB116" s="156">
        <f t="shared" si="357"/>
        <v>6.3747942333775027</v>
      </c>
      <c r="BC116" s="156">
        <f t="shared" si="358"/>
        <v>8.3339514169266806</v>
      </c>
      <c r="BD116" s="156">
        <f t="shared" si="359"/>
        <v>8.0502550313062908</v>
      </c>
      <c r="BE116" s="156">
        <f t="shared" si="360"/>
        <v>6.8058868338502272</v>
      </c>
      <c r="BF116" s="156">
        <f t="shared" si="361"/>
        <v>3.6261466663996682</v>
      </c>
      <c r="BG116" s="156">
        <f t="shared" si="362"/>
        <v>2.1140623814474493</v>
      </c>
      <c r="BH116" s="156">
        <f t="shared" si="363"/>
        <v>0.75848213047382751</v>
      </c>
      <c r="BI116" s="156">
        <f t="shared" si="364"/>
        <v>8.7570458869760059E-2</v>
      </c>
      <c r="BJ116" s="156">
        <f t="shared" si="365"/>
        <v>1.7188395795841644</v>
      </c>
      <c r="BK116" s="156">
        <f t="shared" si="366"/>
        <v>2.5091337985325515</v>
      </c>
      <c r="BL116" s="156">
        <f t="shared" si="367"/>
        <v>2.7543883400783993</v>
      </c>
      <c r="BM116" s="156">
        <f t="shared" si="368"/>
        <v>2.7917813527435484</v>
      </c>
      <c r="BN116" s="156">
        <f t="shared" si="369"/>
        <v>4.1663119820529486</v>
      </c>
      <c r="BO116" s="156">
        <f t="shared" si="370"/>
        <v>4.278042256945171</v>
      </c>
      <c r="BP116" s="156">
        <f t="shared" si="371"/>
        <v>5.1739423298241682</v>
      </c>
      <c r="BQ116" s="156">
        <f t="shared" si="372"/>
        <v>5.6106287410999256</v>
      </c>
      <c r="BR116" s="156">
        <f t="shared" si="373"/>
        <v>5.1655888589434884</v>
      </c>
      <c r="BS116" s="156">
        <f t="shared" si="374"/>
        <v>3.8874952061870358</v>
      </c>
      <c r="BT116" s="156">
        <f t="shared" si="375"/>
        <v>2.3742255819614995</v>
      </c>
      <c r="BU116" s="156">
        <f t="shared" si="376"/>
        <v>2.0202956367958267</v>
      </c>
      <c r="BV116" s="156">
        <f t="shared" si="377"/>
        <v>1.7411266803632177</v>
      </c>
      <c r="BW116" s="156">
        <f t="shared" si="378"/>
        <v>3.6730703950917731</v>
      </c>
      <c r="BX116" s="156">
        <f t="shared" si="379"/>
        <v>3.4304742406143367</v>
      </c>
      <c r="BY116" s="156">
        <f t="shared" si="380"/>
        <v>1.1656261775645427</v>
      </c>
    </row>
    <row r="117" spans="1:77">
      <c r="A117" s="152" t="s">
        <v>11</v>
      </c>
      <c r="B117" s="252"/>
      <c r="C117" s="156"/>
      <c r="D117" s="156"/>
      <c r="E117" s="156"/>
      <c r="F117" s="156">
        <f t="shared" si="309"/>
        <v>5.7107149816712255</v>
      </c>
      <c r="G117" s="156">
        <f t="shared" si="310"/>
        <v>2.3944458137241886</v>
      </c>
      <c r="H117" s="156">
        <f t="shared" si="311"/>
        <v>1.1317125655814271</v>
      </c>
      <c r="I117" s="156">
        <f t="shared" si="312"/>
        <v>1.2942028946259014</v>
      </c>
      <c r="J117" s="156">
        <f t="shared" si="313"/>
        <v>-0.98527388169989027</v>
      </c>
      <c r="K117" s="156">
        <f t="shared" si="314"/>
        <v>0.53633763663673784</v>
      </c>
      <c r="L117" s="156">
        <f t="shared" si="315"/>
        <v>0.83052009302648344</v>
      </c>
      <c r="M117" s="156">
        <f t="shared" si="316"/>
        <v>-0.78714990882831837</v>
      </c>
      <c r="N117" s="156">
        <f t="shared" si="317"/>
        <v>3.2114320661742051</v>
      </c>
      <c r="O117" s="156">
        <f t="shared" si="318"/>
        <v>5.0262510061923447</v>
      </c>
      <c r="P117" s="156">
        <f t="shared" si="319"/>
        <v>7.3312459151732599</v>
      </c>
      <c r="Q117" s="156">
        <f t="shared" si="320"/>
        <v>9.2931704193819318</v>
      </c>
      <c r="R117" s="156">
        <f t="shared" si="321"/>
        <v>5.5713187504081132</v>
      </c>
      <c r="S117" s="156">
        <f t="shared" si="322"/>
        <v>3.8957793101812861</v>
      </c>
      <c r="T117" s="156">
        <f t="shared" si="323"/>
        <v>3.0292490233913885</v>
      </c>
      <c r="U117" s="156">
        <f t="shared" si="324"/>
        <v>2.4025506618787373</v>
      </c>
      <c r="V117" s="156">
        <f t="shared" si="325"/>
        <v>3.7538998279397808</v>
      </c>
      <c r="W117" s="156">
        <f t="shared" si="326"/>
        <v>4.2970256498508563</v>
      </c>
      <c r="X117" s="156">
        <f t="shared" si="327"/>
        <v>5.2418460797583597</v>
      </c>
      <c r="Y117" s="156">
        <f t="shared" si="328"/>
        <v>5.4986543543819915</v>
      </c>
      <c r="Z117" s="156">
        <f t="shared" si="329"/>
        <v>4.1176595396390177</v>
      </c>
      <c r="AA117" s="156">
        <f t="shared" si="330"/>
        <v>2.7626677080576756</v>
      </c>
      <c r="AB117" s="156">
        <f t="shared" si="331"/>
        <v>1.628728617991257</v>
      </c>
      <c r="AC117" s="156">
        <f t="shared" si="332"/>
        <v>0.91205131747123591</v>
      </c>
      <c r="AD117" s="156">
        <f t="shared" si="333"/>
        <v>1.1739041001626218</v>
      </c>
      <c r="AE117" s="156">
        <f t="shared" si="334"/>
        <v>1.9205793430494802</v>
      </c>
      <c r="AF117" s="156">
        <f t="shared" si="335"/>
        <v>2.7293066799139987</v>
      </c>
      <c r="AG117" s="156">
        <f t="shared" si="336"/>
        <v>3.794433841701895</v>
      </c>
      <c r="AH117" s="156">
        <f t="shared" si="337"/>
        <v>5.0984459195783431</v>
      </c>
      <c r="AI117" s="156">
        <f t="shared" si="338"/>
        <v>6.2420279799208069</v>
      </c>
      <c r="AJ117" s="156">
        <f t="shared" si="339"/>
        <v>6.5210815108300793</v>
      </c>
      <c r="AK117" s="156">
        <f t="shared" si="340"/>
        <v>4.4261591982750783</v>
      </c>
      <c r="AL117" s="156">
        <f t="shared" si="341"/>
        <v>2.0331911280594697</v>
      </c>
      <c r="AM117" s="156">
        <f t="shared" si="342"/>
        <v>1.7416390152440959</v>
      </c>
      <c r="AN117" s="156">
        <f t="shared" si="343"/>
        <v>0.85977067666666473</v>
      </c>
      <c r="AO117" s="156">
        <f t="shared" si="344"/>
        <v>2.4637234474969882</v>
      </c>
      <c r="AP117" s="156">
        <f t="shared" si="345"/>
        <v>4.4937812934409704</v>
      </c>
      <c r="AQ117" s="156">
        <f t="shared" si="346"/>
        <v>3.4054871912289202</v>
      </c>
      <c r="AR117" s="156">
        <f t="shared" si="347"/>
        <v>2.9270808960397487</v>
      </c>
      <c r="AS117" s="156">
        <f t="shared" si="348"/>
        <v>2.7261075022548145</v>
      </c>
      <c r="AT117" s="156">
        <f t="shared" si="349"/>
        <v>5.8564456707687986</v>
      </c>
      <c r="AU117" s="156">
        <f t="shared" si="350"/>
        <v>5.4142151954999331</v>
      </c>
      <c r="AV117" s="156">
        <f t="shared" si="351"/>
        <v>4.588399801868122</v>
      </c>
      <c r="AW117" s="156">
        <f t="shared" si="352"/>
        <v>5.3795822828726214</v>
      </c>
      <c r="AX117" s="156">
        <f t="shared" si="353"/>
        <v>6.4727979909873179</v>
      </c>
      <c r="AY117" s="156">
        <f t="shared" si="354"/>
        <v>7.1313506061835588</v>
      </c>
      <c r="AZ117" s="156">
        <f t="shared" si="355"/>
        <v>6.1841084257332257</v>
      </c>
      <c r="BA117" s="156">
        <f t="shared" si="356"/>
        <v>2.2815071151565802</v>
      </c>
      <c r="BB117" s="156">
        <f t="shared" si="357"/>
        <v>4.124039497524377</v>
      </c>
      <c r="BC117" s="156">
        <f t="shared" si="358"/>
        <v>4.5451169694921658</v>
      </c>
      <c r="BD117" s="156">
        <f t="shared" si="359"/>
        <v>3.8785831920992759</v>
      </c>
      <c r="BE117" s="156">
        <f t="shared" si="360"/>
        <v>2.4938135717948455</v>
      </c>
      <c r="BF117" s="156">
        <f t="shared" si="361"/>
        <v>-0.66566500540352647</v>
      </c>
      <c r="BG117" s="156">
        <f t="shared" si="362"/>
        <v>-1.4219320468266916</v>
      </c>
      <c r="BH117" s="156">
        <f t="shared" si="363"/>
        <v>-0.68791959629093291</v>
      </c>
      <c r="BI117" s="156">
        <f t="shared" si="364"/>
        <v>2.8184441578352937</v>
      </c>
      <c r="BJ117" s="156">
        <f t="shared" si="365"/>
        <v>-0.14776864137940826</v>
      </c>
      <c r="BK117" s="156">
        <f t="shared" si="366"/>
        <v>0.52796354143720714</v>
      </c>
      <c r="BL117" s="156">
        <f t="shared" si="367"/>
        <v>0.96488740339710355</v>
      </c>
      <c r="BM117" s="156">
        <f t="shared" si="368"/>
        <v>1.3199714456539755</v>
      </c>
      <c r="BN117" s="156">
        <f t="shared" si="369"/>
        <v>3.7498037370051458</v>
      </c>
      <c r="BO117" s="156">
        <f t="shared" si="370"/>
        <v>2.8476272744504039</v>
      </c>
      <c r="BP117" s="156">
        <f t="shared" si="371"/>
        <v>1.8586769033255279</v>
      </c>
      <c r="BQ117" s="156">
        <f t="shared" si="372"/>
        <v>1.7808564614802715</v>
      </c>
      <c r="BR117" s="156">
        <f t="shared" si="373"/>
        <v>1.7910080034876252</v>
      </c>
      <c r="BS117" s="156">
        <f t="shared" si="374"/>
        <v>3.1883801559822338</v>
      </c>
      <c r="BT117" s="156">
        <f t="shared" si="375"/>
        <v>3.0280846360804667</v>
      </c>
      <c r="BU117" s="156">
        <f t="shared" si="376"/>
        <v>1.0053157368948753</v>
      </c>
      <c r="BV117" s="156">
        <f t="shared" si="377"/>
        <v>2.1645637966091362</v>
      </c>
      <c r="BW117" s="156">
        <f t="shared" si="378"/>
        <v>1.7057018600836411</v>
      </c>
      <c r="BX117" s="156">
        <f t="shared" si="379"/>
        <v>2.0006496411880339</v>
      </c>
      <c r="BY117" s="156">
        <f t="shared" si="380"/>
        <v>2.1040918185736697</v>
      </c>
    </row>
    <row r="118" spans="1:77">
      <c r="A118" s="149" t="s">
        <v>12</v>
      </c>
      <c r="B118" s="253"/>
      <c r="C118" s="157"/>
      <c r="D118" s="157"/>
      <c r="E118" s="157"/>
      <c r="F118" s="157">
        <f t="shared" si="309"/>
        <v>3.7598165399072183</v>
      </c>
      <c r="G118" s="157">
        <f t="shared" si="310"/>
        <v>3.7204250977235502</v>
      </c>
      <c r="H118" s="157">
        <f t="shared" si="311"/>
        <v>3.7696220562560541</v>
      </c>
      <c r="I118" s="157">
        <f t="shared" si="312"/>
        <v>3.8883033028642542</v>
      </c>
      <c r="J118" s="157">
        <f t="shared" si="313"/>
        <v>-2.335086639549961</v>
      </c>
      <c r="K118" s="157">
        <f t="shared" si="314"/>
        <v>-2.4198222825112152</v>
      </c>
      <c r="L118" s="157">
        <f t="shared" si="315"/>
        <v>-2.4146206529352892</v>
      </c>
      <c r="M118" s="157">
        <f t="shared" si="316"/>
        <v>-2.5095857926110074</v>
      </c>
      <c r="N118" s="157">
        <f t="shared" si="317"/>
        <v>2.0779002548158387</v>
      </c>
      <c r="O118" s="157">
        <f t="shared" si="318"/>
        <v>2.147321914056417</v>
      </c>
      <c r="P118" s="157">
        <f t="shared" si="319"/>
        <v>1.7608236623070206</v>
      </c>
      <c r="Q118" s="157">
        <f t="shared" si="320"/>
        <v>1.6891279738673401</v>
      </c>
      <c r="R118" s="157">
        <f t="shared" si="321"/>
        <v>-3.4266589562309866</v>
      </c>
      <c r="S118" s="157">
        <f t="shared" si="322"/>
        <v>-3.3658997787478553</v>
      </c>
      <c r="T118" s="157">
        <f t="shared" si="323"/>
        <v>-3.4061818705207929</v>
      </c>
      <c r="U118" s="157">
        <f t="shared" si="324"/>
        <v>-3.7272323443915623</v>
      </c>
      <c r="V118" s="157">
        <f t="shared" si="325"/>
        <v>-0.28175573452461622</v>
      </c>
      <c r="W118" s="157">
        <f t="shared" si="326"/>
        <v>-0.30302219150495252</v>
      </c>
      <c r="X118" s="157">
        <f t="shared" si="327"/>
        <v>-0.28897024669065796</v>
      </c>
      <c r="Y118" s="157">
        <f t="shared" si="328"/>
        <v>-0.28960835736484208</v>
      </c>
      <c r="Z118" s="157">
        <f t="shared" si="329"/>
        <v>1.2646232274014946</v>
      </c>
      <c r="AA118" s="157">
        <f t="shared" si="330"/>
        <v>0.98460530170396443</v>
      </c>
      <c r="AB118" s="157">
        <f t="shared" si="331"/>
        <v>0.6713857862489554</v>
      </c>
      <c r="AC118" s="157">
        <f t="shared" si="332"/>
        <v>0.80511262218765001</v>
      </c>
      <c r="AD118" s="157">
        <f t="shared" si="333"/>
        <v>-1.1156659486793263</v>
      </c>
      <c r="AE118" s="157">
        <f t="shared" si="334"/>
        <v>0.17912144171709818</v>
      </c>
      <c r="AF118" s="157">
        <f t="shared" si="335"/>
        <v>1.0744687314141541</v>
      </c>
      <c r="AG118" s="157">
        <f t="shared" si="336"/>
        <v>1.5362728374330024</v>
      </c>
      <c r="AH118" s="157">
        <f t="shared" si="337"/>
        <v>1.8080935668706999</v>
      </c>
      <c r="AI118" s="157">
        <f t="shared" si="338"/>
        <v>2.1017280251013859</v>
      </c>
      <c r="AJ118" s="157">
        <f t="shared" si="339"/>
        <v>2.2990132682743791</v>
      </c>
      <c r="AK118" s="157">
        <f t="shared" si="340"/>
        <v>2.5728103223744991</v>
      </c>
      <c r="AL118" s="157">
        <f t="shared" si="341"/>
        <v>1.1568164555326064</v>
      </c>
      <c r="AM118" s="157">
        <f t="shared" si="342"/>
        <v>1.225503234055209</v>
      </c>
      <c r="AN118" s="157">
        <f t="shared" si="343"/>
        <v>1.139985083061116</v>
      </c>
      <c r="AO118" s="157">
        <f t="shared" si="344"/>
        <v>1.8673621944103855</v>
      </c>
      <c r="AP118" s="157">
        <f t="shared" si="345"/>
        <v>4.1427389569064985</v>
      </c>
      <c r="AQ118" s="157">
        <f t="shared" si="346"/>
        <v>4.8044584286976653</v>
      </c>
      <c r="AR118" s="157">
        <f t="shared" si="347"/>
        <v>5.0481156708512263</v>
      </c>
      <c r="AS118" s="157">
        <f t="shared" si="348"/>
        <v>4.0209640771425432</v>
      </c>
      <c r="AT118" s="157">
        <f t="shared" si="349"/>
        <v>3.5407919936141998</v>
      </c>
      <c r="AU118" s="157">
        <f t="shared" si="350"/>
        <v>2.5935617664347261</v>
      </c>
      <c r="AV118" s="157">
        <f t="shared" si="351"/>
        <v>2.3652412464232939</v>
      </c>
      <c r="AW118" s="157">
        <f t="shared" si="352"/>
        <v>3.4325129641564462</v>
      </c>
      <c r="AX118" s="157">
        <f t="shared" si="353"/>
        <v>4.3987029030480489</v>
      </c>
      <c r="AY118" s="157">
        <f t="shared" si="354"/>
        <v>3.7761064737189218</v>
      </c>
      <c r="AZ118" s="157">
        <f t="shared" si="355"/>
        <v>4.1783439179141482</v>
      </c>
      <c r="BA118" s="157">
        <f t="shared" si="356"/>
        <v>3.9297135229112072</v>
      </c>
      <c r="BB118" s="157">
        <f t="shared" si="357"/>
        <v>4.2789212240954315</v>
      </c>
      <c r="BC118" s="157">
        <f t="shared" si="358"/>
        <v>4.7860461124718912</v>
      </c>
      <c r="BD118" s="157">
        <f t="shared" si="359"/>
        <v>5.3026434083426466</v>
      </c>
      <c r="BE118" s="157">
        <f t="shared" si="360"/>
        <v>5.3145887866663566</v>
      </c>
      <c r="BF118" s="157">
        <f t="shared" si="361"/>
        <v>4.0207990962096911</v>
      </c>
      <c r="BG118" s="157">
        <f t="shared" si="362"/>
        <v>4.6647057608243188</v>
      </c>
      <c r="BH118" s="157">
        <f t="shared" si="363"/>
        <v>3.6666781700926223</v>
      </c>
      <c r="BI118" s="157">
        <f t="shared" si="364"/>
        <v>3.2601349066097471</v>
      </c>
      <c r="BJ118" s="157">
        <f t="shared" si="365"/>
        <v>3.2881576320808357</v>
      </c>
      <c r="BK118" s="157">
        <f t="shared" si="366"/>
        <v>3.3642474911466831</v>
      </c>
      <c r="BL118" s="157">
        <f t="shared" si="367"/>
        <v>3.5340573827041979</v>
      </c>
      <c r="BM118" s="157">
        <f t="shared" si="368"/>
        <v>4.1610520609112154</v>
      </c>
      <c r="BN118" s="157">
        <f t="shared" si="369"/>
        <v>3.7503364911160921</v>
      </c>
      <c r="BO118" s="157">
        <f t="shared" si="370"/>
        <v>4.151309024790657</v>
      </c>
      <c r="BP118" s="157">
        <f t="shared" si="371"/>
        <v>4.2911070952502728</v>
      </c>
      <c r="BQ118" s="157">
        <f t="shared" si="372"/>
        <v>4.5697688796887563</v>
      </c>
      <c r="BR118" s="157">
        <f t="shared" si="373"/>
        <v>2.9817354611374935</v>
      </c>
      <c r="BS118" s="157">
        <f t="shared" si="374"/>
        <v>2.571998241647758</v>
      </c>
      <c r="BT118" s="157">
        <f t="shared" si="375"/>
        <v>2.6054377858238791</v>
      </c>
      <c r="BU118" s="157">
        <f t="shared" si="376"/>
        <v>2.6390386949276596</v>
      </c>
      <c r="BV118" s="157">
        <f t="shared" si="377"/>
        <v>2.2213886865840848</v>
      </c>
      <c r="BW118" s="157">
        <f t="shared" si="378"/>
        <v>1.7480748511224546</v>
      </c>
      <c r="BX118" s="157">
        <f t="shared" si="379"/>
        <v>1.027469719271809</v>
      </c>
      <c r="BY118" s="157">
        <f t="shared" si="380"/>
        <v>1.2110896291319291</v>
      </c>
    </row>
    <row r="119" spans="1:77">
      <c r="A119" s="145" t="s">
        <v>13</v>
      </c>
      <c r="B119" s="256"/>
      <c r="C119" s="155"/>
      <c r="D119" s="155"/>
      <c r="E119" s="155"/>
      <c r="F119" s="155">
        <f t="shared" si="309"/>
        <v>4.7663280611057717</v>
      </c>
      <c r="G119" s="155">
        <f t="shared" si="310"/>
        <v>7.6323609600777029</v>
      </c>
      <c r="H119" s="155">
        <f t="shared" si="311"/>
        <v>4.2760179056480352</v>
      </c>
      <c r="I119" s="155">
        <f t="shared" si="312"/>
        <v>4.0694659494494019</v>
      </c>
      <c r="J119" s="155">
        <f t="shared" si="313"/>
        <v>2.5872342322415856</v>
      </c>
      <c r="K119" s="155">
        <f t="shared" si="314"/>
        <v>2.3801313244028011</v>
      </c>
      <c r="L119" s="155">
        <f t="shared" si="315"/>
        <v>1.5256055862075664</v>
      </c>
      <c r="M119" s="155">
        <f t="shared" si="316"/>
        <v>0.9294840642165566</v>
      </c>
      <c r="N119" s="155">
        <f t="shared" si="317"/>
        <v>1.6183975814376745</v>
      </c>
      <c r="O119" s="155">
        <f t="shared" si="318"/>
        <v>1.5003184239425269</v>
      </c>
      <c r="P119" s="155">
        <f t="shared" si="319"/>
        <v>0.76426024970011552</v>
      </c>
      <c r="Q119" s="155">
        <f t="shared" si="320"/>
        <v>0.40619182748347427</v>
      </c>
      <c r="R119" s="155">
        <f t="shared" si="321"/>
        <v>-0.21647274041256839</v>
      </c>
      <c r="S119" s="155">
        <f t="shared" si="322"/>
        <v>0.51255282849115047</v>
      </c>
      <c r="T119" s="155">
        <f t="shared" si="323"/>
        <v>1.5647915542527764</v>
      </c>
      <c r="U119" s="155">
        <f t="shared" si="324"/>
        <v>2.5914453604410381</v>
      </c>
      <c r="V119" s="155">
        <f t="shared" si="325"/>
        <v>3.8038121635194071</v>
      </c>
      <c r="W119" s="155">
        <f t="shared" si="326"/>
        <v>3.3199193228160588</v>
      </c>
      <c r="X119" s="155">
        <f t="shared" si="327"/>
        <v>6.656733934299468</v>
      </c>
      <c r="Y119" s="155">
        <f t="shared" si="328"/>
        <v>5.3519071646716805</v>
      </c>
      <c r="Z119" s="155">
        <f t="shared" si="329"/>
        <v>5.799741149232994</v>
      </c>
      <c r="AA119" s="155">
        <f t="shared" si="330"/>
        <v>5.7940934650735185</v>
      </c>
      <c r="AB119" s="155">
        <f t="shared" si="331"/>
        <v>2.1609781562530612</v>
      </c>
      <c r="AC119" s="155">
        <f t="shared" si="332"/>
        <v>3.0738564458015691</v>
      </c>
      <c r="AD119" s="155">
        <f t="shared" si="333"/>
        <v>2.4466198464776419</v>
      </c>
      <c r="AE119" s="155">
        <f t="shared" si="334"/>
        <v>2.9649428520230048</v>
      </c>
      <c r="AF119" s="155">
        <f t="shared" si="335"/>
        <v>2.5567622926475115</v>
      </c>
      <c r="AG119" s="155">
        <f t="shared" si="336"/>
        <v>3.2829500929701001</v>
      </c>
      <c r="AH119" s="155">
        <f t="shared" si="337"/>
        <v>3.2179700791033778</v>
      </c>
      <c r="AI119" s="155">
        <f t="shared" si="338"/>
        <v>3.5925371219977089</v>
      </c>
      <c r="AJ119" s="155">
        <f t="shared" si="339"/>
        <v>2.9777652408215771</v>
      </c>
      <c r="AK119" s="155">
        <f t="shared" si="340"/>
        <v>1.7516729412484717</v>
      </c>
      <c r="AL119" s="155">
        <f t="shared" si="341"/>
        <v>3.396522069963491</v>
      </c>
      <c r="AM119" s="155">
        <f t="shared" si="342"/>
        <v>3.0957429798860443</v>
      </c>
      <c r="AN119" s="155">
        <f t="shared" si="343"/>
        <v>5.1515204525859097</v>
      </c>
      <c r="AO119" s="155">
        <f t="shared" si="344"/>
        <v>6.1622724945037097</v>
      </c>
      <c r="AP119" s="155">
        <f t="shared" si="345"/>
        <v>6.0600039762086038</v>
      </c>
      <c r="AQ119" s="155">
        <f t="shared" si="346"/>
        <v>5.1891671739358811</v>
      </c>
      <c r="AR119" s="155">
        <f t="shared" si="347"/>
        <v>6.3542839986367659</v>
      </c>
      <c r="AS119" s="155">
        <f t="shared" si="348"/>
        <v>6.0437814314949616</v>
      </c>
      <c r="AT119" s="155">
        <f t="shared" si="349"/>
        <v>5.3803798825892404</v>
      </c>
      <c r="AU119" s="155">
        <f t="shared" si="350"/>
        <v>4.7646414142990539</v>
      </c>
      <c r="AV119" s="155">
        <f t="shared" si="351"/>
        <v>5.0247528242231807</v>
      </c>
      <c r="AW119" s="155">
        <f t="shared" si="352"/>
        <v>6.5194876865292111</v>
      </c>
      <c r="AX119" s="155">
        <f t="shared" si="353"/>
        <v>6.9556113647215883</v>
      </c>
      <c r="AY119" s="155">
        <f t="shared" si="354"/>
        <v>6.0432340514797751</v>
      </c>
      <c r="AZ119" s="155">
        <f t="shared" si="355"/>
        <v>5.3397003837050967</v>
      </c>
      <c r="BA119" s="155">
        <f t="shared" si="356"/>
        <v>5.7295961687131181</v>
      </c>
      <c r="BB119" s="155">
        <f t="shared" si="357"/>
        <v>4.5737858322895866</v>
      </c>
      <c r="BC119" s="155">
        <f t="shared" si="358"/>
        <v>5.7974481952907562</v>
      </c>
      <c r="BD119" s="155">
        <f t="shared" si="359"/>
        <v>4.7081793032313266</v>
      </c>
      <c r="BE119" s="155">
        <f t="shared" si="360"/>
        <v>1.8489109844394458</v>
      </c>
      <c r="BF119" s="155">
        <f t="shared" si="361"/>
        <v>-0.78397521436676165</v>
      </c>
      <c r="BG119" s="155">
        <f t="shared" si="362"/>
        <v>-2.7870770841983727</v>
      </c>
      <c r="BH119" s="155">
        <f t="shared" si="363"/>
        <v>-1.9438979812848201</v>
      </c>
      <c r="BI119" s="155">
        <f t="shared" si="364"/>
        <v>-0.12727464350882947</v>
      </c>
      <c r="BJ119" s="155">
        <f t="shared" si="365"/>
        <v>2.5837345152665514</v>
      </c>
      <c r="BK119" s="155">
        <f t="shared" si="366"/>
        <v>4.2755851853029911</v>
      </c>
      <c r="BL119" s="155">
        <f t="shared" si="367"/>
        <v>3.6669156008899946</v>
      </c>
      <c r="BM119" s="155">
        <f t="shared" si="368"/>
        <v>3.7418537936501544</v>
      </c>
      <c r="BN119" s="155">
        <f t="shared" si="369"/>
        <v>3.9280733554760103</v>
      </c>
      <c r="BO119" s="155">
        <f t="shared" si="370"/>
        <v>3.1664497840132886</v>
      </c>
      <c r="BP119" s="155">
        <f t="shared" si="371"/>
        <v>3.3657714972700878</v>
      </c>
      <c r="BQ119" s="155">
        <f t="shared" si="372"/>
        <v>3.8422515147490994</v>
      </c>
      <c r="BR119" s="155">
        <f t="shared" si="373"/>
        <v>2.9637069366309601</v>
      </c>
      <c r="BS119" s="155">
        <f t="shared" si="374"/>
        <v>3.112578751684397</v>
      </c>
      <c r="BT119" s="155">
        <f t="shared" si="375"/>
        <v>2.2552885114217602</v>
      </c>
      <c r="BU119" s="155">
        <f t="shared" si="376"/>
        <v>2.3464201522047401</v>
      </c>
      <c r="BV119" s="155">
        <f t="shared" si="377"/>
        <v>1.6205353680499537</v>
      </c>
      <c r="BW119" s="155">
        <f t="shared" si="378"/>
        <v>2.747421469246961</v>
      </c>
      <c r="BX119" s="155">
        <f t="shared" si="379"/>
        <v>1.5033452004527583</v>
      </c>
      <c r="BY119" s="155">
        <f t="shared" si="380"/>
        <v>1.6529168717025862</v>
      </c>
    </row>
    <row r="120" spans="1:77">
      <c r="A120" s="171" t="s">
        <v>14</v>
      </c>
      <c r="B120" s="252"/>
      <c r="C120" s="156"/>
      <c r="D120" s="156"/>
      <c r="E120" s="156"/>
      <c r="F120" s="156">
        <f t="shared" si="309"/>
        <v>4.1934315070567143</v>
      </c>
      <c r="G120" s="156">
        <f t="shared" si="310"/>
        <v>5.2917159901194832</v>
      </c>
      <c r="H120" s="156">
        <f t="shared" si="311"/>
        <v>5.3295802880732417</v>
      </c>
      <c r="I120" s="156">
        <f t="shared" si="312"/>
        <v>6.1842340370468447</v>
      </c>
      <c r="J120" s="156">
        <f t="shared" si="313"/>
        <v>3.8788529846780677</v>
      </c>
      <c r="K120" s="156">
        <f t="shared" si="314"/>
        <v>3.0774787493957194</v>
      </c>
      <c r="L120" s="156">
        <f t="shared" si="315"/>
        <v>2.5962176545842723</v>
      </c>
      <c r="M120" s="156">
        <f t="shared" si="316"/>
        <v>1.5244139165028416</v>
      </c>
      <c r="N120" s="156">
        <f t="shared" si="317"/>
        <v>-0.68213390521169093</v>
      </c>
      <c r="O120" s="156">
        <f t="shared" si="318"/>
        <v>-1.9437721940877586</v>
      </c>
      <c r="P120" s="156">
        <f t="shared" si="319"/>
        <v>-0.41364456697566709</v>
      </c>
      <c r="Q120" s="156">
        <f t="shared" si="320"/>
        <v>0.78968816760862004</v>
      </c>
      <c r="R120" s="156">
        <f t="shared" si="321"/>
        <v>-3.2982539933861048</v>
      </c>
      <c r="S120" s="156">
        <f t="shared" si="322"/>
        <v>-2.5051557401725351</v>
      </c>
      <c r="T120" s="156">
        <f t="shared" si="323"/>
        <v>-1.3699199469389611</v>
      </c>
      <c r="U120" s="156">
        <f t="shared" si="324"/>
        <v>-0.71598076205374028</v>
      </c>
      <c r="V120" s="156">
        <f t="shared" si="325"/>
        <v>2.2580710600816243</v>
      </c>
      <c r="W120" s="156">
        <f t="shared" si="326"/>
        <v>2.6002573764180226</v>
      </c>
      <c r="X120" s="156">
        <f t="shared" si="327"/>
        <v>2.6897982417160606</v>
      </c>
      <c r="Y120" s="156">
        <f t="shared" si="328"/>
        <v>2.6358836625122102</v>
      </c>
      <c r="Z120" s="156">
        <f t="shared" si="329"/>
        <v>6.4237204594241719</v>
      </c>
      <c r="AA120" s="156">
        <f t="shared" si="330"/>
        <v>6.348264060397546</v>
      </c>
      <c r="AB120" s="156">
        <f t="shared" si="331"/>
        <v>5.9987822644076969</v>
      </c>
      <c r="AC120" s="156">
        <f t="shared" si="332"/>
        <v>6.1536004844084609</v>
      </c>
      <c r="AD120" s="156">
        <f t="shared" si="333"/>
        <v>-1.7918225462005999</v>
      </c>
      <c r="AE120" s="156">
        <f t="shared" si="334"/>
        <v>0.90266932596917249</v>
      </c>
      <c r="AF120" s="156">
        <f t="shared" si="335"/>
        <v>-0.12877116501080282</v>
      </c>
      <c r="AG120" s="156">
        <f t="shared" si="336"/>
        <v>-0.84436600737516421</v>
      </c>
      <c r="AH120" s="156">
        <f t="shared" si="337"/>
        <v>1.8124174978550776</v>
      </c>
      <c r="AI120" s="156">
        <f t="shared" si="338"/>
        <v>2.0901333284487404</v>
      </c>
      <c r="AJ120" s="156">
        <f t="shared" si="339"/>
        <v>1.0093153708400704</v>
      </c>
      <c r="AK120" s="156">
        <f t="shared" si="340"/>
        <v>1.7003137685359444</v>
      </c>
      <c r="AL120" s="156">
        <f t="shared" si="341"/>
        <v>3.1138096241500284</v>
      </c>
      <c r="AM120" s="156">
        <f t="shared" si="342"/>
        <v>4.3294426268648722</v>
      </c>
      <c r="AN120" s="156">
        <f t="shared" si="343"/>
        <v>5.6092920551131424</v>
      </c>
      <c r="AO120" s="156">
        <f t="shared" si="344"/>
        <v>5.9498924157207647</v>
      </c>
      <c r="AP120" s="156">
        <f t="shared" si="345"/>
        <v>5.0565320947893388</v>
      </c>
      <c r="AQ120" s="156">
        <f t="shared" si="346"/>
        <v>4.8129364648718749</v>
      </c>
      <c r="AR120" s="156">
        <f t="shared" si="347"/>
        <v>4.5690487339693497</v>
      </c>
      <c r="AS120" s="156">
        <f t="shared" si="348"/>
        <v>3.6808289266720919</v>
      </c>
      <c r="AT120" s="156">
        <f t="shared" si="349"/>
        <v>5.3541085638100414</v>
      </c>
      <c r="AU120" s="156">
        <f t="shared" si="350"/>
        <v>5.7619122773732165</v>
      </c>
      <c r="AV120" s="156">
        <f t="shared" si="351"/>
        <v>5.4368623513899861</v>
      </c>
      <c r="AW120" s="156">
        <f t="shared" si="352"/>
        <v>8.9678605846062016</v>
      </c>
      <c r="AX120" s="156">
        <f t="shared" si="353"/>
        <v>7.1635012687758541</v>
      </c>
      <c r="AY120" s="156">
        <f t="shared" si="354"/>
        <v>4.9466528452323457</v>
      </c>
      <c r="AZ120" s="156">
        <f t="shared" si="355"/>
        <v>5.1380430301946323</v>
      </c>
      <c r="BA120" s="156">
        <f t="shared" si="356"/>
        <v>2.417574035154848</v>
      </c>
      <c r="BB120" s="156">
        <f t="shared" si="357"/>
        <v>3.4877261347131752</v>
      </c>
      <c r="BC120" s="156">
        <f t="shared" si="358"/>
        <v>4.0173732460471259</v>
      </c>
      <c r="BD120" s="156">
        <f t="shared" si="359"/>
        <v>2.2060615226164466</v>
      </c>
      <c r="BE120" s="156">
        <f t="shared" si="360"/>
        <v>0.90996107032969931</v>
      </c>
      <c r="BF120" s="156">
        <f t="shared" si="361"/>
        <v>-1.7596241788388118</v>
      </c>
      <c r="BG120" s="156">
        <f t="shared" si="362"/>
        <v>-4.5386455140520248</v>
      </c>
      <c r="BH120" s="156">
        <f t="shared" si="363"/>
        <v>-3.7225115405998079</v>
      </c>
      <c r="BI120" s="156">
        <f t="shared" si="364"/>
        <v>-1.1029678362963857</v>
      </c>
      <c r="BJ120" s="156">
        <f t="shared" si="365"/>
        <v>3.5222682559728948</v>
      </c>
      <c r="BK120" s="156">
        <f t="shared" si="366"/>
        <v>5.6542458812343757</v>
      </c>
      <c r="BL120" s="156">
        <f t="shared" si="367"/>
        <v>6.2482815797847095</v>
      </c>
      <c r="BM120" s="156">
        <f t="shared" si="368"/>
        <v>5.0197581165082275</v>
      </c>
      <c r="BN120" s="156">
        <f t="shared" si="369"/>
        <v>3.075267932516184</v>
      </c>
      <c r="BO120" s="156">
        <f t="shared" si="370"/>
        <v>3.2796841544205391</v>
      </c>
      <c r="BP120" s="156">
        <f t="shared" si="371"/>
        <v>3.2769109430294439</v>
      </c>
      <c r="BQ120" s="156">
        <f t="shared" si="372"/>
        <v>4.1181690606905308</v>
      </c>
      <c r="BR120" s="156">
        <f t="shared" si="373"/>
        <v>5.4889751026267923</v>
      </c>
      <c r="BS120" s="156">
        <f t="shared" si="374"/>
        <v>4.6836482484185469</v>
      </c>
      <c r="BT120" s="156">
        <f t="shared" si="375"/>
        <v>2.9989969205344158</v>
      </c>
      <c r="BU120" s="156">
        <f t="shared" si="376"/>
        <v>3.0046045480550334</v>
      </c>
      <c r="BV120" s="156">
        <f t="shared" si="377"/>
        <v>-5.4927209791327057E-2</v>
      </c>
      <c r="BW120" s="156">
        <f t="shared" si="378"/>
        <v>0.74505712953839753</v>
      </c>
      <c r="BX120" s="156">
        <f t="shared" si="379"/>
        <v>0.37421122142679225</v>
      </c>
      <c r="BY120" s="156">
        <f t="shared" si="380"/>
        <v>1.1209196246975452</v>
      </c>
    </row>
    <row r="121" spans="1:77" ht="13.5" thickBot="1">
      <c r="A121" s="173" t="s">
        <v>282</v>
      </c>
      <c r="B121" s="255"/>
      <c r="C121" s="158"/>
      <c r="D121" s="158"/>
      <c r="E121" s="158"/>
      <c r="F121" s="158">
        <f t="shared" si="309"/>
        <v>4.6968955955301572</v>
      </c>
      <c r="G121" s="158">
        <f t="shared" si="310"/>
        <v>7.3562138075728036</v>
      </c>
      <c r="H121" s="158">
        <f t="shared" si="311"/>
        <v>4.3964562018916729</v>
      </c>
      <c r="I121" s="158">
        <f t="shared" si="312"/>
        <v>4.3111168056391316</v>
      </c>
      <c r="J121" s="158">
        <f t="shared" si="313"/>
        <v>2.7430198124431886</v>
      </c>
      <c r="K121" s="158">
        <f t="shared" si="314"/>
        <v>2.4608216082635024</v>
      </c>
      <c r="L121" s="158">
        <f t="shared" si="315"/>
        <v>1.6490868538509305</v>
      </c>
      <c r="M121" s="158">
        <f t="shared" si="316"/>
        <v>0.99868640660586527</v>
      </c>
      <c r="N121" s="158">
        <f t="shared" si="317"/>
        <v>1.337856856224291</v>
      </c>
      <c r="O121" s="158">
        <f t="shared" si="318"/>
        <v>1.0994031846561676</v>
      </c>
      <c r="P121" s="158">
        <f t="shared" si="319"/>
        <v>0.62713829013982481</v>
      </c>
      <c r="Q121" s="158">
        <f t="shared" si="320"/>
        <v>0.45103238697406034</v>
      </c>
      <c r="R121" s="158">
        <f t="shared" si="321"/>
        <v>-0.58479265997818874</v>
      </c>
      <c r="S121" s="158">
        <f t="shared" si="322"/>
        <v>0.17184518151989553</v>
      </c>
      <c r="T121" s="158">
        <f t="shared" si="323"/>
        <v>1.2266901737578348</v>
      </c>
      <c r="U121" s="158">
        <f t="shared" si="324"/>
        <v>2.2034186264703943</v>
      </c>
      <c r="V121" s="158">
        <f>V119</f>
        <v>3.8038121635194071</v>
      </c>
      <c r="W121" s="158">
        <f>W119</f>
        <v>3.3199193228160588</v>
      </c>
      <c r="X121" s="158">
        <f>X119</f>
        <v>6.656733934299468</v>
      </c>
      <c r="Y121" s="158">
        <f>Y119</f>
        <v>5.3519071646716805</v>
      </c>
      <c r="Z121" s="158">
        <f t="shared" si="329"/>
        <v>5.8713244702761607</v>
      </c>
      <c r="AA121" s="158">
        <f t="shared" si="330"/>
        <v>5.8546109631347187</v>
      </c>
      <c r="AB121" s="158">
        <f t="shared" si="331"/>
        <v>2.5774970474188819</v>
      </c>
      <c r="AC121" s="158">
        <f t="shared" si="332"/>
        <v>3.416809581912776</v>
      </c>
      <c r="AD121" s="158">
        <f t="shared" si="333"/>
        <v>1.9578459212209613</v>
      </c>
      <c r="AE121" s="158">
        <f t="shared" si="334"/>
        <v>2.7386846256561403</v>
      </c>
      <c r="AF121" s="158">
        <f t="shared" si="335"/>
        <v>2.2555787441547386</v>
      </c>
      <c r="AG121" s="158">
        <f t="shared" si="336"/>
        <v>2.8111788330154051</v>
      </c>
      <c r="AH121" s="158">
        <f t="shared" si="337"/>
        <v>3.0618438603002498</v>
      </c>
      <c r="AI121" s="158">
        <f t="shared" si="338"/>
        <v>3.4306495768353331</v>
      </c>
      <c r="AJ121" s="158">
        <f t="shared" si="339"/>
        <v>2.7621505142295644</v>
      </c>
      <c r="AK121" s="158">
        <f t="shared" si="340"/>
        <v>1.7460110851752375</v>
      </c>
      <c r="AL121" s="158">
        <f t="shared" si="341"/>
        <v>3.365499589901106</v>
      </c>
      <c r="AM121" s="158">
        <f t="shared" si="342"/>
        <v>3.2269541248739153</v>
      </c>
      <c r="AN121" s="158">
        <f t="shared" si="343"/>
        <v>5.2008073127597605</v>
      </c>
      <c r="AO121" s="158">
        <f t="shared" si="344"/>
        <v>6.1388701437538025</v>
      </c>
      <c r="AP121" s="158">
        <f t="shared" si="345"/>
        <v>5.9501595515857018</v>
      </c>
      <c r="AQ121" s="158">
        <f t="shared" si="346"/>
        <v>5.1487254835381693</v>
      </c>
      <c r="AR121" s="158">
        <f t="shared" si="347"/>
        <v>6.1613268734800881</v>
      </c>
      <c r="AS121" s="158">
        <f t="shared" si="348"/>
        <v>5.7838691754895342</v>
      </c>
      <c r="AT121" s="158">
        <f t="shared" si="349"/>
        <v>5.3775283645018925</v>
      </c>
      <c r="AU121" s="158">
        <f t="shared" si="350"/>
        <v>4.8714974517456939</v>
      </c>
      <c r="AV121" s="158">
        <f t="shared" si="351"/>
        <v>5.0686275926108095</v>
      </c>
      <c r="AW121" s="158">
        <f t="shared" si="352"/>
        <v>6.7834417443122161</v>
      </c>
      <c r="AX121" s="158">
        <f t="shared" si="353"/>
        <v>6.9781709506472707</v>
      </c>
      <c r="AY121" s="158">
        <f t="shared" si="354"/>
        <v>5.924739451715654</v>
      </c>
      <c r="AZ121" s="158">
        <f t="shared" si="355"/>
        <v>5.3181559214108702</v>
      </c>
      <c r="BA121" s="158">
        <f t="shared" si="356"/>
        <v>5.3652296027814321</v>
      </c>
      <c r="BB121" s="158">
        <f t="shared" si="357"/>
        <v>4.4557257316006078</v>
      </c>
      <c r="BC121" s="158">
        <f t="shared" si="358"/>
        <v>5.6068726216044276</v>
      </c>
      <c r="BD121" s="158">
        <f t="shared" si="359"/>
        <v>4.4413177630973353</v>
      </c>
      <c r="BE121" s="158">
        <f t="shared" si="360"/>
        <v>1.7485037784407969</v>
      </c>
      <c r="BF121" s="158">
        <f t="shared" si="361"/>
        <v>-0.88905027110819967</v>
      </c>
      <c r="BG121" s="158">
        <f t="shared" si="362"/>
        <v>-2.9717783010492367</v>
      </c>
      <c r="BH121" s="158">
        <f t="shared" si="363"/>
        <v>-2.1295348132728416</v>
      </c>
      <c r="BI121" s="158">
        <f t="shared" si="364"/>
        <v>-0.23075114519659801</v>
      </c>
      <c r="BJ121" s="158">
        <f t="shared" si="365"/>
        <v>2.6839245005952663</v>
      </c>
      <c r="BK121" s="158">
        <f t="shared" si="366"/>
        <v>4.41861598362736</v>
      </c>
      <c r="BL121" s="158">
        <f t="shared" si="367"/>
        <v>3.9319518223983483</v>
      </c>
      <c r="BM121" s="158">
        <f t="shared" si="368"/>
        <v>3.8761962727699371</v>
      </c>
      <c r="BN121" s="158">
        <f t="shared" si="369"/>
        <v>3.8362917402274759</v>
      </c>
      <c r="BO121" s="158">
        <f t="shared" si="370"/>
        <v>3.1783364335934565</v>
      </c>
      <c r="BP121" s="158">
        <f t="shared" si="371"/>
        <v>3.3564445934469207</v>
      </c>
      <c r="BQ121" s="158">
        <f t="shared" si="372"/>
        <v>3.8715772772594774</v>
      </c>
      <c r="BR121" s="158">
        <f t="shared" si="373"/>
        <v>3.2334924026671685</v>
      </c>
      <c r="BS121" s="158">
        <f t="shared" si="374"/>
        <v>3.2776619850437747</v>
      </c>
      <c r="BT121" s="158">
        <f t="shared" si="375"/>
        <v>2.3332889152125764</v>
      </c>
      <c r="BU121" s="158">
        <f t="shared" si="376"/>
        <v>2.4165410345637182</v>
      </c>
      <c r="BV121" s="158">
        <f t="shared" si="377"/>
        <v>1.4376275661035955</v>
      </c>
      <c r="BW121" s="158">
        <f t="shared" si="378"/>
        <v>2.5341547324244709</v>
      </c>
      <c r="BX121" s="158">
        <f t="shared" si="379"/>
        <v>1.3841508424852382</v>
      </c>
      <c r="BY121" s="158">
        <f t="shared" si="380"/>
        <v>1.5959141345094026</v>
      </c>
    </row>
  </sheetData>
  <mergeCells count="7">
    <mergeCell ref="A1:BY1"/>
    <mergeCell ref="A103:BH103"/>
    <mergeCell ref="A3:BH3"/>
    <mergeCell ref="A23:BH23"/>
    <mergeCell ref="A43:BH43"/>
    <mergeCell ref="A63:BH63"/>
    <mergeCell ref="A83:BH8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Y121"/>
  <sheetViews>
    <sheetView zoomScale="80" zoomScaleNormal="80" workbookViewId="0">
      <selection sqref="A1:BY1"/>
    </sheetView>
  </sheetViews>
  <sheetFormatPr defaultRowHeight="12.75"/>
  <cols>
    <col min="1" max="1" width="32.5" customWidth="1"/>
    <col min="2" max="60" width="10.75" bestFit="1" customWidth="1"/>
    <col min="61" max="61" width="11.25" customWidth="1"/>
    <col min="62" max="63" width="10.875" customWidth="1"/>
    <col min="64" max="64" width="10.75" bestFit="1" customWidth="1"/>
    <col min="65" max="65" width="11" customWidth="1"/>
    <col min="66" max="67" width="10.75" customWidth="1"/>
    <col min="68" max="71" width="11.375" customWidth="1"/>
    <col min="72" max="76" width="10.5" customWidth="1"/>
    <col min="77" max="77" width="10.75" customWidth="1"/>
  </cols>
  <sheetData>
    <row r="1" spans="1:77" ht="35.25" customHeight="1" thickBot="1">
      <c r="A1" s="404" t="s">
        <v>204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405"/>
      <c r="S1" s="405"/>
      <c r="T1" s="405"/>
      <c r="U1" s="405"/>
      <c r="V1" s="405"/>
      <c r="W1" s="405"/>
      <c r="X1" s="405"/>
      <c r="Y1" s="405"/>
      <c r="Z1" s="405"/>
      <c r="AA1" s="405"/>
      <c r="AB1" s="405"/>
      <c r="AC1" s="405"/>
      <c r="AD1" s="405"/>
      <c r="AE1" s="405"/>
      <c r="AF1" s="405"/>
      <c r="AG1" s="405"/>
      <c r="AH1" s="405"/>
      <c r="AI1" s="405"/>
      <c r="AJ1" s="405"/>
      <c r="AK1" s="405"/>
      <c r="AL1" s="405"/>
      <c r="AM1" s="405"/>
      <c r="AN1" s="405"/>
      <c r="AO1" s="405"/>
      <c r="AP1" s="405"/>
      <c r="AQ1" s="405"/>
      <c r="AR1" s="405"/>
      <c r="AS1" s="405"/>
      <c r="AT1" s="405"/>
      <c r="AU1" s="405"/>
      <c r="AV1" s="405"/>
      <c r="AW1" s="405"/>
      <c r="AX1" s="405"/>
      <c r="AY1" s="405"/>
      <c r="AZ1" s="405"/>
      <c r="BA1" s="405"/>
      <c r="BB1" s="405"/>
      <c r="BC1" s="405"/>
      <c r="BD1" s="405"/>
      <c r="BE1" s="405"/>
      <c r="BF1" s="405"/>
      <c r="BG1" s="405"/>
      <c r="BH1" s="405"/>
      <c r="BI1" s="405"/>
      <c r="BJ1" s="405"/>
      <c r="BK1" s="405"/>
      <c r="BL1" s="405"/>
      <c r="BM1" s="405"/>
      <c r="BN1" s="405"/>
      <c r="BO1" s="405"/>
      <c r="BP1" s="405"/>
      <c r="BQ1" s="405"/>
      <c r="BR1" s="405"/>
      <c r="BS1" s="405"/>
      <c r="BT1" s="405"/>
      <c r="BU1" s="405"/>
      <c r="BV1" s="405"/>
      <c r="BW1" s="405"/>
      <c r="BX1" s="405"/>
      <c r="BY1" s="406"/>
    </row>
    <row r="3" spans="1:77" ht="18">
      <c r="A3" s="127" t="s">
        <v>211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8"/>
      <c r="AU3" s="128"/>
      <c r="AV3" s="128"/>
      <c r="AW3" s="128"/>
      <c r="AX3" s="128"/>
      <c r="AY3" s="128"/>
      <c r="AZ3" s="128"/>
      <c r="BA3" s="128"/>
    </row>
    <row r="4" spans="1:77" ht="13.5" thickBot="1">
      <c r="A4" s="1" t="s">
        <v>201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77" ht="13.5" thickBot="1">
      <c r="A5" s="160" t="s">
        <v>166</v>
      </c>
      <c r="B5" s="249" t="s">
        <v>285</v>
      </c>
      <c r="C5" s="248" t="s">
        <v>286</v>
      </c>
      <c r="D5" s="248" t="s">
        <v>287</v>
      </c>
      <c r="E5" s="248" t="s">
        <v>288</v>
      </c>
      <c r="F5" s="248" t="s">
        <v>284</v>
      </c>
      <c r="G5" s="248" t="s">
        <v>289</v>
      </c>
      <c r="H5" s="248" t="s">
        <v>290</v>
      </c>
      <c r="I5" s="248" t="s">
        <v>291</v>
      </c>
      <c r="J5" s="248" t="s">
        <v>292</v>
      </c>
      <c r="K5" s="248" t="s">
        <v>293</v>
      </c>
      <c r="L5" s="248" t="s">
        <v>294</v>
      </c>
      <c r="M5" s="248" t="s">
        <v>295</v>
      </c>
      <c r="N5" s="248" t="s">
        <v>296</v>
      </c>
      <c r="O5" s="248" t="s">
        <v>297</v>
      </c>
      <c r="P5" s="248" t="s">
        <v>298</v>
      </c>
      <c r="Q5" s="248" t="s">
        <v>299</v>
      </c>
      <c r="R5" s="248" t="s">
        <v>300</v>
      </c>
      <c r="S5" s="248" t="s">
        <v>301</v>
      </c>
      <c r="T5" s="248" t="s">
        <v>302</v>
      </c>
      <c r="U5" s="248" t="s">
        <v>303</v>
      </c>
      <c r="V5" s="248" t="s">
        <v>332</v>
      </c>
      <c r="W5" s="248" t="s">
        <v>333</v>
      </c>
      <c r="X5" s="248" t="s">
        <v>334</v>
      </c>
      <c r="Y5" s="248" t="s">
        <v>335</v>
      </c>
      <c r="Z5" s="248" t="s">
        <v>304</v>
      </c>
      <c r="AA5" s="248" t="s">
        <v>305</v>
      </c>
      <c r="AB5" s="248" t="s">
        <v>306</v>
      </c>
      <c r="AC5" s="248" t="s">
        <v>307</v>
      </c>
      <c r="AD5" s="248" t="s">
        <v>308</v>
      </c>
      <c r="AE5" s="248" t="s">
        <v>309</v>
      </c>
      <c r="AF5" s="248" t="s">
        <v>310</v>
      </c>
      <c r="AG5" s="248" t="s">
        <v>311</v>
      </c>
      <c r="AH5" s="248" t="s">
        <v>312</v>
      </c>
      <c r="AI5" s="248" t="s">
        <v>313</v>
      </c>
      <c r="AJ5" s="248" t="s">
        <v>314</v>
      </c>
      <c r="AK5" s="248" t="s">
        <v>315</v>
      </c>
      <c r="AL5" s="248" t="s">
        <v>316</v>
      </c>
      <c r="AM5" s="248" t="s">
        <v>317</v>
      </c>
      <c r="AN5" s="248" t="s">
        <v>318</v>
      </c>
      <c r="AO5" s="248" t="s">
        <v>319</v>
      </c>
      <c r="AP5" s="248" t="s">
        <v>320</v>
      </c>
      <c r="AQ5" s="248" t="s">
        <v>321</v>
      </c>
      <c r="AR5" s="248" t="s">
        <v>322</v>
      </c>
      <c r="AS5" s="248" t="s">
        <v>323</v>
      </c>
      <c r="AT5" s="248" t="s">
        <v>324</v>
      </c>
      <c r="AU5" s="248" t="s">
        <v>325</v>
      </c>
      <c r="AV5" s="248" t="s">
        <v>326</v>
      </c>
      <c r="AW5" s="248" t="s">
        <v>327</v>
      </c>
      <c r="AX5" s="248" t="s">
        <v>328</v>
      </c>
      <c r="AY5" s="248" t="s">
        <v>329</v>
      </c>
      <c r="AZ5" s="248" t="s">
        <v>330</v>
      </c>
      <c r="BA5" s="248" t="s">
        <v>331</v>
      </c>
      <c r="BB5" s="248" t="s">
        <v>227</v>
      </c>
      <c r="BC5" s="248" t="s">
        <v>228</v>
      </c>
      <c r="BD5" s="248" t="s">
        <v>229</v>
      </c>
      <c r="BE5" s="248" t="s">
        <v>230</v>
      </c>
      <c r="BF5" s="248" t="s">
        <v>224</v>
      </c>
      <c r="BG5" s="248" t="s">
        <v>225</v>
      </c>
      <c r="BH5" s="248" t="s">
        <v>226</v>
      </c>
      <c r="BI5" s="248" t="s">
        <v>346</v>
      </c>
      <c r="BJ5" s="248" t="s">
        <v>348</v>
      </c>
      <c r="BK5" s="248" t="s">
        <v>349</v>
      </c>
      <c r="BL5" s="248" t="s">
        <v>350</v>
      </c>
      <c r="BM5" s="248" t="s">
        <v>405</v>
      </c>
      <c r="BN5" s="248" t="s">
        <v>413</v>
      </c>
      <c r="BO5" s="248" t="s">
        <v>415</v>
      </c>
      <c r="BP5" s="248" t="s">
        <v>417</v>
      </c>
      <c r="BQ5" s="248" t="s">
        <v>418</v>
      </c>
      <c r="BR5" s="248" t="s">
        <v>419</v>
      </c>
      <c r="BS5" s="248" t="s">
        <v>420</v>
      </c>
      <c r="BT5" s="248" t="s">
        <v>422</v>
      </c>
      <c r="BU5" s="248" t="s">
        <v>423</v>
      </c>
      <c r="BV5" s="248" t="s">
        <v>424</v>
      </c>
      <c r="BW5" s="248" t="s">
        <v>425</v>
      </c>
      <c r="BX5" s="248" t="s">
        <v>426</v>
      </c>
      <c r="BY5" s="248" t="s">
        <v>429</v>
      </c>
    </row>
    <row r="6" spans="1:77" ht="13.5" thickTop="1">
      <c r="A6" s="161" t="s">
        <v>0</v>
      </c>
      <c r="B6" s="98">
        <f t="shared" ref="B6:Z6" si="0">SUM(B7:B8)</f>
        <v>133373</v>
      </c>
      <c r="C6" s="98">
        <f t="shared" si="0"/>
        <v>127184.8</v>
      </c>
      <c r="D6" s="98">
        <f t="shared" si="0"/>
        <v>124442.8</v>
      </c>
      <c r="E6" s="98">
        <f t="shared" si="0"/>
        <v>123826.1</v>
      </c>
      <c r="F6" s="98">
        <f t="shared" si="0"/>
        <v>129139.6</v>
      </c>
      <c r="G6" s="98">
        <f t="shared" si="0"/>
        <v>132327.79999999999</v>
      </c>
      <c r="H6" s="98">
        <f t="shared" si="0"/>
        <v>134413.75</v>
      </c>
      <c r="I6" s="98">
        <f t="shared" si="0"/>
        <v>135068.79999999999</v>
      </c>
      <c r="J6" s="98">
        <f t="shared" si="0"/>
        <v>133402.64000000001</v>
      </c>
      <c r="K6" s="98">
        <f t="shared" si="0"/>
        <v>134759.84</v>
      </c>
      <c r="L6" s="98">
        <f t="shared" si="0"/>
        <v>135456.85999999999</v>
      </c>
      <c r="M6" s="98">
        <f t="shared" si="0"/>
        <v>135309.03</v>
      </c>
      <c r="N6" s="98">
        <f t="shared" si="0"/>
        <v>134569.99</v>
      </c>
      <c r="O6" s="98">
        <f t="shared" si="0"/>
        <v>132843</v>
      </c>
      <c r="P6" s="98">
        <f t="shared" si="0"/>
        <v>131847.96</v>
      </c>
      <c r="Q6" s="98">
        <f t="shared" si="0"/>
        <v>132256.76999999999</v>
      </c>
      <c r="R6" s="98">
        <f t="shared" si="0"/>
        <v>133012.76</v>
      </c>
      <c r="S6" s="98">
        <f t="shared" si="0"/>
        <v>132715.53</v>
      </c>
      <c r="T6" s="98">
        <f t="shared" si="0"/>
        <v>133334.08000000002</v>
      </c>
      <c r="U6" s="98">
        <f t="shared" si="0"/>
        <v>134525.08000000002</v>
      </c>
      <c r="V6" s="98">
        <f t="shared" si="0"/>
        <v>134331.28999999998</v>
      </c>
      <c r="W6" s="98">
        <f t="shared" si="0"/>
        <v>134261.13999999998</v>
      </c>
      <c r="X6" s="98">
        <f t="shared" si="0"/>
        <v>133474.28</v>
      </c>
      <c r="Y6" s="98">
        <f t="shared" si="0"/>
        <v>133359.69</v>
      </c>
      <c r="Z6" s="98">
        <f t="shared" si="0"/>
        <v>132979.78</v>
      </c>
      <c r="AA6" s="98">
        <f t="shared" ref="AA6:BH6" si="1">SUM(AA7:AA8)</f>
        <v>133249.18</v>
      </c>
      <c r="AB6" s="98">
        <f t="shared" si="1"/>
        <v>132491.20000000001</v>
      </c>
      <c r="AC6" s="98">
        <f t="shared" si="1"/>
        <v>131717.98000000001</v>
      </c>
      <c r="AD6" s="98">
        <f t="shared" si="1"/>
        <v>133241.59</v>
      </c>
      <c r="AE6" s="98">
        <f t="shared" si="1"/>
        <v>135118.23000000001</v>
      </c>
      <c r="AF6" s="98">
        <f t="shared" si="1"/>
        <v>136789.24</v>
      </c>
      <c r="AG6" s="98">
        <f t="shared" si="1"/>
        <v>137994.16</v>
      </c>
      <c r="AH6" s="98">
        <f t="shared" si="1"/>
        <v>138621.77000000002</v>
      </c>
      <c r="AI6" s="98">
        <f t="shared" si="1"/>
        <v>139435.16</v>
      </c>
      <c r="AJ6" s="98">
        <f t="shared" si="1"/>
        <v>139693.16</v>
      </c>
      <c r="AK6" s="98">
        <f t="shared" si="1"/>
        <v>139949.18</v>
      </c>
      <c r="AL6" s="98">
        <f t="shared" si="1"/>
        <v>140672.85</v>
      </c>
      <c r="AM6" s="98">
        <f t="shared" si="1"/>
        <v>139718.03</v>
      </c>
      <c r="AN6" s="98">
        <f t="shared" si="1"/>
        <v>143279.1</v>
      </c>
      <c r="AO6" s="98">
        <f t="shared" si="1"/>
        <v>141511.07</v>
      </c>
      <c r="AP6" s="98">
        <f t="shared" si="1"/>
        <v>144546.70000000001</v>
      </c>
      <c r="AQ6" s="98">
        <f t="shared" si="1"/>
        <v>143629.70000000001</v>
      </c>
      <c r="AR6" s="98">
        <f t="shared" si="1"/>
        <v>142929.64000000001</v>
      </c>
      <c r="AS6" s="98">
        <f t="shared" si="1"/>
        <v>142469.54</v>
      </c>
      <c r="AT6" s="98">
        <f t="shared" si="1"/>
        <v>139489.99</v>
      </c>
      <c r="AU6" s="98">
        <f t="shared" si="1"/>
        <v>139960</v>
      </c>
      <c r="AV6" s="98">
        <f t="shared" si="1"/>
        <v>140863.95000000001</v>
      </c>
      <c r="AW6" s="98">
        <f t="shared" si="1"/>
        <v>142579.09</v>
      </c>
      <c r="AX6" s="98">
        <f t="shared" si="1"/>
        <v>143107.24300000002</v>
      </c>
      <c r="AY6" s="98">
        <f t="shared" si="1"/>
        <v>141144.163</v>
      </c>
      <c r="AZ6" s="98">
        <f t="shared" si="1"/>
        <v>141351.163</v>
      </c>
      <c r="BA6" s="98">
        <f t="shared" si="1"/>
        <v>140944.16200000001</v>
      </c>
      <c r="BB6" s="98">
        <f t="shared" si="1"/>
        <v>138551.22999999998</v>
      </c>
      <c r="BC6" s="98">
        <f t="shared" si="1"/>
        <v>142185.48499999999</v>
      </c>
      <c r="BD6" s="98">
        <f t="shared" si="1"/>
        <v>142245.91</v>
      </c>
      <c r="BE6" s="98">
        <f t="shared" si="1"/>
        <v>143173.35</v>
      </c>
      <c r="BF6" s="98">
        <f t="shared" si="1"/>
        <v>136055.6065704292</v>
      </c>
      <c r="BG6" s="98">
        <f t="shared" si="1"/>
        <v>137029.381126844</v>
      </c>
      <c r="BH6" s="98">
        <f t="shared" si="1"/>
        <v>134316.26807758361</v>
      </c>
      <c r="BI6" s="98">
        <f t="shared" ref="BI6:BO6" si="2">SUM(BI7:BI8)</f>
        <v>134644.74422514322</v>
      </c>
      <c r="BJ6" s="98">
        <f t="shared" si="2"/>
        <v>139270.04399999999</v>
      </c>
      <c r="BK6" s="98">
        <f t="shared" si="2"/>
        <v>134619.09600000002</v>
      </c>
      <c r="BL6" s="98">
        <f t="shared" si="2"/>
        <v>142723.10399999999</v>
      </c>
      <c r="BM6" s="98">
        <f t="shared" si="2"/>
        <v>147376.04</v>
      </c>
      <c r="BN6" s="98">
        <f>SUM(BN7:BN8)</f>
        <v>145282.77437155999</v>
      </c>
      <c r="BO6" s="98">
        <f t="shared" si="2"/>
        <v>143796.55519589499</v>
      </c>
      <c r="BP6" s="98">
        <f t="shared" ref="BP6:BX6" si="3">SUM(BP7:BP8)</f>
        <v>138407.39276877721</v>
      </c>
      <c r="BQ6" s="98">
        <f t="shared" si="3"/>
        <v>137609.56166376721</v>
      </c>
      <c r="BR6" s="98">
        <f t="shared" si="3"/>
        <v>134795.0566828748</v>
      </c>
      <c r="BS6" s="98">
        <f t="shared" si="3"/>
        <v>141134.20276427642</v>
      </c>
      <c r="BT6" s="98">
        <f t="shared" si="3"/>
        <v>139518.50686560362</v>
      </c>
      <c r="BU6" s="98">
        <f t="shared" si="3"/>
        <v>138615.2737293696</v>
      </c>
      <c r="BV6" s="98">
        <f t="shared" ref="BV6:BW6" si="4">SUM(BV7:BV8)</f>
        <v>141152.01686794759</v>
      </c>
      <c r="BW6" s="98">
        <f t="shared" si="4"/>
        <v>139472.56676687879</v>
      </c>
      <c r="BX6" s="98">
        <f t="shared" si="3"/>
        <v>142488.1270806804</v>
      </c>
      <c r="BY6" s="98">
        <f t="shared" ref="BY6" si="5">SUM(BY7:BY8)</f>
        <v>146847.61623145107</v>
      </c>
    </row>
    <row r="7" spans="1:77">
      <c r="A7" s="162" t="s">
        <v>1</v>
      </c>
      <c r="B7" s="122">
        <v>31290.9</v>
      </c>
      <c r="C7" s="122">
        <v>26457.8</v>
      </c>
      <c r="D7" s="122">
        <v>23928.799999999999</v>
      </c>
      <c r="E7" s="122">
        <v>23943</v>
      </c>
      <c r="F7" s="122">
        <v>28270</v>
      </c>
      <c r="G7" s="122">
        <v>32804.800000000003</v>
      </c>
      <c r="H7" s="122">
        <v>34746.800000000003</v>
      </c>
      <c r="I7" s="122">
        <v>35147.800000000003</v>
      </c>
      <c r="J7" s="122">
        <v>33071</v>
      </c>
      <c r="K7" s="122">
        <v>33177.089999999997</v>
      </c>
      <c r="L7" s="122">
        <v>33089</v>
      </c>
      <c r="M7" s="122">
        <v>32811.03</v>
      </c>
      <c r="N7" s="122">
        <v>31718.09</v>
      </c>
      <c r="O7" s="122">
        <v>30974.1</v>
      </c>
      <c r="P7" s="122">
        <v>30885.06</v>
      </c>
      <c r="Q7" s="122">
        <v>31567.02</v>
      </c>
      <c r="R7" s="122">
        <v>32402</v>
      </c>
      <c r="S7" s="122">
        <v>32830.06</v>
      </c>
      <c r="T7" s="122">
        <v>33404.080000000002</v>
      </c>
      <c r="U7" s="122">
        <v>34267.08</v>
      </c>
      <c r="V7" s="122">
        <v>34704</v>
      </c>
      <c r="W7" s="122">
        <v>34951.85</v>
      </c>
      <c r="X7" s="122">
        <v>34998</v>
      </c>
      <c r="Y7" s="122">
        <v>34495.85</v>
      </c>
      <c r="Z7" s="122">
        <v>33843.18</v>
      </c>
      <c r="AA7" s="122">
        <v>33637.18</v>
      </c>
      <c r="AB7" s="122">
        <v>33547.199999999997</v>
      </c>
      <c r="AC7" s="122">
        <v>33530.18</v>
      </c>
      <c r="AD7" s="122">
        <v>34474.239999999998</v>
      </c>
      <c r="AE7" s="122">
        <v>35617.24</v>
      </c>
      <c r="AF7" s="122">
        <v>36368.25</v>
      </c>
      <c r="AG7" s="122">
        <v>36844.26</v>
      </c>
      <c r="AH7" s="122">
        <v>36885</v>
      </c>
      <c r="AI7" s="122">
        <v>36566</v>
      </c>
      <c r="AJ7" s="122">
        <v>35527</v>
      </c>
      <c r="AK7" s="122">
        <v>35302</v>
      </c>
      <c r="AL7" s="122">
        <v>35495</v>
      </c>
      <c r="AM7" s="122">
        <v>35830</v>
      </c>
      <c r="AN7" s="122">
        <v>36614</v>
      </c>
      <c r="AO7" s="122">
        <v>37581</v>
      </c>
      <c r="AP7" s="122">
        <v>37373.26</v>
      </c>
      <c r="AQ7" s="122">
        <v>37308.26</v>
      </c>
      <c r="AR7" s="122">
        <v>37397.199999999997</v>
      </c>
      <c r="AS7" s="122">
        <v>37529.26</v>
      </c>
      <c r="AT7" s="122">
        <v>36601.25</v>
      </c>
      <c r="AU7" s="122">
        <v>35381.25</v>
      </c>
      <c r="AV7" s="122">
        <v>34765.25</v>
      </c>
      <c r="AW7" s="122">
        <v>34688.25</v>
      </c>
      <c r="AX7" s="122">
        <v>35214.75</v>
      </c>
      <c r="AY7" s="122">
        <v>36013.75</v>
      </c>
      <c r="AZ7" s="122">
        <v>36397.75</v>
      </c>
      <c r="BA7" s="122">
        <v>37577.75</v>
      </c>
      <c r="BB7" s="122">
        <v>39666</v>
      </c>
      <c r="BC7" s="122">
        <v>40889</v>
      </c>
      <c r="BD7" s="122">
        <v>43507.56</v>
      </c>
      <c r="BE7" s="122">
        <v>44510</v>
      </c>
      <c r="BF7" s="122">
        <v>43807.380605278398</v>
      </c>
      <c r="BG7" s="122">
        <v>41943.561018019602</v>
      </c>
      <c r="BH7" s="122">
        <v>40526.107264142804</v>
      </c>
      <c r="BI7" s="122">
        <v>39539.515112558802</v>
      </c>
      <c r="BJ7" s="122">
        <v>39896.660000000003</v>
      </c>
      <c r="BK7" s="122">
        <v>40934.131999999998</v>
      </c>
      <c r="BL7" s="122">
        <v>42351.42</v>
      </c>
      <c r="BM7" s="122">
        <v>43273.387999999999</v>
      </c>
      <c r="BN7" s="122">
        <v>42772.756000000001</v>
      </c>
      <c r="BO7" s="122">
        <v>41754.203999999998</v>
      </c>
      <c r="BP7" s="122">
        <v>41118.86</v>
      </c>
      <c r="BQ7" s="122">
        <v>40701.584000000003</v>
      </c>
      <c r="BR7" s="122">
        <v>41140.968000000001</v>
      </c>
      <c r="BS7" s="122">
        <v>42036.284</v>
      </c>
      <c r="BT7" s="122">
        <v>42767.703999999998</v>
      </c>
      <c r="BU7" s="122">
        <v>43788.807999999997</v>
      </c>
      <c r="BV7" s="122">
        <v>43303.4</v>
      </c>
      <c r="BW7" s="122">
        <v>42973.5</v>
      </c>
      <c r="BX7" s="122">
        <v>43352</v>
      </c>
      <c r="BY7" s="122">
        <v>44027.66</v>
      </c>
    </row>
    <row r="8" spans="1:77">
      <c r="A8" s="163" t="s">
        <v>2</v>
      </c>
      <c r="B8" s="124">
        <v>102082.1</v>
      </c>
      <c r="C8" s="124">
        <v>100727</v>
      </c>
      <c r="D8" s="124">
        <v>100514</v>
      </c>
      <c r="E8" s="124">
        <v>99883.1</v>
      </c>
      <c r="F8" s="124">
        <v>100869.6</v>
      </c>
      <c r="G8" s="124">
        <v>99523</v>
      </c>
      <c r="H8" s="124">
        <v>99666.95</v>
      </c>
      <c r="I8" s="124">
        <v>99921</v>
      </c>
      <c r="J8" s="124">
        <v>100331.64</v>
      </c>
      <c r="K8" s="124">
        <v>101582.75</v>
      </c>
      <c r="L8" s="124">
        <v>102367.86</v>
      </c>
      <c r="M8" s="124">
        <v>102498</v>
      </c>
      <c r="N8" s="124">
        <v>102851.9</v>
      </c>
      <c r="O8" s="124">
        <v>101868.9</v>
      </c>
      <c r="P8" s="124">
        <v>100962.9</v>
      </c>
      <c r="Q8" s="124">
        <v>100689.75</v>
      </c>
      <c r="R8" s="124">
        <v>100610.76</v>
      </c>
      <c r="S8" s="124">
        <v>99885.47</v>
      </c>
      <c r="T8" s="124">
        <v>99930</v>
      </c>
      <c r="U8" s="124">
        <v>100258</v>
      </c>
      <c r="V8" s="124">
        <v>99627.29</v>
      </c>
      <c r="W8" s="124">
        <v>99309.29</v>
      </c>
      <c r="X8" s="124">
        <v>98476.28</v>
      </c>
      <c r="Y8" s="124">
        <v>98863.84</v>
      </c>
      <c r="Z8" s="124">
        <v>99136.6</v>
      </c>
      <c r="AA8" s="124">
        <v>99612</v>
      </c>
      <c r="AB8" s="124">
        <v>98944</v>
      </c>
      <c r="AC8" s="124">
        <v>98187.8</v>
      </c>
      <c r="AD8" s="124">
        <v>98767.35</v>
      </c>
      <c r="AE8" s="124">
        <v>99500.99</v>
      </c>
      <c r="AF8" s="124">
        <v>100420.99</v>
      </c>
      <c r="AG8" s="124">
        <v>101149.9</v>
      </c>
      <c r="AH8" s="124">
        <v>101736.77</v>
      </c>
      <c r="AI8" s="124">
        <v>102869.16</v>
      </c>
      <c r="AJ8" s="124">
        <v>104166.16</v>
      </c>
      <c r="AK8" s="124">
        <v>104647.18</v>
      </c>
      <c r="AL8" s="124">
        <v>105177.85</v>
      </c>
      <c r="AM8" s="124">
        <v>103888.03</v>
      </c>
      <c r="AN8" s="124">
        <v>106665.1</v>
      </c>
      <c r="AO8" s="124">
        <v>103930.07</v>
      </c>
      <c r="AP8" s="124">
        <v>107173.44</v>
      </c>
      <c r="AQ8" s="124">
        <v>106321.44</v>
      </c>
      <c r="AR8" s="124">
        <v>105532.44</v>
      </c>
      <c r="AS8" s="124">
        <v>104940.28</v>
      </c>
      <c r="AT8" s="124">
        <v>102888.74</v>
      </c>
      <c r="AU8" s="124">
        <v>104578.75</v>
      </c>
      <c r="AV8" s="124">
        <v>106098.7</v>
      </c>
      <c r="AW8" s="124">
        <v>107890.84</v>
      </c>
      <c r="AX8" s="124">
        <v>107892.493</v>
      </c>
      <c r="AY8" s="124">
        <v>105130.413</v>
      </c>
      <c r="AZ8" s="124">
        <v>104953.413</v>
      </c>
      <c r="BA8" s="124">
        <v>103366.412</v>
      </c>
      <c r="BB8" s="124">
        <v>98885.23</v>
      </c>
      <c r="BC8" s="124">
        <v>101296.485</v>
      </c>
      <c r="BD8" s="124">
        <v>98738.35</v>
      </c>
      <c r="BE8" s="124">
        <v>98663.35</v>
      </c>
      <c r="BF8" s="124">
        <v>92248.225965150792</v>
      </c>
      <c r="BG8" s="124">
        <v>95085.820108824395</v>
      </c>
      <c r="BH8" s="124">
        <v>93790.160813440802</v>
      </c>
      <c r="BI8" s="124">
        <v>95105.229112584406</v>
      </c>
      <c r="BJ8" s="124">
        <v>99373.384000000005</v>
      </c>
      <c r="BK8" s="124">
        <v>93684.964000000007</v>
      </c>
      <c r="BL8" s="124">
        <v>100371.68399999999</v>
      </c>
      <c r="BM8" s="124">
        <v>104102.652</v>
      </c>
      <c r="BN8" s="124">
        <v>102510.01837156</v>
      </c>
      <c r="BO8" s="124">
        <v>102042.351195895</v>
      </c>
      <c r="BP8" s="124">
        <v>97288.532768777193</v>
      </c>
      <c r="BQ8" s="124">
        <v>96907.977663767204</v>
      </c>
      <c r="BR8" s="124">
        <v>93654.088682874804</v>
      </c>
      <c r="BS8" s="124">
        <v>99097.918764276401</v>
      </c>
      <c r="BT8" s="124">
        <v>96750.802865603604</v>
      </c>
      <c r="BU8" s="124">
        <v>94826.465729369593</v>
      </c>
      <c r="BV8" s="124">
        <v>97848.616867947596</v>
      </c>
      <c r="BW8" s="124">
        <v>96499.066766878794</v>
      </c>
      <c r="BX8" s="124">
        <v>99136.127080680395</v>
      </c>
      <c r="BY8" s="124">
        <v>102819.95623145107</v>
      </c>
    </row>
    <row r="9" spans="1:77">
      <c r="A9" s="161" t="s">
        <v>3</v>
      </c>
      <c r="B9" s="116">
        <f t="shared" ref="B9:Z9" si="6">SUM(B10:B12)</f>
        <v>246007.38892314502</v>
      </c>
      <c r="C9" s="116">
        <f t="shared" si="6"/>
        <v>248517.84561252006</v>
      </c>
      <c r="D9" s="116">
        <f t="shared" si="6"/>
        <v>250162.46435339446</v>
      </c>
      <c r="E9" s="116">
        <f t="shared" si="6"/>
        <v>248497.10471920215</v>
      </c>
      <c r="F9" s="116">
        <f t="shared" si="6"/>
        <v>251410.85280587268</v>
      </c>
      <c r="G9" s="116">
        <f t="shared" si="6"/>
        <v>252330.7321593441</v>
      </c>
      <c r="H9" s="116">
        <f t="shared" si="6"/>
        <v>255361.34066725199</v>
      </c>
      <c r="I9" s="116">
        <f t="shared" si="6"/>
        <v>258332.30149908544</v>
      </c>
      <c r="J9" s="116">
        <f t="shared" si="6"/>
        <v>259235.56219447599</v>
      </c>
      <c r="K9" s="116">
        <f t="shared" si="6"/>
        <v>263426.32795795915</v>
      </c>
      <c r="L9" s="116">
        <f t="shared" si="6"/>
        <v>262728.48724679754</v>
      </c>
      <c r="M9" s="116">
        <f t="shared" si="6"/>
        <v>261663.44577146799</v>
      </c>
      <c r="N9" s="116">
        <f t="shared" si="6"/>
        <v>260613.4423863609</v>
      </c>
      <c r="O9" s="116">
        <f t="shared" si="6"/>
        <v>259471.69942188411</v>
      </c>
      <c r="P9" s="116">
        <f t="shared" si="6"/>
        <v>256195.12125844706</v>
      </c>
      <c r="Q9" s="116">
        <f t="shared" si="6"/>
        <v>255286.36134553957</v>
      </c>
      <c r="R9" s="116">
        <f t="shared" si="6"/>
        <v>254392.57670924359</v>
      </c>
      <c r="S9" s="116">
        <f t="shared" si="6"/>
        <v>256125.17010776993</v>
      </c>
      <c r="T9" s="116">
        <f t="shared" si="6"/>
        <v>259600.11891137392</v>
      </c>
      <c r="U9" s="116">
        <f t="shared" si="6"/>
        <v>264427.43655879248</v>
      </c>
      <c r="V9" s="116">
        <f t="shared" si="6"/>
        <v>270420.51</v>
      </c>
      <c r="W9" s="116">
        <f t="shared" si="6"/>
        <v>274747.86</v>
      </c>
      <c r="X9" s="116">
        <f t="shared" si="6"/>
        <v>280246.17</v>
      </c>
      <c r="Y9" s="116">
        <f t="shared" si="6"/>
        <v>284930.89</v>
      </c>
      <c r="Z9" s="116">
        <f t="shared" si="6"/>
        <v>285780.47999999998</v>
      </c>
      <c r="AA9" s="116">
        <f t="shared" ref="AA9:BH9" si="7">SUM(AA10:AA12)</f>
        <v>285624.01</v>
      </c>
      <c r="AB9" s="116">
        <f t="shared" si="7"/>
        <v>283197.14999999997</v>
      </c>
      <c r="AC9" s="116">
        <f t="shared" si="7"/>
        <v>285204.99</v>
      </c>
      <c r="AD9" s="116">
        <f t="shared" si="7"/>
        <v>287910.03000000003</v>
      </c>
      <c r="AE9" s="116">
        <f t="shared" si="7"/>
        <v>293037.84999999998</v>
      </c>
      <c r="AF9" s="116">
        <f t="shared" si="7"/>
        <v>296742.89</v>
      </c>
      <c r="AG9" s="116">
        <f t="shared" si="7"/>
        <v>298137.23</v>
      </c>
      <c r="AH9" s="116">
        <f t="shared" si="7"/>
        <v>296397.59999999998</v>
      </c>
      <c r="AI9" s="116">
        <f t="shared" si="7"/>
        <v>293836.59999999998</v>
      </c>
      <c r="AJ9" s="116">
        <f t="shared" si="7"/>
        <v>292062.8</v>
      </c>
      <c r="AK9" s="116">
        <f t="shared" si="7"/>
        <v>291703</v>
      </c>
      <c r="AL9" s="116">
        <f t="shared" si="7"/>
        <v>299789</v>
      </c>
      <c r="AM9" s="116">
        <f t="shared" si="7"/>
        <v>307044</v>
      </c>
      <c r="AN9" s="116">
        <f t="shared" si="7"/>
        <v>314808</v>
      </c>
      <c r="AO9" s="116">
        <f t="shared" si="7"/>
        <v>317363</v>
      </c>
      <c r="AP9" s="116">
        <f t="shared" si="7"/>
        <v>318308.25</v>
      </c>
      <c r="AQ9" s="116">
        <f t="shared" si="7"/>
        <v>329343.95</v>
      </c>
      <c r="AR9" s="116">
        <f t="shared" si="7"/>
        <v>336725.35000000003</v>
      </c>
      <c r="AS9" s="116">
        <f t="shared" si="7"/>
        <v>338300.45</v>
      </c>
      <c r="AT9" s="116">
        <f t="shared" si="7"/>
        <v>342861.4</v>
      </c>
      <c r="AU9" s="116">
        <f t="shared" si="7"/>
        <v>349189.4</v>
      </c>
      <c r="AV9" s="116">
        <f t="shared" si="7"/>
        <v>355739.4</v>
      </c>
      <c r="AW9" s="116">
        <f t="shared" si="7"/>
        <v>362223.4</v>
      </c>
      <c r="AX9" s="116">
        <f t="shared" si="7"/>
        <v>369261.44</v>
      </c>
      <c r="AY9" s="116">
        <f t="shared" si="7"/>
        <v>372456.19</v>
      </c>
      <c r="AZ9" s="116">
        <f t="shared" si="7"/>
        <v>373736.19</v>
      </c>
      <c r="BA9" s="116">
        <f t="shared" si="7"/>
        <v>382590.19</v>
      </c>
      <c r="BB9" s="116">
        <f t="shared" si="7"/>
        <v>380937.04755101382</v>
      </c>
      <c r="BC9" s="116">
        <f t="shared" si="7"/>
        <v>393507.22634494043</v>
      </c>
      <c r="BD9" s="116">
        <f t="shared" si="7"/>
        <v>390852.18545635848</v>
      </c>
      <c r="BE9" s="116">
        <f t="shared" si="7"/>
        <v>375621.90064768738</v>
      </c>
      <c r="BF9" s="116">
        <f t="shared" si="7"/>
        <v>358304.85729552957</v>
      </c>
      <c r="BG9" s="116">
        <f t="shared" si="7"/>
        <v>351542.84428207902</v>
      </c>
      <c r="BH9" s="116">
        <f t="shared" si="7"/>
        <v>358617.86594976141</v>
      </c>
      <c r="BI9" s="116">
        <f t="shared" ref="BI9:BO9" si="8">SUM(BI10:BI12)</f>
        <v>366386.43847263086</v>
      </c>
      <c r="BJ9" s="116">
        <f t="shared" si="8"/>
        <v>371097.6046687878</v>
      </c>
      <c r="BK9" s="116">
        <f t="shared" si="8"/>
        <v>375923.92662236583</v>
      </c>
      <c r="BL9" s="116">
        <f t="shared" si="8"/>
        <v>374012.22262837942</v>
      </c>
      <c r="BM9" s="116">
        <f t="shared" si="8"/>
        <v>377981.27841151704</v>
      </c>
      <c r="BN9" s="116">
        <f>SUM(BN10:BN12)</f>
        <v>386861.73843549914</v>
      </c>
      <c r="BO9" s="116">
        <f t="shared" si="8"/>
        <v>383348.78426329803</v>
      </c>
      <c r="BP9" s="116">
        <f t="shared" ref="BP9:BX9" si="9">SUM(BP10:BP12)</f>
        <v>382720.62150890828</v>
      </c>
      <c r="BQ9" s="116">
        <f t="shared" si="9"/>
        <v>385883.4757922935</v>
      </c>
      <c r="BR9" s="116">
        <f t="shared" si="9"/>
        <v>390910.10111284582</v>
      </c>
      <c r="BS9" s="116">
        <f t="shared" si="9"/>
        <v>389688.50232868723</v>
      </c>
      <c r="BT9" s="116">
        <f t="shared" si="9"/>
        <v>390862.22738669743</v>
      </c>
      <c r="BU9" s="116">
        <f t="shared" si="9"/>
        <v>394503.124908739</v>
      </c>
      <c r="BV9" s="116">
        <f t="shared" ref="BV9:BW9" si="10">SUM(BV10:BV12)</f>
        <v>388559.90890631487</v>
      </c>
      <c r="BW9" s="116">
        <f t="shared" si="10"/>
        <v>397585.11100667558</v>
      </c>
      <c r="BX9" s="116">
        <f t="shared" si="9"/>
        <v>393079.1431759554</v>
      </c>
      <c r="BY9" s="116">
        <f t="shared" ref="BY9" si="11">SUM(BY10:BY12)</f>
        <v>401824.96560925938</v>
      </c>
    </row>
    <row r="10" spans="1:77">
      <c r="A10" s="162" t="s">
        <v>4</v>
      </c>
      <c r="B10" s="122">
        <v>194628.11329064541</v>
      </c>
      <c r="C10" s="122">
        <v>197102.32171450133</v>
      </c>
      <c r="D10" s="122">
        <v>198721.5400773838</v>
      </c>
      <c r="E10" s="122">
        <v>197285.03362374159</v>
      </c>
      <c r="F10" s="122">
        <v>199071.15280587267</v>
      </c>
      <c r="G10" s="122">
        <v>198606.88480272196</v>
      </c>
      <c r="H10" s="122">
        <v>199813.99066725199</v>
      </c>
      <c r="I10" s="122">
        <v>201273.2985523135</v>
      </c>
      <c r="J10" s="122">
        <v>202534.33092029992</v>
      </c>
      <c r="K10" s="122">
        <v>206314.16144240403</v>
      </c>
      <c r="L10" s="122">
        <v>205990.73728336269</v>
      </c>
      <c r="M10" s="122">
        <v>205492.76100645366</v>
      </c>
      <c r="N10" s="122">
        <v>206382.91549807967</v>
      </c>
      <c r="O10" s="122">
        <v>206222.12158775367</v>
      </c>
      <c r="P10" s="122">
        <v>203584.56103950061</v>
      </c>
      <c r="Q10" s="122">
        <v>202501.7285458812</v>
      </c>
      <c r="R10" s="122">
        <v>202099.98127142779</v>
      </c>
      <c r="S10" s="122">
        <v>203577.69205283312</v>
      </c>
      <c r="T10" s="122">
        <v>206838.45847759375</v>
      </c>
      <c r="U10" s="122">
        <v>211087.34282938784</v>
      </c>
      <c r="V10" s="122">
        <v>216503.16</v>
      </c>
      <c r="W10" s="122">
        <v>220045.4</v>
      </c>
      <c r="X10" s="122">
        <v>224646.39999999999</v>
      </c>
      <c r="Y10" s="122">
        <v>229120.4</v>
      </c>
      <c r="Z10" s="122">
        <v>230455</v>
      </c>
      <c r="AA10" s="122">
        <v>230456.6</v>
      </c>
      <c r="AB10" s="122">
        <v>227993.84</v>
      </c>
      <c r="AC10" s="122">
        <v>229900</v>
      </c>
      <c r="AD10" s="122">
        <v>231756.79999999999</v>
      </c>
      <c r="AE10" s="122">
        <v>235806.6</v>
      </c>
      <c r="AF10" s="122">
        <v>238454.6</v>
      </c>
      <c r="AG10" s="122">
        <v>238514</v>
      </c>
      <c r="AH10" s="122">
        <v>236290.6</v>
      </c>
      <c r="AI10" s="122">
        <v>233308.6</v>
      </c>
      <c r="AJ10" s="122">
        <v>231010.8</v>
      </c>
      <c r="AK10" s="122">
        <v>229714</v>
      </c>
      <c r="AL10" s="122">
        <v>236527</v>
      </c>
      <c r="AM10" s="122">
        <v>242273</v>
      </c>
      <c r="AN10" s="122">
        <v>248060</v>
      </c>
      <c r="AO10" s="122">
        <v>249000</v>
      </c>
      <c r="AP10" s="122">
        <v>248956.79999999999</v>
      </c>
      <c r="AQ10" s="122">
        <v>258604.5</v>
      </c>
      <c r="AR10" s="122">
        <v>264530.90000000002</v>
      </c>
      <c r="AS10" s="122">
        <v>264313</v>
      </c>
      <c r="AT10" s="122">
        <v>267966.40000000002</v>
      </c>
      <c r="AU10" s="122">
        <v>273087.40000000002</v>
      </c>
      <c r="AV10" s="122">
        <v>278429.40000000002</v>
      </c>
      <c r="AW10" s="122">
        <v>283646.40000000002</v>
      </c>
      <c r="AX10" s="122">
        <v>287789.69</v>
      </c>
      <c r="AY10" s="122">
        <v>289015.44</v>
      </c>
      <c r="AZ10" s="122">
        <v>288930.44</v>
      </c>
      <c r="BA10" s="122">
        <v>295248.44</v>
      </c>
      <c r="BB10" s="122">
        <v>295084</v>
      </c>
      <c r="BC10" s="122">
        <v>307058</v>
      </c>
      <c r="BD10" s="122">
        <v>301849.09999999998</v>
      </c>
      <c r="BE10" s="122">
        <v>287563.18</v>
      </c>
      <c r="BF10" s="122">
        <v>268495.87632380798</v>
      </c>
      <c r="BG10" s="122">
        <v>261288.96485512299</v>
      </c>
      <c r="BH10" s="122">
        <v>266955.65619274101</v>
      </c>
      <c r="BI10" s="122">
        <v>274149.788628329</v>
      </c>
      <c r="BJ10" s="122">
        <v>278597.44</v>
      </c>
      <c r="BK10" s="122">
        <v>283831.44</v>
      </c>
      <c r="BL10" s="122">
        <v>282132.44900000002</v>
      </c>
      <c r="BM10" s="122">
        <v>285473.49933105003</v>
      </c>
      <c r="BN10" s="122">
        <v>293989.99587589398</v>
      </c>
      <c r="BO10" s="122">
        <v>290367.48253066803</v>
      </c>
      <c r="BP10" s="122">
        <v>289892.89644993498</v>
      </c>
      <c r="BQ10" s="122">
        <v>292890.19114350202</v>
      </c>
      <c r="BR10" s="122">
        <v>297291.65547378099</v>
      </c>
      <c r="BS10" s="122">
        <v>296490.90582350403</v>
      </c>
      <c r="BT10" s="122">
        <v>297126.30323099002</v>
      </c>
      <c r="BU10" s="122">
        <v>300324.38502821402</v>
      </c>
      <c r="BV10" s="122">
        <v>294242.68921314838</v>
      </c>
      <c r="BW10" s="122">
        <v>302494.88311318</v>
      </c>
      <c r="BX10" s="122">
        <v>297341.05505061639</v>
      </c>
      <c r="BY10" s="122">
        <v>306123.07985516032</v>
      </c>
    </row>
    <row r="11" spans="1:77">
      <c r="A11" s="162" t="s">
        <v>5</v>
      </c>
      <c r="B11" s="122">
        <v>25998.0956324996</v>
      </c>
      <c r="C11" s="122">
        <v>26008.453898018724</v>
      </c>
      <c r="D11" s="122">
        <v>25849.434276010674</v>
      </c>
      <c r="E11" s="122">
        <v>25517.041095460569</v>
      </c>
      <c r="F11" s="122">
        <v>26601</v>
      </c>
      <c r="G11" s="122">
        <v>27716.587356622134</v>
      </c>
      <c r="H11" s="122">
        <v>29386.400000000001</v>
      </c>
      <c r="I11" s="122">
        <v>30833.342946771932</v>
      </c>
      <c r="J11" s="122">
        <v>30179.521274176084</v>
      </c>
      <c r="K11" s="122">
        <v>30258.816515555154</v>
      </c>
      <c r="L11" s="122">
        <v>29646.57996343488</v>
      </c>
      <c r="M11" s="122">
        <v>28919.364765014325</v>
      </c>
      <c r="N11" s="122">
        <v>28371.856888281218</v>
      </c>
      <c r="O11" s="122">
        <v>27991.317834130419</v>
      </c>
      <c r="P11" s="122">
        <v>27582.450218946484</v>
      </c>
      <c r="Q11" s="122">
        <v>27561.392799658377</v>
      </c>
      <c r="R11" s="122">
        <v>27349.545437815799</v>
      </c>
      <c r="S11" s="122">
        <v>27625.688054936792</v>
      </c>
      <c r="T11" s="122">
        <v>27761.070433780158</v>
      </c>
      <c r="U11" s="122">
        <v>28213.173729404672</v>
      </c>
      <c r="V11" s="122">
        <v>28500.23</v>
      </c>
      <c r="W11" s="122">
        <v>28707.45</v>
      </c>
      <c r="X11" s="122">
        <v>28817.98</v>
      </c>
      <c r="Y11" s="122">
        <v>28363.25</v>
      </c>
      <c r="Z11" s="122">
        <v>27897</v>
      </c>
      <c r="AA11" s="122">
        <v>27506.28</v>
      </c>
      <c r="AB11" s="122">
        <v>27457.119999999999</v>
      </c>
      <c r="AC11" s="122">
        <v>27296.12</v>
      </c>
      <c r="AD11" s="122">
        <v>27721.23</v>
      </c>
      <c r="AE11" s="122">
        <v>28366.25</v>
      </c>
      <c r="AF11" s="122">
        <v>28720.29</v>
      </c>
      <c r="AG11" s="122">
        <v>29204.23</v>
      </c>
      <c r="AH11" s="122">
        <v>29190</v>
      </c>
      <c r="AI11" s="122">
        <v>29199</v>
      </c>
      <c r="AJ11" s="122">
        <v>29329</v>
      </c>
      <c r="AK11" s="122">
        <v>29658</v>
      </c>
      <c r="AL11" s="122">
        <v>30218</v>
      </c>
      <c r="AM11" s="122">
        <v>30804</v>
      </c>
      <c r="AN11" s="122">
        <v>31849</v>
      </c>
      <c r="AO11" s="122">
        <v>32469</v>
      </c>
      <c r="AP11" s="122">
        <v>32480.45</v>
      </c>
      <c r="AQ11" s="122">
        <v>32784.449999999997</v>
      </c>
      <c r="AR11" s="122">
        <v>33039.449999999997</v>
      </c>
      <c r="AS11" s="122">
        <v>33736.449999999997</v>
      </c>
      <c r="AT11" s="122">
        <v>33979</v>
      </c>
      <c r="AU11" s="122">
        <v>34075</v>
      </c>
      <c r="AV11" s="122">
        <v>34140</v>
      </c>
      <c r="AW11" s="122">
        <v>34362</v>
      </c>
      <c r="AX11" s="122">
        <v>34883.75</v>
      </c>
      <c r="AY11" s="122">
        <v>35189.75</v>
      </c>
      <c r="AZ11" s="122">
        <v>35536.75</v>
      </c>
      <c r="BA11" s="122">
        <v>35565.75</v>
      </c>
      <c r="BB11" s="122">
        <v>34073.667551013801</v>
      </c>
      <c r="BC11" s="122">
        <v>33912.846344940401</v>
      </c>
      <c r="BD11" s="122">
        <v>35015.705456358482</v>
      </c>
      <c r="BE11" s="122">
        <v>33780.340647687357</v>
      </c>
      <c r="BF11" s="122">
        <v>33410.480971721598</v>
      </c>
      <c r="BG11" s="122">
        <v>33584.379426956039</v>
      </c>
      <c r="BH11" s="122">
        <v>33874.709757020399</v>
      </c>
      <c r="BI11" s="122">
        <v>33978.069844301877</v>
      </c>
      <c r="BJ11" s="122">
        <v>34486.2646687878</v>
      </c>
      <c r="BK11" s="122">
        <v>34445.586622365801</v>
      </c>
      <c r="BL11" s="122">
        <v>34362.973628379397</v>
      </c>
      <c r="BM11" s="122">
        <v>34857.779080467</v>
      </c>
      <c r="BN11" s="122">
        <v>35055.262559605202</v>
      </c>
      <c r="BO11" s="122">
        <v>35135.82173263</v>
      </c>
      <c r="BP11" s="122">
        <v>34969.275058973297</v>
      </c>
      <c r="BQ11" s="122">
        <v>35035.864648791503</v>
      </c>
      <c r="BR11" s="122">
        <v>34853.045639064803</v>
      </c>
      <c r="BS11" s="122">
        <v>34394.196505183201</v>
      </c>
      <c r="BT11" s="122">
        <v>34442.524155707397</v>
      </c>
      <c r="BU11" s="122">
        <v>34215.499880525</v>
      </c>
      <c r="BV11" s="122">
        <v>33977.219693166502</v>
      </c>
      <c r="BW11" s="122">
        <v>34400.227893495598</v>
      </c>
      <c r="BX11" s="122">
        <v>34726.088125339003</v>
      </c>
      <c r="BY11" s="122">
        <v>34227.885754099058</v>
      </c>
    </row>
    <row r="12" spans="1:77">
      <c r="A12" s="163" t="s">
        <v>6</v>
      </c>
      <c r="B12" s="124">
        <v>25381.18</v>
      </c>
      <c r="C12" s="124">
        <v>25407.07</v>
      </c>
      <c r="D12" s="124">
        <v>25591.49</v>
      </c>
      <c r="E12" s="124">
        <v>25695.03</v>
      </c>
      <c r="F12" s="124">
        <v>25738.7</v>
      </c>
      <c r="G12" s="124">
        <v>26007.26</v>
      </c>
      <c r="H12" s="124">
        <v>26160.95</v>
      </c>
      <c r="I12" s="124">
        <v>26225.66</v>
      </c>
      <c r="J12" s="124">
        <v>26521.71</v>
      </c>
      <c r="K12" s="124">
        <v>26853.35</v>
      </c>
      <c r="L12" s="124">
        <v>27091.17</v>
      </c>
      <c r="M12" s="124">
        <v>27251.32</v>
      </c>
      <c r="N12" s="124">
        <v>25858.67</v>
      </c>
      <c r="O12" s="124">
        <v>25258.26</v>
      </c>
      <c r="P12" s="124">
        <v>25028.11</v>
      </c>
      <c r="Q12" s="124">
        <v>25223.24</v>
      </c>
      <c r="R12" s="124">
        <v>24943.05</v>
      </c>
      <c r="S12" s="124">
        <v>24921.79</v>
      </c>
      <c r="T12" s="124">
        <v>25000.59</v>
      </c>
      <c r="U12" s="124">
        <v>25126.92</v>
      </c>
      <c r="V12" s="124">
        <v>25417.119999999999</v>
      </c>
      <c r="W12" s="124">
        <v>25995.01</v>
      </c>
      <c r="X12" s="124">
        <v>26781.79</v>
      </c>
      <c r="Y12" s="124">
        <v>27447.24</v>
      </c>
      <c r="Z12" s="124">
        <v>27428.48</v>
      </c>
      <c r="AA12" s="124">
        <v>27661.13</v>
      </c>
      <c r="AB12" s="124">
        <v>27746.19</v>
      </c>
      <c r="AC12" s="124">
        <v>28008.87</v>
      </c>
      <c r="AD12" s="124">
        <v>28432</v>
      </c>
      <c r="AE12" s="124">
        <v>28865</v>
      </c>
      <c r="AF12" s="124">
        <v>29568</v>
      </c>
      <c r="AG12" s="124">
        <v>30419</v>
      </c>
      <c r="AH12" s="124">
        <v>30917</v>
      </c>
      <c r="AI12" s="124">
        <v>31329</v>
      </c>
      <c r="AJ12" s="124">
        <v>31723</v>
      </c>
      <c r="AK12" s="124">
        <v>32331</v>
      </c>
      <c r="AL12" s="124">
        <v>33044</v>
      </c>
      <c r="AM12" s="124">
        <v>33967</v>
      </c>
      <c r="AN12" s="124">
        <v>34899</v>
      </c>
      <c r="AO12" s="124">
        <v>35894</v>
      </c>
      <c r="AP12" s="124">
        <v>36871</v>
      </c>
      <c r="AQ12" s="124">
        <v>37955</v>
      </c>
      <c r="AR12" s="124">
        <v>39155</v>
      </c>
      <c r="AS12" s="124">
        <v>40251</v>
      </c>
      <c r="AT12" s="124">
        <v>40916</v>
      </c>
      <c r="AU12" s="124">
        <v>42027</v>
      </c>
      <c r="AV12" s="124">
        <v>43170</v>
      </c>
      <c r="AW12" s="124">
        <v>44215</v>
      </c>
      <c r="AX12" s="124">
        <v>46588</v>
      </c>
      <c r="AY12" s="124">
        <v>48251</v>
      </c>
      <c r="AZ12" s="124">
        <v>49269</v>
      </c>
      <c r="BA12" s="124">
        <v>51776</v>
      </c>
      <c r="BB12" s="124">
        <v>51779.38</v>
      </c>
      <c r="BC12" s="124">
        <v>52536.38</v>
      </c>
      <c r="BD12" s="124">
        <v>53987.38</v>
      </c>
      <c r="BE12" s="124">
        <v>54278.38</v>
      </c>
      <c r="BF12" s="124">
        <v>56398.5</v>
      </c>
      <c r="BG12" s="124">
        <v>56669.5</v>
      </c>
      <c r="BH12" s="124">
        <v>57787.5</v>
      </c>
      <c r="BI12" s="124">
        <v>58258.58</v>
      </c>
      <c r="BJ12" s="124">
        <v>58013.9</v>
      </c>
      <c r="BK12" s="124">
        <v>57646.9</v>
      </c>
      <c r="BL12" s="124">
        <v>57516.800000000003</v>
      </c>
      <c r="BM12" s="124">
        <v>57650</v>
      </c>
      <c r="BN12" s="124">
        <v>57816.480000000003</v>
      </c>
      <c r="BO12" s="124">
        <v>57845.48</v>
      </c>
      <c r="BP12" s="124">
        <v>57858.45</v>
      </c>
      <c r="BQ12" s="124">
        <v>57957.42</v>
      </c>
      <c r="BR12" s="124">
        <v>58765.4</v>
      </c>
      <c r="BS12" s="124">
        <v>58803.4</v>
      </c>
      <c r="BT12" s="124">
        <v>59293.4</v>
      </c>
      <c r="BU12" s="124">
        <v>59963.24</v>
      </c>
      <c r="BV12" s="124">
        <v>60340</v>
      </c>
      <c r="BW12" s="124">
        <v>60690</v>
      </c>
      <c r="BX12" s="124">
        <v>61012</v>
      </c>
      <c r="BY12" s="124">
        <v>61474</v>
      </c>
    </row>
    <row r="13" spans="1:77">
      <c r="A13" s="161" t="s">
        <v>7</v>
      </c>
      <c r="B13" s="116">
        <f t="shared" ref="B13:Z13" si="12">SUM(B14:B18)</f>
        <v>626563.27869415772</v>
      </c>
      <c r="C13" s="116">
        <f t="shared" si="12"/>
        <v>633262.94090157025</v>
      </c>
      <c r="D13" s="116">
        <f t="shared" si="12"/>
        <v>639944.43993997644</v>
      </c>
      <c r="E13" s="116">
        <f t="shared" si="12"/>
        <v>645002.20609782077</v>
      </c>
      <c r="F13" s="116">
        <f t="shared" si="12"/>
        <v>652193.73732325877</v>
      </c>
      <c r="G13" s="116">
        <f t="shared" si="12"/>
        <v>658834.58372674324</v>
      </c>
      <c r="H13" s="116">
        <f t="shared" si="12"/>
        <v>666483.09550475434</v>
      </c>
      <c r="I13" s="116">
        <f t="shared" si="12"/>
        <v>674005.69812477659</v>
      </c>
      <c r="J13" s="116">
        <f t="shared" si="12"/>
        <v>677632.01790507208</v>
      </c>
      <c r="K13" s="116">
        <f t="shared" si="12"/>
        <v>679398.28218581912</v>
      </c>
      <c r="L13" s="116">
        <f t="shared" si="12"/>
        <v>680981.25197297847</v>
      </c>
      <c r="M13" s="116">
        <f t="shared" si="12"/>
        <v>681055.95330015779</v>
      </c>
      <c r="N13" s="116">
        <f t="shared" si="12"/>
        <v>687665.82853996393</v>
      </c>
      <c r="O13" s="116">
        <f t="shared" si="12"/>
        <v>693287.47630895802</v>
      </c>
      <c r="P13" s="116">
        <f t="shared" si="12"/>
        <v>695488.35498929943</v>
      </c>
      <c r="Q13" s="116">
        <f t="shared" si="12"/>
        <v>696962.2069439037</v>
      </c>
      <c r="R13" s="116">
        <f t="shared" si="12"/>
        <v>708356.43021408259</v>
      </c>
      <c r="S13" s="116">
        <f t="shared" si="12"/>
        <v>716166.57645004324</v>
      </c>
      <c r="T13" s="116">
        <f t="shared" si="12"/>
        <v>724220.89650200296</v>
      </c>
      <c r="U13" s="116">
        <f t="shared" si="12"/>
        <v>730623.79896644014</v>
      </c>
      <c r="V13" s="116">
        <f t="shared" si="12"/>
        <v>738492.00767611095</v>
      </c>
      <c r="W13" s="116">
        <f t="shared" si="12"/>
        <v>745110.47076005721</v>
      </c>
      <c r="X13" s="116">
        <f t="shared" si="12"/>
        <v>751768.55197077699</v>
      </c>
      <c r="Y13" s="116">
        <f t="shared" si="12"/>
        <v>757432.1699494886</v>
      </c>
      <c r="Z13" s="116">
        <f t="shared" si="12"/>
        <v>765545.29176057456</v>
      </c>
      <c r="AA13" s="116">
        <f t="shared" ref="AA13:BH13" si="13">SUM(AA14:AA18)</f>
        <v>771630.71972567926</v>
      </c>
      <c r="AB13" s="116">
        <f t="shared" si="13"/>
        <v>777488.1001969385</v>
      </c>
      <c r="AC13" s="116">
        <f t="shared" si="13"/>
        <v>785161.0438968176</v>
      </c>
      <c r="AD13" s="116">
        <f t="shared" si="13"/>
        <v>796426.1780741167</v>
      </c>
      <c r="AE13" s="116">
        <f t="shared" si="13"/>
        <v>805168.57664759981</v>
      </c>
      <c r="AF13" s="116">
        <f t="shared" si="13"/>
        <v>808824.02340554481</v>
      </c>
      <c r="AG13" s="116">
        <f t="shared" si="13"/>
        <v>815690.0023502619</v>
      </c>
      <c r="AH13" s="116">
        <f t="shared" si="13"/>
        <v>828163</v>
      </c>
      <c r="AI13" s="116">
        <f t="shared" si="13"/>
        <v>836240</v>
      </c>
      <c r="AJ13" s="116">
        <f t="shared" si="13"/>
        <v>844776</v>
      </c>
      <c r="AK13" s="116">
        <f t="shared" si="13"/>
        <v>851637.8</v>
      </c>
      <c r="AL13" s="116">
        <f t="shared" si="13"/>
        <v>862792</v>
      </c>
      <c r="AM13" s="116">
        <f t="shared" si="13"/>
        <v>873844</v>
      </c>
      <c r="AN13" s="116">
        <f t="shared" si="13"/>
        <v>883720</v>
      </c>
      <c r="AO13" s="116">
        <f t="shared" si="13"/>
        <v>897020</v>
      </c>
      <c r="AP13" s="116">
        <f t="shared" si="13"/>
        <v>908168.15999999992</v>
      </c>
      <c r="AQ13" s="116">
        <f t="shared" si="13"/>
        <v>922210</v>
      </c>
      <c r="AR13" s="116">
        <f t="shared" si="13"/>
        <v>934527.62000000011</v>
      </c>
      <c r="AS13" s="116">
        <f t="shared" si="13"/>
        <v>943108.58000000007</v>
      </c>
      <c r="AT13" s="116">
        <f t="shared" si="13"/>
        <v>963441.25</v>
      </c>
      <c r="AU13" s="116">
        <f t="shared" si="13"/>
        <v>978779.25</v>
      </c>
      <c r="AV13" s="116">
        <f t="shared" si="13"/>
        <v>993263.25</v>
      </c>
      <c r="AW13" s="116">
        <f t="shared" si="13"/>
        <v>1005576.25</v>
      </c>
      <c r="AX13" s="116">
        <f t="shared" si="13"/>
        <v>1023366</v>
      </c>
      <c r="AY13" s="116">
        <f t="shared" si="13"/>
        <v>1035192.16</v>
      </c>
      <c r="AZ13" s="116">
        <f t="shared" si="13"/>
        <v>1052825.3999999999</v>
      </c>
      <c r="BA13" s="116">
        <f t="shared" si="13"/>
        <v>1068328.44</v>
      </c>
      <c r="BB13" s="116">
        <f t="shared" si="13"/>
        <v>1084091.708611375</v>
      </c>
      <c r="BC13" s="116">
        <f t="shared" si="13"/>
        <v>1086872.0820816909</v>
      </c>
      <c r="BD13" s="116">
        <f t="shared" si="13"/>
        <v>1096383.9065197771</v>
      </c>
      <c r="BE13" s="116">
        <f t="shared" si="13"/>
        <v>1104788.4187871572</v>
      </c>
      <c r="BF13" s="116">
        <f t="shared" si="13"/>
        <v>1103902.5162447076</v>
      </c>
      <c r="BG13" s="116">
        <f t="shared" si="13"/>
        <v>1101012.7189545147</v>
      </c>
      <c r="BH13" s="116">
        <f t="shared" si="13"/>
        <v>1103140.0149898976</v>
      </c>
      <c r="BI13" s="116">
        <f t="shared" ref="BI13:BO13" si="14">SUM(BI14:BI18)</f>
        <v>1107285.869810879</v>
      </c>
      <c r="BJ13" s="116">
        <f t="shared" si="14"/>
        <v>1115874.1133805695</v>
      </c>
      <c r="BK13" s="116">
        <f t="shared" si="14"/>
        <v>1127890.8265471973</v>
      </c>
      <c r="BL13" s="116">
        <f t="shared" si="14"/>
        <v>1136075.4738181229</v>
      </c>
      <c r="BM13" s="116">
        <f t="shared" si="14"/>
        <v>1146257.4642541106</v>
      </c>
      <c r="BN13" s="116">
        <f>SUM(BN14:BN18)</f>
        <v>1159076.1855994854</v>
      </c>
      <c r="BO13" s="116">
        <f t="shared" si="14"/>
        <v>1171574.456904192</v>
      </c>
      <c r="BP13" s="116">
        <f t="shared" ref="BP13:BX13" si="15">SUM(BP14:BP18)</f>
        <v>1184053.0041519741</v>
      </c>
      <c r="BQ13" s="116">
        <f t="shared" si="15"/>
        <v>1196590.732568047</v>
      </c>
      <c r="BR13" s="116">
        <f t="shared" si="15"/>
        <v>1205591.828919651</v>
      </c>
      <c r="BS13" s="116">
        <f t="shared" si="15"/>
        <v>1211933.3513753754</v>
      </c>
      <c r="BT13" s="116">
        <f t="shared" si="15"/>
        <v>1217924.1706211551</v>
      </c>
      <c r="BU13" s="116">
        <f t="shared" si="15"/>
        <v>1225933.710578745</v>
      </c>
      <c r="BV13" s="116">
        <f t="shared" ref="BV13:BW13" si="16">SUM(BV14:BV18)</f>
        <v>1231907.4116500281</v>
      </c>
      <c r="BW13" s="116">
        <f t="shared" si="16"/>
        <v>1238749.6923064732</v>
      </c>
      <c r="BX13" s="116">
        <f t="shared" si="15"/>
        <v>1242695.0132104419</v>
      </c>
      <c r="BY13" s="116">
        <f t="shared" ref="BY13" si="17">SUM(BY14:BY18)</f>
        <v>1247453.0836101924</v>
      </c>
    </row>
    <row r="14" spans="1:77">
      <c r="A14" s="162" t="s">
        <v>8</v>
      </c>
      <c r="B14" s="122">
        <v>127925.84</v>
      </c>
      <c r="C14" s="122">
        <v>130390.84</v>
      </c>
      <c r="D14" s="122">
        <v>133118.84</v>
      </c>
      <c r="E14" s="122">
        <v>135165.84</v>
      </c>
      <c r="F14" s="122">
        <v>134951.16</v>
      </c>
      <c r="G14" s="122">
        <v>135795.16</v>
      </c>
      <c r="H14" s="122">
        <v>136927.16</v>
      </c>
      <c r="I14" s="122">
        <v>138412.16</v>
      </c>
      <c r="J14" s="122">
        <v>138807.24</v>
      </c>
      <c r="K14" s="122">
        <v>137901.24</v>
      </c>
      <c r="L14" s="122">
        <v>137075.24</v>
      </c>
      <c r="M14" s="122">
        <v>134486.24</v>
      </c>
      <c r="N14" s="122">
        <v>137693.48000000001</v>
      </c>
      <c r="O14" s="122">
        <v>138871</v>
      </c>
      <c r="P14" s="122">
        <v>139397</v>
      </c>
      <c r="Q14" s="122">
        <v>139436</v>
      </c>
      <c r="R14" s="122">
        <v>144092.68</v>
      </c>
      <c r="S14" s="122">
        <v>147438</v>
      </c>
      <c r="T14" s="122">
        <v>151255</v>
      </c>
      <c r="U14" s="122">
        <v>154822</v>
      </c>
      <c r="V14" s="122">
        <v>157962.48794385197</v>
      </c>
      <c r="W14" s="122">
        <v>160959.489</v>
      </c>
      <c r="X14" s="122">
        <v>163044.489</v>
      </c>
      <c r="Y14" s="122">
        <v>164047.44</v>
      </c>
      <c r="Z14" s="122">
        <v>164354.46511477701</v>
      </c>
      <c r="AA14" s="122">
        <v>164526.492219142</v>
      </c>
      <c r="AB14" s="122">
        <v>164505.81878871299</v>
      </c>
      <c r="AC14" s="122">
        <v>164901.38974232151</v>
      </c>
      <c r="AD14" s="122">
        <v>166141.99175556685</v>
      </c>
      <c r="AE14" s="122">
        <v>167516.49461021853</v>
      </c>
      <c r="AF14" s="122">
        <v>168516.59426671918</v>
      </c>
      <c r="AG14" s="122">
        <v>171253.6998450188</v>
      </c>
      <c r="AH14" s="122">
        <v>171482</v>
      </c>
      <c r="AI14" s="122">
        <v>172200</v>
      </c>
      <c r="AJ14" s="122">
        <v>173345</v>
      </c>
      <c r="AK14" s="122">
        <v>174353.8</v>
      </c>
      <c r="AL14" s="122">
        <v>176707</v>
      </c>
      <c r="AM14" s="122">
        <v>180030</v>
      </c>
      <c r="AN14" s="122">
        <v>183779</v>
      </c>
      <c r="AO14" s="122">
        <v>188184</v>
      </c>
      <c r="AP14" s="122">
        <v>190502.45</v>
      </c>
      <c r="AQ14" s="122">
        <v>193389.45</v>
      </c>
      <c r="AR14" s="122">
        <v>196153.45</v>
      </c>
      <c r="AS14" s="122">
        <v>200003.45</v>
      </c>
      <c r="AT14" s="122">
        <v>202191.25</v>
      </c>
      <c r="AU14" s="122">
        <v>205171.25</v>
      </c>
      <c r="AV14" s="122">
        <v>208124.25</v>
      </c>
      <c r="AW14" s="122">
        <v>211057.25</v>
      </c>
      <c r="AX14" s="122">
        <v>213894</v>
      </c>
      <c r="AY14" s="122">
        <v>216487</v>
      </c>
      <c r="AZ14" s="122">
        <v>218970</v>
      </c>
      <c r="BA14" s="122">
        <v>221077</v>
      </c>
      <c r="BB14" s="122">
        <v>222921.048268707</v>
      </c>
      <c r="BC14" s="122">
        <v>220888.231023503</v>
      </c>
      <c r="BD14" s="122">
        <v>217708.263776879</v>
      </c>
      <c r="BE14" s="122">
        <v>217479.01693091099</v>
      </c>
      <c r="BF14" s="122">
        <v>217162.86515694598</v>
      </c>
      <c r="BG14" s="122">
        <v>216071.67369843199</v>
      </c>
      <c r="BH14" s="122">
        <v>217024.42184196998</v>
      </c>
      <c r="BI14" s="122">
        <v>218036.71930265098</v>
      </c>
      <c r="BJ14" s="122">
        <v>220587.698433068</v>
      </c>
      <c r="BK14" s="122">
        <v>224300.190170583</v>
      </c>
      <c r="BL14" s="122">
        <v>226849.19312894999</v>
      </c>
      <c r="BM14" s="122">
        <v>229613.142267399</v>
      </c>
      <c r="BN14" s="122">
        <v>230877.19534831599</v>
      </c>
      <c r="BO14" s="122">
        <v>233729.94580411</v>
      </c>
      <c r="BP14" s="122">
        <v>236870.70412360501</v>
      </c>
      <c r="BQ14" s="122">
        <v>239700.35394766799</v>
      </c>
      <c r="BR14" s="122">
        <v>242051.89024560701</v>
      </c>
      <c r="BS14" s="122">
        <v>243801.99874367801</v>
      </c>
      <c r="BT14" s="122">
        <v>245094.89837451201</v>
      </c>
      <c r="BU14" s="122">
        <v>246163.792321966</v>
      </c>
      <c r="BV14" s="122">
        <v>247424.240841133</v>
      </c>
      <c r="BW14" s="122">
        <v>249301.81292916299</v>
      </c>
      <c r="BX14" s="122">
        <v>250127.702019702</v>
      </c>
      <c r="BY14" s="122">
        <v>251573.42126602726</v>
      </c>
    </row>
    <row r="15" spans="1:77">
      <c r="A15" s="162" t="s">
        <v>9</v>
      </c>
      <c r="B15" s="122">
        <v>72174.485393534647</v>
      </c>
      <c r="C15" s="122">
        <v>74125.879525019729</v>
      </c>
      <c r="D15" s="122">
        <v>75980.390191856321</v>
      </c>
      <c r="E15" s="122">
        <v>77596.262543099918</v>
      </c>
      <c r="F15" s="122">
        <v>78010.558250790986</v>
      </c>
      <c r="G15" s="122">
        <v>79051.093627164155</v>
      </c>
      <c r="H15" s="122">
        <v>80304.859772851167</v>
      </c>
      <c r="I15" s="122">
        <v>80802.992526920032</v>
      </c>
      <c r="J15" s="122">
        <v>82833.938380462612</v>
      </c>
      <c r="K15" s="122">
        <v>84562.077752701982</v>
      </c>
      <c r="L15" s="122">
        <v>86469.598827965936</v>
      </c>
      <c r="M15" s="122">
        <v>88484.7839647527</v>
      </c>
      <c r="N15" s="122">
        <v>89744.460133814646</v>
      </c>
      <c r="O15" s="122">
        <v>90491.869436051886</v>
      </c>
      <c r="P15" s="122">
        <v>90065.269921407453</v>
      </c>
      <c r="Q15" s="122">
        <v>90878.071375532774</v>
      </c>
      <c r="R15" s="122">
        <v>91956.842690614067</v>
      </c>
      <c r="S15" s="122">
        <v>94032.948036373607</v>
      </c>
      <c r="T15" s="122">
        <v>96060.259648893218</v>
      </c>
      <c r="U15" s="122">
        <v>97910.96337599984</v>
      </c>
      <c r="V15" s="122">
        <v>100224.74608625851</v>
      </c>
      <c r="W15" s="122">
        <v>102457.20920161901</v>
      </c>
      <c r="X15" s="122">
        <v>103965.87088527573</v>
      </c>
      <c r="Y15" s="122">
        <v>104849.95172013358</v>
      </c>
      <c r="Z15" s="122">
        <v>105914.75</v>
      </c>
      <c r="AA15" s="122">
        <v>107509.02</v>
      </c>
      <c r="AB15" s="122">
        <v>109787.36</v>
      </c>
      <c r="AC15" s="122">
        <v>112565</v>
      </c>
      <c r="AD15" s="122">
        <v>115300.4</v>
      </c>
      <c r="AE15" s="122">
        <v>117932.4</v>
      </c>
      <c r="AF15" s="122">
        <v>119950.2</v>
      </c>
      <c r="AG15" s="122">
        <v>121813</v>
      </c>
      <c r="AH15" s="122">
        <v>124004</v>
      </c>
      <c r="AI15" s="122">
        <v>125437</v>
      </c>
      <c r="AJ15" s="122">
        <v>126765</v>
      </c>
      <c r="AK15" s="122">
        <v>128942</v>
      </c>
      <c r="AL15" s="122">
        <v>130153</v>
      </c>
      <c r="AM15" s="122">
        <v>131416</v>
      </c>
      <c r="AN15" s="122">
        <v>133261</v>
      </c>
      <c r="AO15" s="122">
        <v>135006</v>
      </c>
      <c r="AP15" s="122">
        <v>136575.35999999999</v>
      </c>
      <c r="AQ15" s="122">
        <v>138587.20000000001</v>
      </c>
      <c r="AR15" s="122">
        <v>140461.82999999999</v>
      </c>
      <c r="AS15" s="122">
        <v>142262.79</v>
      </c>
      <c r="AT15" s="122">
        <v>144262</v>
      </c>
      <c r="AU15" s="122">
        <v>146065</v>
      </c>
      <c r="AV15" s="122">
        <v>147504</v>
      </c>
      <c r="AW15" s="122">
        <v>148597</v>
      </c>
      <c r="AX15" s="122">
        <v>151988</v>
      </c>
      <c r="AY15" s="122">
        <v>155591</v>
      </c>
      <c r="AZ15" s="122">
        <v>157925</v>
      </c>
      <c r="BA15" s="122">
        <v>159652</v>
      </c>
      <c r="BB15" s="122">
        <v>160749.810342668</v>
      </c>
      <c r="BC15" s="122">
        <v>161990.00105818801</v>
      </c>
      <c r="BD15" s="122">
        <v>163314.79274289802</v>
      </c>
      <c r="BE15" s="122">
        <v>164033.55185624602</v>
      </c>
      <c r="BF15" s="122">
        <v>163356.07700105</v>
      </c>
      <c r="BG15" s="122">
        <v>163204.26327966602</v>
      </c>
      <c r="BH15" s="122">
        <v>164140.45906043402</v>
      </c>
      <c r="BI15" s="122">
        <v>165296.96065885</v>
      </c>
      <c r="BJ15" s="122">
        <v>165661.100026147</v>
      </c>
      <c r="BK15" s="122">
        <v>166838.776514236</v>
      </c>
      <c r="BL15" s="122">
        <v>167795.58089611001</v>
      </c>
      <c r="BM15" s="122">
        <v>168958.14256350699</v>
      </c>
      <c r="BN15" s="122">
        <v>170530.58964269899</v>
      </c>
      <c r="BO15" s="122">
        <v>172240.08804993599</v>
      </c>
      <c r="BP15" s="122">
        <v>173098.97347190199</v>
      </c>
      <c r="BQ15" s="122">
        <v>174250.74883546299</v>
      </c>
      <c r="BR15" s="122">
        <v>175400.72522189599</v>
      </c>
      <c r="BS15" s="122">
        <v>176438.58240148699</v>
      </c>
      <c r="BT15" s="122">
        <v>177034.92598384299</v>
      </c>
      <c r="BU15" s="122">
        <v>177923.362235437</v>
      </c>
      <c r="BV15" s="122">
        <v>178856.20140554299</v>
      </c>
      <c r="BW15" s="122">
        <v>179524.82078503701</v>
      </c>
      <c r="BX15" s="122">
        <v>180675.71196590681</v>
      </c>
      <c r="BY15" s="122">
        <v>181377.10245190805</v>
      </c>
    </row>
    <row r="16" spans="1:77">
      <c r="A16" s="162" t="s">
        <v>10</v>
      </c>
      <c r="B16" s="122">
        <v>172965.6</v>
      </c>
      <c r="C16" s="122">
        <v>174028.9</v>
      </c>
      <c r="D16" s="122">
        <v>175457.9</v>
      </c>
      <c r="E16" s="122">
        <v>176427.6</v>
      </c>
      <c r="F16" s="122">
        <v>180089.5</v>
      </c>
      <c r="G16" s="122">
        <v>184353.1</v>
      </c>
      <c r="H16" s="122">
        <v>188753</v>
      </c>
      <c r="I16" s="122">
        <v>193106</v>
      </c>
      <c r="J16" s="122">
        <v>194069.1</v>
      </c>
      <c r="K16" s="122">
        <v>195117.7</v>
      </c>
      <c r="L16" s="122">
        <v>195721.60000000001</v>
      </c>
      <c r="M16" s="122">
        <v>196514.8</v>
      </c>
      <c r="N16" s="122">
        <v>197019</v>
      </c>
      <c r="O16" s="122">
        <v>199794.7</v>
      </c>
      <c r="P16" s="122">
        <v>201259.6</v>
      </c>
      <c r="Q16" s="122">
        <v>201338.7</v>
      </c>
      <c r="R16" s="122">
        <v>206855.4</v>
      </c>
      <c r="S16" s="122">
        <v>209138.6</v>
      </c>
      <c r="T16" s="122">
        <v>211456.6</v>
      </c>
      <c r="U16" s="122">
        <v>212815.8</v>
      </c>
      <c r="V16" s="122">
        <v>213916.05</v>
      </c>
      <c r="W16" s="122">
        <v>214717.81</v>
      </c>
      <c r="X16" s="122">
        <v>217314.52</v>
      </c>
      <c r="Y16" s="122">
        <v>221040.41</v>
      </c>
      <c r="Z16" s="122">
        <v>227158</v>
      </c>
      <c r="AA16" s="122">
        <v>232269</v>
      </c>
      <c r="AB16" s="122">
        <v>236841.9</v>
      </c>
      <c r="AC16" s="122">
        <v>241531.5</v>
      </c>
      <c r="AD16" s="122">
        <v>247019</v>
      </c>
      <c r="AE16" s="122">
        <v>250251</v>
      </c>
      <c r="AF16" s="122">
        <v>249344</v>
      </c>
      <c r="AG16" s="122">
        <v>250046</v>
      </c>
      <c r="AH16" s="122">
        <v>255989</v>
      </c>
      <c r="AI16" s="122">
        <v>259461</v>
      </c>
      <c r="AJ16" s="122">
        <v>263376</v>
      </c>
      <c r="AK16" s="122">
        <v>265666</v>
      </c>
      <c r="AL16" s="122">
        <v>273173</v>
      </c>
      <c r="AM16" s="122">
        <v>278446</v>
      </c>
      <c r="AN16" s="122">
        <v>281244</v>
      </c>
      <c r="AO16" s="122">
        <v>285313</v>
      </c>
      <c r="AP16" s="122">
        <v>288187.09999999998</v>
      </c>
      <c r="AQ16" s="122">
        <v>293692.09999999998</v>
      </c>
      <c r="AR16" s="122">
        <v>299077.09999999998</v>
      </c>
      <c r="AS16" s="122">
        <v>301060.09999999998</v>
      </c>
      <c r="AT16" s="122">
        <v>312688</v>
      </c>
      <c r="AU16" s="122">
        <v>320797</v>
      </c>
      <c r="AV16" s="122">
        <v>328856</v>
      </c>
      <c r="AW16" s="122">
        <v>333667</v>
      </c>
      <c r="AX16" s="122">
        <v>339870</v>
      </c>
      <c r="AY16" s="122">
        <v>344026</v>
      </c>
      <c r="AZ16" s="122">
        <v>353202</v>
      </c>
      <c r="BA16" s="122">
        <v>360906</v>
      </c>
      <c r="BB16" s="122">
        <v>368838</v>
      </c>
      <c r="BC16" s="122">
        <v>370801</v>
      </c>
      <c r="BD16" s="122">
        <v>377891</v>
      </c>
      <c r="BE16" s="122">
        <v>383434</v>
      </c>
      <c r="BF16" s="122">
        <v>381408.7</v>
      </c>
      <c r="BG16" s="122">
        <v>377162.8</v>
      </c>
      <c r="BH16" s="122">
        <v>377752.9</v>
      </c>
      <c r="BI16" s="122">
        <v>379622.84</v>
      </c>
      <c r="BJ16" s="122">
        <v>382799.84</v>
      </c>
      <c r="BK16" s="122">
        <v>386437.6</v>
      </c>
      <c r="BL16" s="122">
        <v>388333.6</v>
      </c>
      <c r="BM16" s="122">
        <v>391183.6</v>
      </c>
      <c r="BN16" s="122">
        <v>397688.4</v>
      </c>
      <c r="BO16" s="122">
        <v>402431.4</v>
      </c>
      <c r="BP16" s="122">
        <v>408477.04</v>
      </c>
      <c r="BQ16" s="122">
        <v>413320.04</v>
      </c>
      <c r="BR16" s="122">
        <v>417753.39</v>
      </c>
      <c r="BS16" s="122">
        <v>419790.36</v>
      </c>
      <c r="BT16" s="122">
        <v>420981.36</v>
      </c>
      <c r="BU16" s="122">
        <v>423368.36</v>
      </c>
      <c r="BV16" s="122">
        <v>426778</v>
      </c>
      <c r="BW16" s="122">
        <v>430491</v>
      </c>
      <c r="BX16" s="122">
        <v>431746</v>
      </c>
      <c r="BY16" s="122">
        <v>433373</v>
      </c>
    </row>
    <row r="17" spans="1:77">
      <c r="A17" s="162" t="s">
        <v>11</v>
      </c>
      <c r="B17" s="122">
        <v>62694.603300623021</v>
      </c>
      <c r="C17" s="122">
        <v>63742.571376550521</v>
      </c>
      <c r="D17" s="122">
        <v>64275.55974812022</v>
      </c>
      <c r="E17" s="122">
        <v>64565.753554720905</v>
      </c>
      <c r="F17" s="122">
        <v>66380.219072467735</v>
      </c>
      <c r="G17" s="122">
        <v>65352.930099579135</v>
      </c>
      <c r="H17" s="122">
        <v>65005.67573190316</v>
      </c>
      <c r="I17" s="122">
        <v>65325.545597856602</v>
      </c>
      <c r="J17" s="122">
        <v>65215.240524609413</v>
      </c>
      <c r="K17" s="122">
        <v>65391.7654331171</v>
      </c>
      <c r="L17" s="122">
        <v>65655.314245012603</v>
      </c>
      <c r="M17" s="122">
        <v>65721.630335405105</v>
      </c>
      <c r="N17" s="122">
        <v>67643.138406149301</v>
      </c>
      <c r="O17" s="122">
        <v>69056.156872906125</v>
      </c>
      <c r="P17" s="122">
        <v>70324.735067892034</v>
      </c>
      <c r="Q17" s="122">
        <v>71226.6855683709</v>
      </c>
      <c r="R17" s="122">
        <v>71498.25752346855</v>
      </c>
      <c r="S17" s="122">
        <v>71947.778413669643</v>
      </c>
      <c r="T17" s="122">
        <v>72510.786853109705</v>
      </c>
      <c r="U17" s="122">
        <v>73059.785590440355</v>
      </c>
      <c r="V17" s="122">
        <v>74272.373646000546</v>
      </c>
      <c r="W17" s="122">
        <v>75206.632558438214</v>
      </c>
      <c r="X17" s="122">
        <v>76303.342085501354</v>
      </c>
      <c r="Y17" s="122">
        <v>77160.368229354965</v>
      </c>
      <c r="Z17" s="122">
        <v>77237.076645797526</v>
      </c>
      <c r="AA17" s="122">
        <v>77268.207506537234</v>
      </c>
      <c r="AB17" s="122">
        <v>77466.021408225468</v>
      </c>
      <c r="AC17" s="122">
        <v>77781.154154496078</v>
      </c>
      <c r="AD17" s="122">
        <v>78152.786318549886</v>
      </c>
      <c r="AE17" s="122">
        <v>78818.682037381339</v>
      </c>
      <c r="AF17" s="122">
        <v>79641.229138825642</v>
      </c>
      <c r="AG17" s="122">
        <v>80771.302505243133</v>
      </c>
      <c r="AH17" s="122">
        <v>82271</v>
      </c>
      <c r="AI17" s="122">
        <v>83534</v>
      </c>
      <c r="AJ17" s="122">
        <v>84453</v>
      </c>
      <c r="AK17" s="122">
        <v>84766</v>
      </c>
      <c r="AL17" s="122">
        <v>84952</v>
      </c>
      <c r="AM17" s="122">
        <v>84758</v>
      </c>
      <c r="AN17" s="122">
        <v>85264</v>
      </c>
      <c r="AO17" s="122">
        <v>85902</v>
      </c>
      <c r="AP17" s="122">
        <v>86750.45</v>
      </c>
      <c r="AQ17" s="122">
        <v>87984.45</v>
      </c>
      <c r="AR17" s="122">
        <v>89076.44</v>
      </c>
      <c r="AS17" s="122">
        <v>90007.44</v>
      </c>
      <c r="AT17" s="122">
        <v>91625</v>
      </c>
      <c r="AU17" s="122">
        <v>92686</v>
      </c>
      <c r="AV17" s="122">
        <v>93648</v>
      </c>
      <c r="AW17" s="122">
        <v>94333</v>
      </c>
      <c r="AX17" s="122">
        <v>95873</v>
      </c>
      <c r="AY17" s="122">
        <v>97348.160000000003</v>
      </c>
      <c r="AZ17" s="122">
        <v>98981.4</v>
      </c>
      <c r="BA17" s="122">
        <v>100785.44</v>
      </c>
      <c r="BB17" s="122">
        <v>101291.85</v>
      </c>
      <c r="BC17" s="122">
        <v>101678.85</v>
      </c>
      <c r="BD17" s="122">
        <v>102477.85</v>
      </c>
      <c r="BE17" s="122">
        <v>102974.85</v>
      </c>
      <c r="BF17" s="122">
        <v>102295.8740867116</v>
      </c>
      <c r="BG17" s="122">
        <v>101939.98197641681</v>
      </c>
      <c r="BH17" s="122">
        <v>100890.23408749359</v>
      </c>
      <c r="BI17" s="122">
        <v>99806.349849377992</v>
      </c>
      <c r="BJ17" s="122">
        <v>100390.4749213544</v>
      </c>
      <c r="BK17" s="122">
        <v>101418.2598623784</v>
      </c>
      <c r="BL17" s="122">
        <v>102147.09979306281</v>
      </c>
      <c r="BM17" s="122">
        <v>102727.57942320479</v>
      </c>
      <c r="BN17" s="122">
        <v>103190.00060847041</v>
      </c>
      <c r="BO17" s="122">
        <v>103795.023050146</v>
      </c>
      <c r="BP17" s="122">
        <v>104268.28655646721</v>
      </c>
      <c r="BQ17" s="122">
        <v>104849.589784916</v>
      </c>
      <c r="BR17" s="122">
        <v>105289.823452148</v>
      </c>
      <c r="BS17" s="122">
        <v>105856.4102302104</v>
      </c>
      <c r="BT17" s="122">
        <v>106472.9862628</v>
      </c>
      <c r="BU17" s="122">
        <v>107104.196021342</v>
      </c>
      <c r="BV17" s="122">
        <v>107428.96940335201</v>
      </c>
      <c r="BW17" s="122">
        <v>107854.0585922732</v>
      </c>
      <c r="BX17" s="122">
        <v>108272.5992248332</v>
      </c>
      <c r="BY17" s="122">
        <v>108624.55989225721</v>
      </c>
    </row>
    <row r="18" spans="1:77">
      <c r="A18" s="163" t="s">
        <v>12</v>
      </c>
      <c r="B18" s="124">
        <v>190802.75</v>
      </c>
      <c r="C18" s="124">
        <v>190974.75</v>
      </c>
      <c r="D18" s="124">
        <v>191111.75</v>
      </c>
      <c r="E18" s="124">
        <v>191246.75</v>
      </c>
      <c r="F18" s="124">
        <v>192762.3</v>
      </c>
      <c r="G18" s="124">
        <v>194282.3</v>
      </c>
      <c r="H18" s="124">
        <v>195492.4</v>
      </c>
      <c r="I18" s="124">
        <v>196359</v>
      </c>
      <c r="J18" s="124">
        <v>196706.49900000001</v>
      </c>
      <c r="K18" s="124">
        <v>196425.49900000001</v>
      </c>
      <c r="L18" s="124">
        <v>196059.49890000001</v>
      </c>
      <c r="M18" s="124">
        <v>195848.49900000001</v>
      </c>
      <c r="N18" s="124">
        <v>195565.75</v>
      </c>
      <c r="O18" s="124">
        <v>195073.75</v>
      </c>
      <c r="P18" s="124">
        <v>194441.75</v>
      </c>
      <c r="Q18" s="124">
        <v>194082.75</v>
      </c>
      <c r="R18" s="124">
        <v>193953.25</v>
      </c>
      <c r="S18" s="124">
        <v>193609.25</v>
      </c>
      <c r="T18" s="124">
        <v>192938.25</v>
      </c>
      <c r="U18" s="124">
        <v>192015.25</v>
      </c>
      <c r="V18" s="124">
        <v>192116.35</v>
      </c>
      <c r="W18" s="124">
        <v>191769.33</v>
      </c>
      <c r="X18" s="124">
        <v>191140.33</v>
      </c>
      <c r="Y18" s="124">
        <v>190334</v>
      </c>
      <c r="Z18" s="124">
        <v>190881</v>
      </c>
      <c r="AA18" s="124">
        <v>190058</v>
      </c>
      <c r="AB18" s="124">
        <v>188887</v>
      </c>
      <c r="AC18" s="124">
        <v>188382</v>
      </c>
      <c r="AD18" s="124">
        <v>189812</v>
      </c>
      <c r="AE18" s="124">
        <v>190650</v>
      </c>
      <c r="AF18" s="124">
        <v>191372</v>
      </c>
      <c r="AG18" s="124">
        <v>191806</v>
      </c>
      <c r="AH18" s="124">
        <v>194417</v>
      </c>
      <c r="AI18" s="124">
        <v>195608</v>
      </c>
      <c r="AJ18" s="124">
        <v>196837</v>
      </c>
      <c r="AK18" s="124">
        <v>197910</v>
      </c>
      <c r="AL18" s="124">
        <v>197807</v>
      </c>
      <c r="AM18" s="124">
        <v>199194</v>
      </c>
      <c r="AN18" s="124">
        <v>200172</v>
      </c>
      <c r="AO18" s="124">
        <v>202615</v>
      </c>
      <c r="AP18" s="124">
        <v>206152.8</v>
      </c>
      <c r="AQ18" s="124">
        <v>208556.79999999999</v>
      </c>
      <c r="AR18" s="124">
        <v>209758.8</v>
      </c>
      <c r="AS18" s="124">
        <v>209774.8</v>
      </c>
      <c r="AT18" s="124">
        <v>212675</v>
      </c>
      <c r="AU18" s="124">
        <v>214060</v>
      </c>
      <c r="AV18" s="124">
        <v>215131</v>
      </c>
      <c r="AW18" s="124">
        <v>217922</v>
      </c>
      <c r="AX18" s="124">
        <v>221741</v>
      </c>
      <c r="AY18" s="124">
        <v>221740</v>
      </c>
      <c r="AZ18" s="124">
        <v>223747</v>
      </c>
      <c r="BA18" s="124">
        <v>225908</v>
      </c>
      <c r="BB18" s="124">
        <v>230291</v>
      </c>
      <c r="BC18" s="124">
        <v>231514</v>
      </c>
      <c r="BD18" s="124">
        <v>234992</v>
      </c>
      <c r="BE18" s="124">
        <v>236867</v>
      </c>
      <c r="BF18" s="124">
        <v>239679</v>
      </c>
      <c r="BG18" s="124">
        <v>242634</v>
      </c>
      <c r="BH18" s="124">
        <v>243332</v>
      </c>
      <c r="BI18" s="124">
        <v>244523</v>
      </c>
      <c r="BJ18" s="124">
        <v>246435</v>
      </c>
      <c r="BK18" s="124">
        <v>248896</v>
      </c>
      <c r="BL18" s="124">
        <v>250950</v>
      </c>
      <c r="BM18" s="124">
        <v>253775</v>
      </c>
      <c r="BN18" s="124">
        <v>256790</v>
      </c>
      <c r="BO18" s="124">
        <v>259378</v>
      </c>
      <c r="BP18" s="124">
        <v>261338</v>
      </c>
      <c r="BQ18" s="124">
        <v>264470</v>
      </c>
      <c r="BR18" s="124">
        <v>265096</v>
      </c>
      <c r="BS18" s="124">
        <v>266046</v>
      </c>
      <c r="BT18" s="124">
        <v>268340</v>
      </c>
      <c r="BU18" s="124">
        <v>271374</v>
      </c>
      <c r="BV18" s="124">
        <v>271420</v>
      </c>
      <c r="BW18" s="124">
        <v>271578</v>
      </c>
      <c r="BX18" s="124">
        <v>271873</v>
      </c>
      <c r="BY18" s="124">
        <v>272505</v>
      </c>
    </row>
    <row r="19" spans="1:77">
      <c r="A19" s="161" t="s">
        <v>13</v>
      </c>
      <c r="B19" s="116">
        <f t="shared" ref="B19:Z19" si="18">B13+B9+B6</f>
        <v>1005943.6676173027</v>
      </c>
      <c r="C19" s="116">
        <f t="shared" si="18"/>
        <v>1008965.5865140904</v>
      </c>
      <c r="D19" s="116">
        <f t="shared" si="18"/>
        <v>1014549.7042933709</v>
      </c>
      <c r="E19" s="116">
        <f t="shared" si="18"/>
        <v>1017325.4108170229</v>
      </c>
      <c r="F19" s="116">
        <f t="shared" si="18"/>
        <v>1032744.1901291314</v>
      </c>
      <c r="G19" s="116">
        <f t="shared" si="18"/>
        <v>1043493.1158860873</v>
      </c>
      <c r="H19" s="116">
        <f t="shared" si="18"/>
        <v>1056258.1861720062</v>
      </c>
      <c r="I19" s="116">
        <f t="shared" si="18"/>
        <v>1067406.7996238621</v>
      </c>
      <c r="J19" s="116">
        <f t="shared" si="18"/>
        <v>1070270.2200995481</v>
      </c>
      <c r="K19" s="116">
        <f t="shared" si="18"/>
        <v>1077584.4501437782</v>
      </c>
      <c r="L19" s="116">
        <f t="shared" si="18"/>
        <v>1079166.599219776</v>
      </c>
      <c r="M19" s="116">
        <f t="shared" si="18"/>
        <v>1078028.4290716257</v>
      </c>
      <c r="N19" s="116">
        <f t="shared" si="18"/>
        <v>1082849.2609263249</v>
      </c>
      <c r="O19" s="116">
        <f t="shared" si="18"/>
        <v>1085602.1757308422</v>
      </c>
      <c r="P19" s="116">
        <f t="shared" si="18"/>
        <v>1083531.4362477465</v>
      </c>
      <c r="Q19" s="116">
        <f t="shared" si="18"/>
        <v>1084505.3382894432</v>
      </c>
      <c r="R19" s="116">
        <f t="shared" si="18"/>
        <v>1095761.7669233261</v>
      </c>
      <c r="S19" s="116">
        <f t="shared" si="18"/>
        <v>1105007.2765578132</v>
      </c>
      <c r="T19" s="116">
        <f t="shared" si="18"/>
        <v>1117155.0954133768</v>
      </c>
      <c r="U19" s="116">
        <f t="shared" si="18"/>
        <v>1129576.3155252326</v>
      </c>
      <c r="V19" s="116">
        <f t="shared" si="18"/>
        <v>1143243.8076761109</v>
      </c>
      <c r="W19" s="116">
        <f t="shared" si="18"/>
        <v>1154119.4707600572</v>
      </c>
      <c r="X19" s="116">
        <f t="shared" si="18"/>
        <v>1165489.0019707771</v>
      </c>
      <c r="Y19" s="116">
        <f t="shared" si="18"/>
        <v>1175722.7499494886</v>
      </c>
      <c r="Z19" s="116">
        <f t="shared" si="18"/>
        <v>1184305.5517605746</v>
      </c>
      <c r="AA19" s="116">
        <f t="shared" ref="AA19:BH19" si="19">AA13+AA9+AA6</f>
        <v>1190503.9097256793</v>
      </c>
      <c r="AB19" s="116">
        <f t="shared" si="19"/>
        <v>1193176.4501969384</v>
      </c>
      <c r="AC19" s="116">
        <f t="shared" si="19"/>
        <v>1202084.0138968176</v>
      </c>
      <c r="AD19" s="116">
        <f t="shared" si="19"/>
        <v>1217577.7980741167</v>
      </c>
      <c r="AE19" s="116">
        <f t="shared" si="19"/>
        <v>1233324.6566475998</v>
      </c>
      <c r="AF19" s="116">
        <f t="shared" si="19"/>
        <v>1242356.1534055448</v>
      </c>
      <c r="AG19" s="116">
        <f t="shared" si="19"/>
        <v>1251821.3923502618</v>
      </c>
      <c r="AH19" s="116">
        <f t="shared" si="19"/>
        <v>1263182.3700000001</v>
      </c>
      <c r="AI19" s="116">
        <f t="shared" si="19"/>
        <v>1269511.76</v>
      </c>
      <c r="AJ19" s="116">
        <f t="shared" si="19"/>
        <v>1276531.96</v>
      </c>
      <c r="AK19" s="116">
        <f t="shared" si="19"/>
        <v>1283289.98</v>
      </c>
      <c r="AL19" s="116">
        <f t="shared" si="19"/>
        <v>1303253.8500000001</v>
      </c>
      <c r="AM19" s="116">
        <f t="shared" si="19"/>
        <v>1320606.03</v>
      </c>
      <c r="AN19" s="116">
        <f t="shared" si="19"/>
        <v>1341807.1000000001</v>
      </c>
      <c r="AO19" s="116">
        <f t="shared" si="19"/>
        <v>1355894.07</v>
      </c>
      <c r="AP19" s="116">
        <f t="shared" si="19"/>
        <v>1371023.1099999999</v>
      </c>
      <c r="AQ19" s="116">
        <f t="shared" si="19"/>
        <v>1395183.65</v>
      </c>
      <c r="AR19" s="116">
        <f t="shared" si="19"/>
        <v>1414182.6100000003</v>
      </c>
      <c r="AS19" s="116">
        <f t="shared" si="19"/>
        <v>1423878.57</v>
      </c>
      <c r="AT19" s="116">
        <f t="shared" si="19"/>
        <v>1445792.64</v>
      </c>
      <c r="AU19" s="116">
        <f t="shared" si="19"/>
        <v>1467928.65</v>
      </c>
      <c r="AV19" s="116">
        <f t="shared" si="19"/>
        <v>1489866.5999999999</v>
      </c>
      <c r="AW19" s="116">
        <f t="shared" si="19"/>
        <v>1510378.74</v>
      </c>
      <c r="AX19" s="116">
        <f t="shared" si="19"/>
        <v>1535734.683</v>
      </c>
      <c r="AY19" s="116">
        <f t="shared" si="19"/>
        <v>1548792.513</v>
      </c>
      <c r="AZ19" s="116">
        <f t="shared" si="19"/>
        <v>1567912.7529999998</v>
      </c>
      <c r="BA19" s="116">
        <f t="shared" si="19"/>
        <v>1591862.7919999999</v>
      </c>
      <c r="BB19" s="116">
        <f t="shared" si="19"/>
        <v>1603579.9861623887</v>
      </c>
      <c r="BC19" s="116">
        <f t="shared" si="19"/>
        <v>1622564.7934266315</v>
      </c>
      <c r="BD19" s="116">
        <f t="shared" si="19"/>
        <v>1629482.0019761354</v>
      </c>
      <c r="BE19" s="116">
        <f t="shared" si="19"/>
        <v>1623583.6694348445</v>
      </c>
      <c r="BF19" s="116">
        <f t="shared" si="19"/>
        <v>1598262.9801106662</v>
      </c>
      <c r="BG19" s="116">
        <f t="shared" si="19"/>
        <v>1589584.9443634378</v>
      </c>
      <c r="BH19" s="116">
        <f t="shared" si="19"/>
        <v>1596074.1490172425</v>
      </c>
      <c r="BI19" s="116">
        <f t="shared" ref="BI19:BO19" si="20">BI13+BI9+BI6</f>
        <v>1608317.0525086531</v>
      </c>
      <c r="BJ19" s="116">
        <f t="shared" si="20"/>
        <v>1626241.7620493572</v>
      </c>
      <c r="BK19" s="116">
        <f t="shared" si="20"/>
        <v>1638433.849169563</v>
      </c>
      <c r="BL19" s="116">
        <f t="shared" si="20"/>
        <v>1652810.8004465024</v>
      </c>
      <c r="BM19" s="116">
        <f t="shared" si="20"/>
        <v>1671614.7826656275</v>
      </c>
      <c r="BN19" s="116">
        <f>BN13+BN9+BN6</f>
        <v>1691220.6984065445</v>
      </c>
      <c r="BO19" s="116">
        <f t="shared" si="20"/>
        <v>1698719.7963633849</v>
      </c>
      <c r="BP19" s="116">
        <f t="shared" ref="BP19:BX19" si="21">BP13+BP9+BP6</f>
        <v>1705181.0184296595</v>
      </c>
      <c r="BQ19" s="116">
        <f t="shared" si="21"/>
        <v>1720083.7700241078</v>
      </c>
      <c r="BR19" s="116">
        <f t="shared" si="21"/>
        <v>1731296.9867153717</v>
      </c>
      <c r="BS19" s="116">
        <f t="shared" si="21"/>
        <v>1742756.0564683392</v>
      </c>
      <c r="BT19" s="116">
        <f t="shared" si="21"/>
        <v>1748304.9048734561</v>
      </c>
      <c r="BU19" s="116">
        <f t="shared" ref="BU19:BW19" si="22">BU13+BU9+BU6</f>
        <v>1759052.1092168535</v>
      </c>
      <c r="BV19" s="116">
        <f t="shared" si="22"/>
        <v>1761619.3374242906</v>
      </c>
      <c r="BW19" s="116">
        <f t="shared" si="22"/>
        <v>1775807.3700800275</v>
      </c>
      <c r="BX19" s="116">
        <f t="shared" si="21"/>
        <v>1778262.2834670777</v>
      </c>
      <c r="BY19" s="116">
        <f t="shared" ref="BY19" si="23">BY13+BY9+BY6</f>
        <v>1796125.6654509029</v>
      </c>
    </row>
    <row r="20" spans="1:77">
      <c r="A20" s="162" t="s">
        <v>14</v>
      </c>
      <c r="B20" s="122">
        <v>132946.04919999998</v>
      </c>
      <c r="C20" s="122">
        <v>132962.8468</v>
      </c>
      <c r="D20" s="122">
        <v>134127.6972</v>
      </c>
      <c r="E20" s="122">
        <v>134670.26880000002</v>
      </c>
      <c r="F20" s="122">
        <v>135976.79730000001</v>
      </c>
      <c r="G20" s="122">
        <v>140029.49059999999</v>
      </c>
      <c r="H20" s="122">
        <v>141550.41270000002</v>
      </c>
      <c r="I20" s="122">
        <v>143278.70879999999</v>
      </c>
      <c r="J20" s="122">
        <v>143769.84290000002</v>
      </c>
      <c r="K20" s="122">
        <v>144223.13320000001</v>
      </c>
      <c r="L20" s="122">
        <v>144500.13619999998</v>
      </c>
      <c r="M20" s="122">
        <v>144726.1838</v>
      </c>
      <c r="N20" s="122">
        <v>143956.70070000002</v>
      </c>
      <c r="O20" s="122">
        <v>142659.38769999999</v>
      </c>
      <c r="P20" s="122">
        <v>142000.0729</v>
      </c>
      <c r="Q20" s="122">
        <v>142028.38700000002</v>
      </c>
      <c r="R20" s="122">
        <v>141255.7059</v>
      </c>
      <c r="S20" s="122">
        <v>141135.39810000002</v>
      </c>
      <c r="T20" s="122">
        <v>142113.33229999998</v>
      </c>
      <c r="U20" s="122">
        <v>143055.3002</v>
      </c>
      <c r="V20" s="122">
        <v>143078.31090000001</v>
      </c>
      <c r="W20" s="122">
        <v>143435.57190000001</v>
      </c>
      <c r="X20" s="122">
        <v>144561.08929999999</v>
      </c>
      <c r="Y20" s="122">
        <v>145441.6715</v>
      </c>
      <c r="Z20" s="122">
        <v>145401.65899999999</v>
      </c>
      <c r="AA20" s="122">
        <v>145671.84529999999</v>
      </c>
      <c r="AB20" s="122">
        <v>146315.3113</v>
      </c>
      <c r="AC20" s="122">
        <v>147415.90349999999</v>
      </c>
      <c r="AD20" s="122">
        <v>148453</v>
      </c>
      <c r="AE20" s="122">
        <v>149248</v>
      </c>
      <c r="AF20" s="122">
        <v>151557</v>
      </c>
      <c r="AG20" s="122">
        <v>151402</v>
      </c>
      <c r="AH20" s="122">
        <v>153027</v>
      </c>
      <c r="AI20" s="122">
        <v>153614</v>
      </c>
      <c r="AJ20" s="122">
        <v>154317</v>
      </c>
      <c r="AK20" s="122">
        <v>155814</v>
      </c>
      <c r="AL20" s="122">
        <v>157635</v>
      </c>
      <c r="AM20" s="122">
        <v>160698</v>
      </c>
      <c r="AN20" s="122">
        <v>163718</v>
      </c>
      <c r="AO20" s="122">
        <v>165709</v>
      </c>
      <c r="AP20" s="122">
        <v>166049.20000000001</v>
      </c>
      <c r="AQ20" s="122">
        <v>169472.27</v>
      </c>
      <c r="AR20" s="122">
        <v>171809.27</v>
      </c>
      <c r="AS20" s="122">
        <v>172729.27</v>
      </c>
      <c r="AT20" s="122">
        <v>175089</v>
      </c>
      <c r="AU20" s="122">
        <v>179620</v>
      </c>
      <c r="AV20" s="122">
        <v>181162</v>
      </c>
      <c r="AW20" s="122">
        <v>186649</v>
      </c>
      <c r="AX20" s="122">
        <v>188243</v>
      </c>
      <c r="AY20" s="122">
        <v>188504</v>
      </c>
      <c r="AZ20" s="122">
        <v>190892</v>
      </c>
      <c r="BA20" s="122">
        <v>192717</v>
      </c>
      <c r="BB20" s="122">
        <v>194190</v>
      </c>
      <c r="BC20" s="122">
        <v>194841</v>
      </c>
      <c r="BD20" s="122">
        <v>195972</v>
      </c>
      <c r="BE20" s="122">
        <v>194165</v>
      </c>
      <c r="BF20" s="122">
        <v>190323</v>
      </c>
      <c r="BG20" s="122">
        <v>186658</v>
      </c>
      <c r="BH20" s="122">
        <v>187667</v>
      </c>
      <c r="BI20" s="122">
        <v>190708</v>
      </c>
      <c r="BJ20" s="122">
        <v>193146</v>
      </c>
      <c r="BK20" s="122">
        <v>194448</v>
      </c>
      <c r="BL20" s="122">
        <v>196740</v>
      </c>
      <c r="BM20" s="122">
        <v>198598</v>
      </c>
      <c r="BN20" s="122">
        <v>202308</v>
      </c>
      <c r="BO20" s="122">
        <v>204294</v>
      </c>
      <c r="BP20" s="122">
        <v>206285</v>
      </c>
      <c r="BQ20" s="122">
        <v>209281</v>
      </c>
      <c r="BR20" s="122">
        <v>209692</v>
      </c>
      <c r="BS20" s="122">
        <v>210861</v>
      </c>
      <c r="BT20" s="122">
        <v>211582</v>
      </c>
      <c r="BU20" s="122">
        <v>212229</v>
      </c>
      <c r="BV20" s="122">
        <v>213453</v>
      </c>
      <c r="BW20" s="122">
        <v>215093</v>
      </c>
      <c r="BX20" s="122">
        <v>216192</v>
      </c>
      <c r="BY20" s="122">
        <v>217178</v>
      </c>
    </row>
    <row r="21" spans="1:77" ht="13.5" thickBot="1">
      <c r="A21" s="164" t="s">
        <v>283</v>
      </c>
      <c r="B21" s="107">
        <f t="shared" ref="B21:Z21" si="24">B19+B20</f>
        <v>1138889.7168173026</v>
      </c>
      <c r="C21" s="107">
        <f t="shared" si="24"/>
        <v>1141928.4333140904</v>
      </c>
      <c r="D21" s="107">
        <f t="shared" si="24"/>
        <v>1148677.401493371</v>
      </c>
      <c r="E21" s="107">
        <f t="shared" si="24"/>
        <v>1151995.6796170229</v>
      </c>
      <c r="F21" s="107">
        <f t="shared" si="24"/>
        <v>1168720.9874291315</v>
      </c>
      <c r="G21" s="107">
        <f t="shared" si="24"/>
        <v>1183522.6064860872</v>
      </c>
      <c r="H21" s="107">
        <f t="shared" si="24"/>
        <v>1197808.5988720062</v>
      </c>
      <c r="I21" s="107">
        <f t="shared" si="24"/>
        <v>1210685.508423862</v>
      </c>
      <c r="J21" s="107">
        <f t="shared" si="24"/>
        <v>1214040.0629995482</v>
      </c>
      <c r="K21" s="107">
        <f t="shared" si="24"/>
        <v>1221807.5833437783</v>
      </c>
      <c r="L21" s="107">
        <f t="shared" si="24"/>
        <v>1223666.7354197761</v>
      </c>
      <c r="M21" s="107">
        <f t="shared" si="24"/>
        <v>1222754.6128716257</v>
      </c>
      <c r="N21" s="107">
        <f t="shared" si="24"/>
        <v>1226805.9616263248</v>
      </c>
      <c r="O21" s="107">
        <f t="shared" si="24"/>
        <v>1228261.5634308422</v>
      </c>
      <c r="P21" s="107">
        <f t="shared" si="24"/>
        <v>1225531.5091477465</v>
      </c>
      <c r="Q21" s="107">
        <f t="shared" si="24"/>
        <v>1226533.7252894433</v>
      </c>
      <c r="R21" s="107">
        <f t="shared" si="24"/>
        <v>1237017.472823326</v>
      </c>
      <c r="S21" s="107">
        <f t="shared" si="24"/>
        <v>1246142.6746578133</v>
      </c>
      <c r="T21" s="107">
        <f t="shared" si="24"/>
        <v>1259268.4277133767</v>
      </c>
      <c r="U21" s="107">
        <f t="shared" si="24"/>
        <v>1272631.6157252325</v>
      </c>
      <c r="V21" s="107">
        <f t="shared" si="24"/>
        <v>1286322.1185761108</v>
      </c>
      <c r="W21" s="107">
        <f t="shared" si="24"/>
        <v>1297555.0426600573</v>
      </c>
      <c r="X21" s="107">
        <f t="shared" si="24"/>
        <v>1310050.0912707769</v>
      </c>
      <c r="Y21" s="107">
        <f t="shared" si="24"/>
        <v>1321164.4214494885</v>
      </c>
      <c r="Z21" s="107">
        <f t="shared" si="24"/>
        <v>1329707.2107605746</v>
      </c>
      <c r="AA21" s="107">
        <f>AA19+AA20</f>
        <v>1336175.7550256792</v>
      </c>
      <c r="AB21" s="107">
        <f t="shared" ref="AB21:BH21" si="25">AB19+AB20</f>
        <v>1339491.7614969383</v>
      </c>
      <c r="AC21" s="107">
        <f t="shared" si="25"/>
        <v>1349499.9173968176</v>
      </c>
      <c r="AD21" s="107">
        <f t="shared" si="25"/>
        <v>1366030.7980741167</v>
      </c>
      <c r="AE21" s="107">
        <f t="shared" si="25"/>
        <v>1382572.6566475998</v>
      </c>
      <c r="AF21" s="107">
        <f t="shared" si="25"/>
        <v>1393913.1534055448</v>
      </c>
      <c r="AG21" s="107">
        <f t="shared" si="25"/>
        <v>1403223.3923502618</v>
      </c>
      <c r="AH21" s="107">
        <f t="shared" si="25"/>
        <v>1416209.37</v>
      </c>
      <c r="AI21" s="107">
        <f t="shared" si="25"/>
        <v>1423125.76</v>
      </c>
      <c r="AJ21" s="107">
        <f t="shared" si="25"/>
        <v>1430848.96</v>
      </c>
      <c r="AK21" s="107">
        <f t="shared" si="25"/>
        <v>1439103.98</v>
      </c>
      <c r="AL21" s="107">
        <f t="shared" si="25"/>
        <v>1460888.85</v>
      </c>
      <c r="AM21" s="107">
        <f t="shared" si="25"/>
        <v>1481304.03</v>
      </c>
      <c r="AN21" s="107">
        <f t="shared" si="25"/>
        <v>1505525.1</v>
      </c>
      <c r="AO21" s="107">
        <f t="shared" si="25"/>
        <v>1521603.07</v>
      </c>
      <c r="AP21" s="107">
        <f t="shared" si="25"/>
        <v>1537072.3099999998</v>
      </c>
      <c r="AQ21" s="107">
        <f t="shared" si="25"/>
        <v>1564655.92</v>
      </c>
      <c r="AR21" s="107">
        <f t="shared" si="25"/>
        <v>1585991.8800000004</v>
      </c>
      <c r="AS21" s="107">
        <f t="shared" si="25"/>
        <v>1596607.84</v>
      </c>
      <c r="AT21" s="107">
        <f t="shared" si="25"/>
        <v>1620881.64</v>
      </c>
      <c r="AU21" s="107">
        <f t="shared" si="25"/>
        <v>1647548.65</v>
      </c>
      <c r="AV21" s="107">
        <f t="shared" si="25"/>
        <v>1671028.5999999999</v>
      </c>
      <c r="AW21" s="107">
        <f t="shared" si="25"/>
        <v>1697027.74</v>
      </c>
      <c r="AX21" s="107">
        <f t="shared" si="25"/>
        <v>1723977.683</v>
      </c>
      <c r="AY21" s="107">
        <f t="shared" si="25"/>
        <v>1737296.513</v>
      </c>
      <c r="AZ21" s="107">
        <f t="shared" si="25"/>
        <v>1758804.7529999998</v>
      </c>
      <c r="BA21" s="107">
        <f t="shared" si="25"/>
        <v>1784579.7919999999</v>
      </c>
      <c r="BB21" s="107">
        <f t="shared" si="25"/>
        <v>1797769.9861623887</v>
      </c>
      <c r="BC21" s="107">
        <f t="shared" si="25"/>
        <v>1817405.7934266315</v>
      </c>
      <c r="BD21" s="107">
        <f t="shared" si="25"/>
        <v>1825454.0019761354</v>
      </c>
      <c r="BE21" s="107">
        <f t="shared" si="25"/>
        <v>1817748.6694348445</v>
      </c>
      <c r="BF21" s="107">
        <f t="shared" si="25"/>
        <v>1788585.9801106662</v>
      </c>
      <c r="BG21" s="107">
        <f t="shared" si="25"/>
        <v>1776242.9443634378</v>
      </c>
      <c r="BH21" s="107">
        <f t="shared" si="25"/>
        <v>1783741.1490172425</v>
      </c>
      <c r="BI21" s="107">
        <f t="shared" ref="BI21:BO21" si="26">BI19+BI20</f>
        <v>1799025.0525086531</v>
      </c>
      <c r="BJ21" s="107">
        <f t="shared" si="26"/>
        <v>1819387.7620493572</v>
      </c>
      <c r="BK21" s="107">
        <f t="shared" si="26"/>
        <v>1832881.849169563</v>
      </c>
      <c r="BL21" s="107">
        <f t="shared" si="26"/>
        <v>1849550.8004465024</v>
      </c>
      <c r="BM21" s="107">
        <f t="shared" si="26"/>
        <v>1870212.7826656275</v>
      </c>
      <c r="BN21" s="107">
        <f>BN19+BN20</f>
        <v>1893528.6984065445</v>
      </c>
      <c r="BO21" s="107">
        <f t="shared" si="26"/>
        <v>1903013.7963633849</v>
      </c>
      <c r="BP21" s="107">
        <f t="shared" ref="BP21:BX21" si="27">BP19+BP20</f>
        <v>1911466.0184296595</v>
      </c>
      <c r="BQ21" s="107">
        <f t="shared" si="27"/>
        <v>1929364.7700241078</v>
      </c>
      <c r="BR21" s="107">
        <f t="shared" si="27"/>
        <v>1940988.9867153717</v>
      </c>
      <c r="BS21" s="107">
        <f t="shared" si="27"/>
        <v>1953617.0564683392</v>
      </c>
      <c r="BT21" s="107">
        <f t="shared" si="27"/>
        <v>1959886.9048734561</v>
      </c>
      <c r="BU21" s="107">
        <f t="shared" si="27"/>
        <v>1971281.1092168535</v>
      </c>
      <c r="BV21" s="107">
        <f t="shared" ref="BV21:BW21" si="28">BV19+BV20</f>
        <v>1975072.3374242906</v>
      </c>
      <c r="BW21" s="107">
        <f t="shared" si="28"/>
        <v>1990900.3700800275</v>
      </c>
      <c r="BX21" s="107">
        <f t="shared" si="27"/>
        <v>1994454.2834670777</v>
      </c>
      <c r="BY21" s="107">
        <f t="shared" ref="BY21" si="29">BY19+BY20</f>
        <v>2013303.6654509029</v>
      </c>
    </row>
    <row r="23" spans="1:77" ht="18">
      <c r="A23" s="127" t="s">
        <v>168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</row>
    <row r="24" spans="1:77" ht="13.5" thickBot="1">
      <c r="A24" s="1" t="s">
        <v>201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77" ht="13.5" thickBot="1">
      <c r="A25" s="144" t="s">
        <v>167</v>
      </c>
      <c r="B25" s="249" t="s">
        <v>285</v>
      </c>
      <c r="C25" s="248" t="s">
        <v>286</v>
      </c>
      <c r="D25" s="248" t="s">
        <v>287</v>
      </c>
      <c r="E25" s="248" t="s">
        <v>288</v>
      </c>
      <c r="F25" s="248" t="s">
        <v>284</v>
      </c>
      <c r="G25" s="248" t="s">
        <v>289</v>
      </c>
      <c r="H25" s="248" t="s">
        <v>290</v>
      </c>
      <c r="I25" s="248" t="s">
        <v>291</v>
      </c>
      <c r="J25" s="248" t="s">
        <v>292</v>
      </c>
      <c r="K25" s="248" t="s">
        <v>293</v>
      </c>
      <c r="L25" s="248" t="s">
        <v>294</v>
      </c>
      <c r="M25" s="248" t="s">
        <v>295</v>
      </c>
      <c r="N25" s="248" t="s">
        <v>296</v>
      </c>
      <c r="O25" s="248" t="s">
        <v>297</v>
      </c>
      <c r="P25" s="248" t="s">
        <v>298</v>
      </c>
      <c r="Q25" s="248" t="s">
        <v>299</v>
      </c>
      <c r="R25" s="248" t="s">
        <v>300</v>
      </c>
      <c r="S25" s="248" t="s">
        <v>301</v>
      </c>
      <c r="T25" s="248" t="s">
        <v>302</v>
      </c>
      <c r="U25" s="248" t="s">
        <v>303</v>
      </c>
      <c r="V25" s="248" t="s">
        <v>332</v>
      </c>
      <c r="W25" s="248" t="s">
        <v>333</v>
      </c>
      <c r="X25" s="248" t="s">
        <v>334</v>
      </c>
      <c r="Y25" s="248" t="s">
        <v>335</v>
      </c>
      <c r="Z25" s="248" t="s">
        <v>304</v>
      </c>
      <c r="AA25" s="248" t="s">
        <v>305</v>
      </c>
      <c r="AB25" s="248" t="s">
        <v>306</v>
      </c>
      <c r="AC25" s="248" t="s">
        <v>307</v>
      </c>
      <c r="AD25" s="248" t="s">
        <v>308</v>
      </c>
      <c r="AE25" s="248" t="s">
        <v>309</v>
      </c>
      <c r="AF25" s="248" t="s">
        <v>310</v>
      </c>
      <c r="AG25" s="248" t="s">
        <v>311</v>
      </c>
      <c r="AH25" s="248" t="s">
        <v>312</v>
      </c>
      <c r="AI25" s="248" t="s">
        <v>313</v>
      </c>
      <c r="AJ25" s="248" t="s">
        <v>314</v>
      </c>
      <c r="AK25" s="248" t="s">
        <v>315</v>
      </c>
      <c r="AL25" s="248" t="s">
        <v>316</v>
      </c>
      <c r="AM25" s="248" t="s">
        <v>317</v>
      </c>
      <c r="AN25" s="248" t="s">
        <v>318</v>
      </c>
      <c r="AO25" s="248" t="s">
        <v>319</v>
      </c>
      <c r="AP25" s="248" t="s">
        <v>320</v>
      </c>
      <c r="AQ25" s="248" t="s">
        <v>321</v>
      </c>
      <c r="AR25" s="248" t="s">
        <v>322</v>
      </c>
      <c r="AS25" s="248" t="s">
        <v>323</v>
      </c>
      <c r="AT25" s="248" t="s">
        <v>324</v>
      </c>
      <c r="AU25" s="248" t="s">
        <v>325</v>
      </c>
      <c r="AV25" s="248" t="s">
        <v>326</v>
      </c>
      <c r="AW25" s="248" t="s">
        <v>327</v>
      </c>
      <c r="AX25" s="248" t="s">
        <v>328</v>
      </c>
      <c r="AY25" s="248" t="s">
        <v>329</v>
      </c>
      <c r="AZ25" s="248" t="s">
        <v>330</v>
      </c>
      <c r="BA25" s="248" t="s">
        <v>331</v>
      </c>
      <c r="BB25" s="248" t="s">
        <v>227</v>
      </c>
      <c r="BC25" s="248" t="s">
        <v>228</v>
      </c>
      <c r="BD25" s="248" t="s">
        <v>229</v>
      </c>
      <c r="BE25" s="248" t="s">
        <v>230</v>
      </c>
      <c r="BF25" s="248" t="s">
        <v>224</v>
      </c>
      <c r="BG25" s="248" t="s">
        <v>225</v>
      </c>
      <c r="BH25" s="248" t="s">
        <v>226</v>
      </c>
      <c r="BI25" s="248" t="s">
        <v>346</v>
      </c>
      <c r="BJ25" s="248" t="str">
        <f t="shared" ref="BJ25:BO25" si="30">BJ5</f>
        <v>2010q1</v>
      </c>
      <c r="BK25" s="248" t="str">
        <f t="shared" si="30"/>
        <v>2010q2</v>
      </c>
      <c r="BL25" s="248" t="str">
        <f t="shared" si="30"/>
        <v>2010q3</v>
      </c>
      <c r="BM25" s="248" t="str">
        <f t="shared" si="30"/>
        <v>2010q4</v>
      </c>
      <c r="BN25" s="248" t="str">
        <f t="shared" si="30"/>
        <v>2011q1</v>
      </c>
      <c r="BO25" s="248" t="str">
        <f t="shared" si="30"/>
        <v>2011q2</v>
      </c>
      <c r="BP25" s="248" t="str">
        <f t="shared" ref="BP25:BR25" si="31">BP5</f>
        <v>2011q3</v>
      </c>
      <c r="BQ25" s="248" t="str">
        <f t="shared" si="31"/>
        <v>2011q4</v>
      </c>
      <c r="BR25" s="248" t="str">
        <f t="shared" si="31"/>
        <v>2012q1</v>
      </c>
      <c r="BS25" s="248" t="str">
        <f t="shared" ref="BS25:BX25" si="32">BS5</f>
        <v>2012q2</v>
      </c>
      <c r="BT25" s="248" t="str">
        <f t="shared" si="32"/>
        <v>2012q3</v>
      </c>
      <c r="BU25" s="248" t="str">
        <f t="shared" si="32"/>
        <v>2012q4</v>
      </c>
      <c r="BV25" s="248" t="str">
        <f t="shared" si="32"/>
        <v>2013q1</v>
      </c>
      <c r="BW25" s="248" t="str">
        <f t="shared" si="32"/>
        <v>2013q2</v>
      </c>
      <c r="BX25" s="248" t="str">
        <f t="shared" si="32"/>
        <v>2013q3</v>
      </c>
      <c r="BY25" s="248" t="str">
        <f t="shared" ref="BY25" si="33">BY5</f>
        <v>2013q4</v>
      </c>
    </row>
    <row r="26" spans="1:77" ht="13.5" thickTop="1">
      <c r="A26" s="165" t="s">
        <v>0</v>
      </c>
      <c r="B26" s="104">
        <f t="shared" ref="B26:H26" si="34">SUM(B27:B28)</f>
        <v>14228.710472622639</v>
      </c>
      <c r="C26" s="98">
        <f t="shared" si="34"/>
        <v>12660.621059990783</v>
      </c>
      <c r="D26" s="98">
        <f t="shared" si="34"/>
        <v>11861.76469210512</v>
      </c>
      <c r="E26" s="98">
        <f t="shared" si="34"/>
        <v>11838.635375285348</v>
      </c>
      <c r="F26" s="98">
        <f t="shared" si="34"/>
        <v>14467.902725244196</v>
      </c>
      <c r="G26" s="98">
        <f t="shared" si="34"/>
        <v>15713.52368689435</v>
      </c>
      <c r="H26" s="98">
        <f t="shared" si="34"/>
        <v>16291.158887579488</v>
      </c>
      <c r="I26" s="98">
        <f t="shared" ref="I26:BF26" si="35">SUM(I27:I28)</f>
        <v>16424.194721048232</v>
      </c>
      <c r="J26" s="98">
        <f t="shared" si="35"/>
        <v>15684.326689047643</v>
      </c>
      <c r="K26" s="98">
        <f t="shared" si="35"/>
        <v>15791.311293519862</v>
      </c>
      <c r="L26" s="98">
        <f t="shared" si="35"/>
        <v>15813.711373217939</v>
      </c>
      <c r="M26" s="98">
        <f t="shared" si="35"/>
        <v>15741.246403949006</v>
      </c>
      <c r="N26" s="98">
        <f t="shared" si="35"/>
        <v>15969.439935755743</v>
      </c>
      <c r="O26" s="98">
        <f t="shared" si="35"/>
        <v>15680.942914931002</v>
      </c>
      <c r="P26" s="98">
        <f t="shared" si="35"/>
        <v>15598.940411268435</v>
      </c>
      <c r="Q26" s="98">
        <f t="shared" si="35"/>
        <v>15792.673149463917</v>
      </c>
      <c r="R26" s="98">
        <f t="shared" si="35"/>
        <v>13608.406324180576</v>
      </c>
      <c r="S26" s="98">
        <f t="shared" si="35"/>
        <v>13697.270455138401</v>
      </c>
      <c r="T26" s="98">
        <f t="shared" si="35"/>
        <v>13861.446416102157</v>
      </c>
      <c r="U26" s="98">
        <f t="shared" si="35"/>
        <v>14119.826110978611</v>
      </c>
      <c r="V26" s="98">
        <f t="shared" si="35"/>
        <v>14060.814802885758</v>
      </c>
      <c r="W26" s="98">
        <f t="shared" si="35"/>
        <v>14116.357167676979</v>
      </c>
      <c r="X26" s="98">
        <f t="shared" si="35"/>
        <v>14092.968821972932</v>
      </c>
      <c r="Y26" s="98">
        <f t="shared" si="35"/>
        <v>13969.2482531884</v>
      </c>
      <c r="Z26" s="98">
        <f t="shared" si="35"/>
        <v>13870.223674186007</v>
      </c>
      <c r="AA26" s="98">
        <f t="shared" si="35"/>
        <v>13830.465321268766</v>
      </c>
      <c r="AB26" s="98">
        <f t="shared" si="35"/>
        <v>13776.843308925214</v>
      </c>
      <c r="AC26" s="98">
        <f t="shared" si="35"/>
        <v>13740.622271096165</v>
      </c>
      <c r="AD26" s="98">
        <f t="shared" si="35"/>
        <v>13392.294200512726</v>
      </c>
      <c r="AE26" s="98">
        <f t="shared" si="35"/>
        <v>13743.259984683631</v>
      </c>
      <c r="AF26" s="98">
        <f t="shared" si="35"/>
        <v>13989.901858068723</v>
      </c>
      <c r="AG26" s="98">
        <f t="shared" si="35"/>
        <v>14151.569190141017</v>
      </c>
      <c r="AH26" s="98">
        <f t="shared" si="35"/>
        <v>14741.27693091195</v>
      </c>
      <c r="AI26" s="98">
        <f t="shared" si="35"/>
        <v>14689.245502716727</v>
      </c>
      <c r="AJ26" s="98">
        <f t="shared" si="35"/>
        <v>14430.105793710598</v>
      </c>
      <c r="AK26" s="98">
        <f t="shared" si="35"/>
        <v>14381.493418064476</v>
      </c>
      <c r="AL26" s="98">
        <f t="shared" si="35"/>
        <v>14419.558716677597</v>
      </c>
      <c r="AM26" s="98">
        <f t="shared" si="35"/>
        <v>14469.642220492105</v>
      </c>
      <c r="AN26" s="98">
        <f t="shared" si="35"/>
        <v>14805.241166844513</v>
      </c>
      <c r="AO26" s="98">
        <f t="shared" si="35"/>
        <v>14987.044557645177</v>
      </c>
      <c r="AP26" s="98">
        <f t="shared" si="35"/>
        <v>13830.983819436422</v>
      </c>
      <c r="AQ26" s="98">
        <f t="shared" si="35"/>
        <v>13783.656118643812</v>
      </c>
      <c r="AR26" s="98">
        <f t="shared" si="35"/>
        <v>13780.065762166303</v>
      </c>
      <c r="AS26" s="98">
        <f t="shared" si="35"/>
        <v>13794.992095045138</v>
      </c>
      <c r="AT26" s="98">
        <f t="shared" si="35"/>
        <v>13999.308399853033</v>
      </c>
      <c r="AU26" s="98">
        <f t="shared" si="35"/>
        <v>13706.731861909358</v>
      </c>
      <c r="AV26" s="98">
        <f t="shared" si="35"/>
        <v>13581.668607930909</v>
      </c>
      <c r="AW26" s="98">
        <f t="shared" si="35"/>
        <v>13620.50477507291</v>
      </c>
      <c r="AX26" s="98">
        <f t="shared" si="35"/>
        <v>14004.002170968219</v>
      </c>
      <c r="AY26" s="98">
        <f t="shared" si="35"/>
        <v>14140.149606621426</v>
      </c>
      <c r="AZ26" s="98">
        <f t="shared" si="35"/>
        <v>14245.680625550938</v>
      </c>
      <c r="BA26" s="98">
        <f t="shared" si="35"/>
        <v>14533.612260242717</v>
      </c>
      <c r="BB26" s="98">
        <f t="shared" si="35"/>
        <v>14797.901866949658</v>
      </c>
      <c r="BC26" s="98">
        <f t="shared" si="35"/>
        <v>15232.144997191357</v>
      </c>
      <c r="BD26" s="98">
        <f t="shared" si="35"/>
        <v>15895.354557670831</v>
      </c>
      <c r="BE26" s="98">
        <f t="shared" si="35"/>
        <v>16180.464496820554</v>
      </c>
      <c r="BF26" s="98">
        <f t="shared" si="35"/>
        <v>15563.721900817276</v>
      </c>
      <c r="BG26" s="98">
        <f t="shared" ref="BG26:BQ26" si="36">SUM(BG27:BG28)</f>
        <v>15132.480037153578</v>
      </c>
      <c r="BH26" s="98">
        <f t="shared" si="36"/>
        <v>14686.576099813001</v>
      </c>
      <c r="BI26" s="98">
        <f t="shared" si="36"/>
        <v>14451.917795806092</v>
      </c>
      <c r="BJ26" s="98">
        <f t="shared" si="36"/>
        <v>15041.469093942746</v>
      </c>
      <c r="BK26" s="98">
        <f t="shared" si="36"/>
        <v>15140.063749429391</v>
      </c>
      <c r="BL26" s="98">
        <f t="shared" si="36"/>
        <v>15786.023587354237</v>
      </c>
      <c r="BM26" s="98">
        <f t="shared" si="36"/>
        <v>16184.346079492687</v>
      </c>
      <c r="BN26" s="98">
        <f t="shared" si="36"/>
        <v>16059.380580268882</v>
      </c>
      <c r="BO26" s="98">
        <f t="shared" si="36"/>
        <v>15745.569406111259</v>
      </c>
      <c r="BP26" s="98">
        <f t="shared" si="36"/>
        <v>15394.682666349438</v>
      </c>
      <c r="BQ26" s="98">
        <f t="shared" si="36"/>
        <v>15259.551902640291</v>
      </c>
      <c r="BR26" s="98">
        <f t="shared" ref="BR26:BT26" si="37">SUM(BR27:BR28)</f>
        <v>15519.602744134303</v>
      </c>
      <c r="BS26" s="98">
        <f t="shared" si="37"/>
        <v>15982.573046355874</v>
      </c>
      <c r="BT26" s="98">
        <f t="shared" si="37"/>
        <v>16110.957772487121</v>
      </c>
      <c r="BU26" s="98">
        <f t="shared" ref="BU26:BY26" si="38">SUM(BU27:BU28)</f>
        <v>16339.917694383385</v>
      </c>
      <c r="BV26" s="98">
        <f t="shared" si="38"/>
        <v>16389.039522946496</v>
      </c>
      <c r="BW26" s="98">
        <f t="shared" si="38"/>
        <v>16242.328236561771</v>
      </c>
      <c r="BX26" s="98">
        <f t="shared" si="38"/>
        <v>16450.037162534554</v>
      </c>
      <c r="BY26" s="98">
        <f t="shared" si="38"/>
        <v>16783.789179583582</v>
      </c>
    </row>
    <row r="27" spans="1:77">
      <c r="A27" s="166" t="s">
        <v>1</v>
      </c>
      <c r="B27" s="147">
        <f>B7/Quarterly!B7*Quarterly!B27</f>
        <v>9768.9830704885899</v>
      </c>
      <c r="C27" s="148">
        <f>C7/Quarterly!C7*Quarterly!C27</f>
        <v>8260.0947969656663</v>
      </c>
      <c r="D27" s="148">
        <f>D7/Quarterly!D7*Quarterly!D27</f>
        <v>7470.543899252094</v>
      </c>
      <c r="E27" s="148">
        <f>E7/Quarterly!E7*Quarterly!E27</f>
        <v>7474.9771229561402</v>
      </c>
      <c r="F27" s="148">
        <f>F7/Quarterly!F7*Quarterly!F27</f>
        <v>8280.1805777329082</v>
      </c>
      <c r="G27" s="148">
        <f>G7/Quarterly!G7*Quarterly!G27</f>
        <v>9608.4070681433514</v>
      </c>
      <c r="H27" s="148">
        <f>H7/Quarterly!H7*Quarterly!H27</f>
        <v>10177.21183227343</v>
      </c>
      <c r="I27" s="148">
        <f>I7/Quarterly!I7*Quarterly!I27</f>
        <v>10294.66327944962</v>
      </c>
      <c r="J27" s="148">
        <f>J7/Quarterly!J7*Quarterly!J27</f>
        <v>9565.6315856827041</v>
      </c>
      <c r="K27" s="148">
        <f>K7/Quarterly!K7*Quarterly!K27</f>
        <v>9596.3176204238698</v>
      </c>
      <c r="L27" s="148">
        <f>L7/Quarterly!L7*Quarterly!L27</f>
        <v>9570.8380012293237</v>
      </c>
      <c r="M27" s="148">
        <f>M7/Quarterly!M7*Quarterly!M27</f>
        <v>9490.4364829240967</v>
      </c>
      <c r="N27" s="148">
        <f>N7/Quarterly!N7*Quarterly!N27</f>
        <v>9775.608301965618</v>
      </c>
      <c r="O27" s="148">
        <f>O7/Quarterly!O7*Quarterly!O27</f>
        <v>9546.3084033721207</v>
      </c>
      <c r="P27" s="148">
        <f>P7/Quarterly!P7*Quarterly!P27</f>
        <v>9518.8660144008118</v>
      </c>
      <c r="Q27" s="148">
        <f>Q7/Quarterly!Q7*Quarterly!Q27</f>
        <v>9729.0480851878128</v>
      </c>
      <c r="R27" s="148">
        <f>R7/Quarterly!R7*Quarterly!R27</f>
        <v>9156.0898959431343</v>
      </c>
      <c r="S27" s="148">
        <f>S7/Quarterly!S7*Quarterly!S27</f>
        <v>9277.0502021235334</v>
      </c>
      <c r="T27" s="148">
        <f>T7/Quarterly!T7*Quarterly!T27</f>
        <v>9439.2555821022179</v>
      </c>
      <c r="U27" s="148">
        <f>U7/Quarterly!U7*Quarterly!U27</f>
        <v>9683.1203305806739</v>
      </c>
      <c r="V27" s="148">
        <f>V7/Quarterly!V7*Quarterly!V27</f>
        <v>9717.989880519508</v>
      </c>
      <c r="W27" s="148">
        <f>W7/Quarterly!W7*Quarterly!W27</f>
        <v>9787.3940930565877</v>
      </c>
      <c r="X27" s="148">
        <f>X7/Quarterly!X7*Quarterly!X27</f>
        <v>9800.3172498392614</v>
      </c>
      <c r="Y27" s="148">
        <f>Y7/Quarterly!Y7*Quarterly!Y27</f>
        <v>9659.7026630912551</v>
      </c>
      <c r="Z27" s="148">
        <f>Z7/Quarterly!Z7*Quarterly!Z27</f>
        <v>9765.550761460725</v>
      </c>
      <c r="AA27" s="148">
        <f>AA7/Quarterly!AA7*Quarterly!AA27</f>
        <v>9706.1088456342313</v>
      </c>
      <c r="AB27" s="148">
        <f>AB7/Quarterly!AB7*Quarterly!AB27</f>
        <v>9680.1448476436071</v>
      </c>
      <c r="AC27" s="148">
        <f>AC7/Quarterly!AC7*Quarterly!AC27</f>
        <v>9675.2336757631874</v>
      </c>
      <c r="AD27" s="148">
        <f>AD7/Quarterly!AD7*Quarterly!AD27</f>
        <v>9775.1817573617936</v>
      </c>
      <c r="AE27" s="148">
        <f>AE7/Quarterly!AE7*Quarterly!AE27</f>
        <v>10099.279772246662</v>
      </c>
      <c r="AF27" s="148">
        <f>AF7/Quarterly!AF7*Quarterly!AF27</f>
        <v>10312.228897494855</v>
      </c>
      <c r="AG27" s="148">
        <f>AG7/Quarterly!AG7*Quarterly!AG27</f>
        <v>10447.201684953601</v>
      </c>
      <c r="AH27" s="148">
        <f>AH7/Quarterly!AH7*Quarterly!AH27</f>
        <v>10926.210686523511</v>
      </c>
      <c r="AI27" s="148">
        <f>AI7/Quarterly!AI7*Quarterly!AI27</f>
        <v>10831.715330443776</v>
      </c>
      <c r="AJ27" s="148">
        <f>AJ7/Quarterly!AJ7*Quarterly!AJ27</f>
        <v>10523.938919889408</v>
      </c>
      <c r="AK27" s="148">
        <f>AK7/Quarterly!AK7*Quarterly!AK27</f>
        <v>10457.288590366083</v>
      </c>
      <c r="AL27" s="148">
        <f>AL7/Quarterly!AL7*Quarterly!AL27</f>
        <v>10456.291916159704</v>
      </c>
      <c r="AM27" s="148">
        <f>AM7/Quarterly!AM7*Quarterly!AM27</f>
        <v>10554.977866065703</v>
      </c>
      <c r="AN27" s="148">
        <f>AN7/Quarterly!AN7*Quarterly!AN27</f>
        <v>10785.932447338255</v>
      </c>
      <c r="AO27" s="148">
        <f>AO7/Quarterly!AO7*Quarterly!AO27</f>
        <v>11070.796069902741</v>
      </c>
      <c r="AP27" s="148">
        <f>AP7/Quarterly!AP7*Quarterly!AP27</f>
        <v>10083.68115239207</v>
      </c>
      <c r="AQ27" s="148">
        <f>AQ7/Quarterly!AQ7*Quarterly!AQ27</f>
        <v>10066.143499136628</v>
      </c>
      <c r="AR27" s="148">
        <f>AR7/Quarterly!AR7*Quarterly!AR27</f>
        <v>10090.140404991073</v>
      </c>
      <c r="AS27" s="148">
        <f>AS7/Quarterly!AS7*Quarterly!AS27</f>
        <v>10125.771520205131</v>
      </c>
      <c r="AT27" s="148">
        <f>AT7/Quarterly!AT7*Quarterly!AT27</f>
        <v>10501.34160597411</v>
      </c>
      <c r="AU27" s="148">
        <f>AU7/Quarterly!AU7*Quarterly!AU27</f>
        <v>10151.308840445927</v>
      </c>
      <c r="AV27" s="148">
        <f>AV7/Quarterly!AV7*Quarterly!AV27</f>
        <v>9974.5709850644835</v>
      </c>
      <c r="AW27" s="148">
        <f>AW7/Quarterly!AW7*Quarterly!AW27</f>
        <v>9952.4787531418042</v>
      </c>
      <c r="AX27" s="148">
        <f>AX7/Quarterly!AX7*Quarterly!AX27</f>
        <v>10243.479175467975</v>
      </c>
      <c r="AY27" s="148">
        <f>AY7/Quarterly!AY7*Quarterly!AY27</f>
        <v>10475.897121391172</v>
      </c>
      <c r="AZ27" s="148">
        <f>AZ7/Quarterly!AZ7*Quarterly!AZ27</f>
        <v>10587.597360733485</v>
      </c>
      <c r="BA27" s="148">
        <f>BA7/Quarterly!BA7*Quarterly!BA27</f>
        <v>10930.842887879135</v>
      </c>
      <c r="BB27" s="148">
        <f>BB7/Quarterly!BB7*Quarterly!BB27</f>
        <v>11384.097532471549</v>
      </c>
      <c r="BC27" s="148">
        <f>BC7/Quarterly!BC7*Quarterly!BC27</f>
        <v>11735.097161428659</v>
      </c>
      <c r="BD27" s="148">
        <f>BD7/Quarterly!BD7*Quarterly!BD27</f>
        <v>12486.620945894669</v>
      </c>
      <c r="BE27" s="148">
        <f>BE7/Quarterly!BE7*Quarterly!BE27</f>
        <v>12774.320102110336</v>
      </c>
      <c r="BF27" s="148">
        <f>BF7/Quarterly!BF7*Quarterly!BF27</f>
        <v>12413.525308189508</v>
      </c>
      <c r="BG27" s="148">
        <f>BG7/Quarterly!BG7*Quarterly!BG27</f>
        <v>11885.382075321833</v>
      </c>
      <c r="BH27" s="148">
        <f>BH7/Quarterly!BH7*Quarterly!BH27</f>
        <v>11483.72377473817</v>
      </c>
      <c r="BI27" s="148">
        <f>BI7/Quarterly!BI7*Quarterly!BI27</f>
        <v>11204.157033396108</v>
      </c>
      <c r="BJ27" s="148">
        <f>BJ7/Quarterly!BJ7*Quarterly!BJ27</f>
        <v>11527.302016748661</v>
      </c>
      <c r="BK27" s="148">
        <f>BK7/Quarterly!BK7*Quarterly!BK27</f>
        <v>11827.057762666245</v>
      </c>
      <c r="BL27" s="148">
        <f>BL7/Quarterly!BL7*Quarterly!BL27</f>
        <v>12236.553365072903</v>
      </c>
      <c r="BM27" s="148">
        <f>BM7/Quarterly!BM7*Quarterly!BM27</f>
        <v>12502.936655949326</v>
      </c>
      <c r="BN27" s="148">
        <f>BN7/Quarterly!BN7*Quarterly!BN27</f>
        <v>12495.269500596842</v>
      </c>
      <c r="BO27" s="148">
        <f>BO7/Quarterly!BO7*Quarterly!BO27</f>
        <v>12197.718373884971</v>
      </c>
      <c r="BP27" s="148">
        <f>BP7/Quarterly!BP7*Quarterly!BP27</f>
        <v>12012.11437620039</v>
      </c>
      <c r="BQ27" s="148">
        <f>BQ7/Quarterly!BQ7*Quarterly!BQ27</f>
        <v>11890.214911126617</v>
      </c>
      <c r="BR27" s="148">
        <f>BR7/Quarterly!BR7*Quarterly!BR27</f>
        <v>12075.881773595898</v>
      </c>
      <c r="BS27" s="148">
        <f>BS7/Quarterly!BS7*Quarterly!BS27</f>
        <v>12338.678948567782</v>
      </c>
      <c r="BT27" s="148">
        <f>BT7/Quarterly!BT7*Quarterly!BT27</f>
        <v>12553.36863323547</v>
      </c>
      <c r="BU27" s="148">
        <f>BU7/Quarterly!BU7*Quarterly!BU27</f>
        <v>12853.087667132433</v>
      </c>
      <c r="BV27" s="148">
        <f>BV7/Quarterly!BV7*Quarterly!BV27</f>
        <v>12849.287866894279</v>
      </c>
      <c r="BW27" s="148">
        <f>BW7/Quarterly!BW7*Quarterly!BW27</f>
        <v>12751.397630393485</v>
      </c>
      <c r="BX27" s="148">
        <f>BX7/Quarterly!BX7*Quarterly!BX27</f>
        <v>12863.70879897654</v>
      </c>
      <c r="BY27" s="148">
        <f>BY7/Quarterly!BY7*Quarterly!BY27</f>
        <v>13064.195362159708</v>
      </c>
    </row>
    <row r="28" spans="1:77">
      <c r="A28" s="167" t="s">
        <v>2</v>
      </c>
      <c r="B28" s="150">
        <f>B8/Quarterly!B8*Quarterly!B28</f>
        <v>4459.72740213405</v>
      </c>
      <c r="C28" s="151">
        <f>C8/Quarterly!C8*Quarterly!C28</f>
        <v>4400.5262630251173</v>
      </c>
      <c r="D28" s="151">
        <f>D8/Quarterly!D8*Quarterly!D28</f>
        <v>4391.2207928530252</v>
      </c>
      <c r="E28" s="151">
        <f>E8/Quarterly!E8*Quarterly!E28</f>
        <v>4363.6582523292082</v>
      </c>
      <c r="F28" s="151">
        <f>F8/Quarterly!F8*Quarterly!F28</f>
        <v>6187.7221475112874</v>
      </c>
      <c r="G28" s="151">
        <f>G8/Quarterly!G8*Quarterly!G28</f>
        <v>6105.1166187509998</v>
      </c>
      <c r="H28" s="151">
        <f>H8/Quarterly!H8*Quarterly!H28</f>
        <v>6113.9470553060592</v>
      </c>
      <c r="I28" s="151">
        <f>I8/Quarterly!I8*Quarterly!I28</f>
        <v>6129.5314415986113</v>
      </c>
      <c r="J28" s="151">
        <f>J8/Quarterly!J8*Quarterly!J28</f>
        <v>6118.6951033649384</v>
      </c>
      <c r="K28" s="151">
        <f>K8/Quarterly!K8*Quarterly!K28</f>
        <v>6194.9936730959935</v>
      </c>
      <c r="L28" s="151">
        <f>L8/Quarterly!L8*Quarterly!L28</f>
        <v>6242.8733719886141</v>
      </c>
      <c r="M28" s="151">
        <f>M8/Quarterly!M8*Quarterly!M28</f>
        <v>6250.8099210249093</v>
      </c>
      <c r="N28" s="151">
        <f>N8/Quarterly!N8*Quarterly!N28</f>
        <v>6193.8316337901251</v>
      </c>
      <c r="O28" s="151">
        <f>O8/Quarterly!O8*Quarterly!O28</f>
        <v>6134.6345115588811</v>
      </c>
      <c r="P28" s="151">
        <f>P8/Quarterly!P8*Quarterly!P28</f>
        <v>6080.0743968676225</v>
      </c>
      <c r="Q28" s="151">
        <f>Q8/Quarterly!Q8*Quarterly!Q28</f>
        <v>6063.6250642761033</v>
      </c>
      <c r="R28" s="151">
        <f>R8/Quarterly!R8*Quarterly!R28</f>
        <v>4452.3164282374419</v>
      </c>
      <c r="S28" s="151">
        <f>S8/Quarterly!S8*Quarterly!S28</f>
        <v>4420.2202530148679</v>
      </c>
      <c r="T28" s="151">
        <f>T8/Quarterly!T8*Quarterly!T28</f>
        <v>4422.1908339999381</v>
      </c>
      <c r="U28" s="151">
        <f>U8/Quarterly!U8*Quarterly!U28</f>
        <v>4436.705780397936</v>
      </c>
      <c r="V28" s="151">
        <f>V8/Quarterly!V8*Quarterly!V28</f>
        <v>4342.8249223662506</v>
      </c>
      <c r="W28" s="151">
        <f>W8/Quarterly!W8*Quarterly!W28</f>
        <v>4328.963074620392</v>
      </c>
      <c r="X28" s="151">
        <f>X8/Quarterly!X8*Quarterly!X28</f>
        <v>4292.6515721336709</v>
      </c>
      <c r="Y28" s="151">
        <f>Y8/Quarterly!Y8*Quarterly!Y28</f>
        <v>4309.5455900971447</v>
      </c>
      <c r="Z28" s="151">
        <f>Z8/Quarterly!Z8*Quarterly!Z28</f>
        <v>4104.6729127252811</v>
      </c>
      <c r="AA28" s="151">
        <f>AA8/Quarterly!AA8*Quarterly!AA28</f>
        <v>4124.356475634534</v>
      </c>
      <c r="AB28" s="151">
        <f>AB8/Quarterly!AB8*Quarterly!AB28</f>
        <v>4096.6984612816059</v>
      </c>
      <c r="AC28" s="151">
        <f>AC8/Quarterly!AC8*Quarterly!AC28</f>
        <v>4065.3885953329777</v>
      </c>
      <c r="AD28" s="151">
        <f>AD8/Quarterly!AD8*Quarterly!AD28</f>
        <v>3617.1124431509329</v>
      </c>
      <c r="AE28" s="151">
        <f>AE8/Quarterly!AE8*Quarterly!AE28</f>
        <v>3643.9802124369699</v>
      </c>
      <c r="AF28" s="151">
        <f>AF8/Quarterly!AF8*Quarterly!AF28</f>
        <v>3677.6729605738678</v>
      </c>
      <c r="AG28" s="151">
        <f>AG8/Quarterly!AG8*Quarterly!AG28</f>
        <v>3704.367505187417</v>
      </c>
      <c r="AH28" s="151">
        <f>AH8/Quarterly!AH8*Quarterly!AH28</f>
        <v>3815.0662443884403</v>
      </c>
      <c r="AI28" s="151">
        <f>AI8/Quarterly!AI8*Quarterly!AI28</f>
        <v>3857.5301722729505</v>
      </c>
      <c r="AJ28" s="151">
        <f>AJ8/Quarterly!AJ8*Quarterly!AJ28</f>
        <v>3906.1668738211893</v>
      </c>
      <c r="AK28" s="151">
        <f>AK8/Quarterly!AK8*Quarterly!AK28</f>
        <v>3924.2048276983928</v>
      </c>
      <c r="AL28" s="151">
        <f>AL8/Quarterly!AL8*Quarterly!AL28</f>
        <v>3963.2668005178934</v>
      </c>
      <c r="AM28" s="151">
        <f>AM8/Quarterly!AM8*Quarterly!AM28</f>
        <v>3914.664354426402</v>
      </c>
      <c r="AN28" s="151">
        <f>AN8/Quarterly!AN8*Quarterly!AN28</f>
        <v>4019.3087195062576</v>
      </c>
      <c r="AO28" s="151">
        <f>AO8/Quarterly!AO8*Quarterly!AO28</f>
        <v>3916.2484877424363</v>
      </c>
      <c r="AP28" s="151">
        <f>AP8/Quarterly!AP8*Quarterly!AP28</f>
        <v>3747.3026670443523</v>
      </c>
      <c r="AQ28" s="151">
        <f>AQ8/Quarterly!AQ8*Quarterly!AQ28</f>
        <v>3717.5126195071844</v>
      </c>
      <c r="AR28" s="151">
        <f>AR8/Quarterly!AR8*Quarterly!AR28</f>
        <v>3689.9253571752301</v>
      </c>
      <c r="AS28" s="151">
        <f>AS8/Quarterly!AS8*Quarterly!AS28</f>
        <v>3669.220574840007</v>
      </c>
      <c r="AT28" s="151">
        <f>AT8/Quarterly!AT8*Quarterly!AT28</f>
        <v>3497.966793878923</v>
      </c>
      <c r="AU28" s="151">
        <f>AU8/Quarterly!AU8*Quarterly!AU28</f>
        <v>3555.4230214634317</v>
      </c>
      <c r="AV28" s="151">
        <f>AV8/Quarterly!AV8*Quarterly!AV28</f>
        <v>3607.0976228664254</v>
      </c>
      <c r="AW28" s="151">
        <f>AW8/Quarterly!AW8*Quarterly!AW28</f>
        <v>3668.0260219311058</v>
      </c>
      <c r="AX28" s="151">
        <f>AX8/Quarterly!AX8*Quarterly!AX28</f>
        <v>3760.5229955002428</v>
      </c>
      <c r="AY28" s="151">
        <f>AY8/Quarterly!AY8*Quarterly!AY28</f>
        <v>3664.2524852302536</v>
      </c>
      <c r="AZ28" s="151">
        <f>AZ8/Quarterly!AZ8*Quarterly!AZ28</f>
        <v>3658.0832648174528</v>
      </c>
      <c r="BA28" s="151">
        <f>BA8/Quarterly!BA8*Quarterly!BA28</f>
        <v>3602.769372363583</v>
      </c>
      <c r="BB28" s="151">
        <f>BB8/Quarterly!BB8*Quarterly!BB28</f>
        <v>3413.8043344781081</v>
      </c>
      <c r="BC28" s="151">
        <f>BC8/Quarterly!BC8*Quarterly!BC28</f>
        <v>3497.047835762698</v>
      </c>
      <c r="BD28" s="151">
        <f>BD8/Quarterly!BD8*Quarterly!BD28</f>
        <v>3408.7336117761624</v>
      </c>
      <c r="BE28" s="151">
        <f>BE8/Quarterly!BE8*Quarterly!BE28</f>
        <v>3406.1443947102175</v>
      </c>
      <c r="BF28" s="151">
        <f>BF8/Quarterly!BF8*Quarterly!BF28</f>
        <v>3150.1965926277676</v>
      </c>
      <c r="BG28" s="151">
        <f>BG8/Quarterly!BG8*Quarterly!BG28</f>
        <v>3247.097961831746</v>
      </c>
      <c r="BH28" s="151">
        <f>BH8/Quarterly!BH8*Quarterly!BH28</f>
        <v>3202.8523250748312</v>
      </c>
      <c r="BI28" s="151">
        <f>BI8/Quarterly!BI8*Quarterly!BI28</f>
        <v>3247.7607624099833</v>
      </c>
      <c r="BJ28" s="151">
        <f>BJ8/Quarterly!BJ8*Quarterly!BJ28</f>
        <v>3514.1670771940853</v>
      </c>
      <c r="BK28" s="151">
        <f>BK8/Quarterly!BK8*Quarterly!BK28</f>
        <v>3313.0059867631471</v>
      </c>
      <c r="BL28" s="151">
        <f>BL8/Quarterly!BL8*Quarterly!BL28</f>
        <v>3549.4702222813335</v>
      </c>
      <c r="BM28" s="151">
        <f>BM8/Quarterly!BM8*Quarterly!BM28</f>
        <v>3681.4094235433599</v>
      </c>
      <c r="BN28" s="151">
        <f>BN8/Quarterly!BN8*Quarterly!BN28</f>
        <v>3564.1110796720404</v>
      </c>
      <c r="BO28" s="151">
        <f>BO8/Quarterly!BO8*Quarterly!BO28</f>
        <v>3547.8510322262873</v>
      </c>
      <c r="BP28" s="151">
        <f>BP8/Quarterly!BP8*Quarterly!BP28</f>
        <v>3382.5682901490472</v>
      </c>
      <c r="BQ28" s="151">
        <f>BQ8/Quarterly!BQ8*Quarterly!BQ28</f>
        <v>3369.3369915136732</v>
      </c>
      <c r="BR28" s="151">
        <f>BR8/Quarterly!BR8*Quarterly!BR28</f>
        <v>3443.7209705384053</v>
      </c>
      <c r="BS28" s="151">
        <f>BS8/Quarterly!BS8*Quarterly!BS28</f>
        <v>3643.8940977880916</v>
      </c>
      <c r="BT28" s="151">
        <f>BT8/Quarterly!BT8*Quarterly!BT28</f>
        <v>3557.589139251651</v>
      </c>
      <c r="BU28" s="151">
        <f>BU8/Quarterly!BU8*Quarterly!BU28</f>
        <v>3486.8300272509523</v>
      </c>
      <c r="BV28" s="151">
        <f>BV8/Quarterly!BV8*Quarterly!BV28</f>
        <v>3539.7516560522172</v>
      </c>
      <c r="BW28" s="151">
        <f>BW8/Quarterly!BW8*Quarterly!BW28</f>
        <v>3490.9306061682855</v>
      </c>
      <c r="BX28" s="151">
        <f>BX8/Quarterly!BX8*Quarterly!BX28</f>
        <v>3586.3283635580128</v>
      </c>
      <c r="BY28" s="151">
        <f>BY8/Quarterly!BY8*Quarterly!BY28</f>
        <v>3719.593817423875</v>
      </c>
    </row>
    <row r="29" spans="1:77">
      <c r="A29" s="168" t="s">
        <v>3</v>
      </c>
      <c r="B29" s="125">
        <f t="shared" ref="B29:H29" si="39">SUM(B30:B32)</f>
        <v>49820.23079769469</v>
      </c>
      <c r="C29" s="126">
        <f t="shared" si="39"/>
        <v>50344.40254100044</v>
      </c>
      <c r="D29" s="126">
        <f t="shared" si="39"/>
        <v>50688.782253664147</v>
      </c>
      <c r="E29" s="126">
        <f t="shared" si="39"/>
        <v>50349.048171195573</v>
      </c>
      <c r="F29" s="126">
        <f t="shared" si="39"/>
        <v>50903.247095181279</v>
      </c>
      <c r="G29" s="126">
        <f t="shared" si="39"/>
        <v>51046.919990635914</v>
      </c>
      <c r="H29" s="126">
        <f t="shared" si="39"/>
        <v>51618.214196447509</v>
      </c>
      <c r="I29" s="126">
        <f t="shared" ref="I29:BF29" si="40">SUM(I30:I32)</f>
        <v>52188.151329268745</v>
      </c>
      <c r="J29" s="126">
        <f t="shared" si="40"/>
        <v>52448.176613701726</v>
      </c>
      <c r="K29" s="126">
        <f t="shared" si="40"/>
        <v>53314.008513124973</v>
      </c>
      <c r="L29" s="126">
        <f t="shared" si="40"/>
        <v>53182.038441144592</v>
      </c>
      <c r="M29" s="126">
        <f t="shared" si="40"/>
        <v>52979.696370431135</v>
      </c>
      <c r="N29" s="126">
        <f t="shared" si="40"/>
        <v>52464.414525235814</v>
      </c>
      <c r="O29" s="126">
        <f t="shared" si="40"/>
        <v>52264.104876240373</v>
      </c>
      <c r="P29" s="126">
        <f t="shared" si="40"/>
        <v>51602.347389876246</v>
      </c>
      <c r="Q29" s="126">
        <f t="shared" si="40"/>
        <v>51404.659232472113</v>
      </c>
      <c r="R29" s="126">
        <f t="shared" si="40"/>
        <v>51501.860309190044</v>
      </c>
      <c r="S29" s="126">
        <f t="shared" si="40"/>
        <v>51859.183730500656</v>
      </c>
      <c r="T29" s="126">
        <f t="shared" si="40"/>
        <v>52584.860933572985</v>
      </c>
      <c r="U29" s="126">
        <f t="shared" si="40"/>
        <v>53582.453256225315</v>
      </c>
      <c r="V29" s="126">
        <f t="shared" si="40"/>
        <v>55099.660690851</v>
      </c>
      <c r="W29" s="126">
        <f t="shared" si="40"/>
        <v>55980.114814501278</v>
      </c>
      <c r="X29" s="126">
        <f t="shared" si="40"/>
        <v>57100.929039912538</v>
      </c>
      <c r="Y29" s="126">
        <f t="shared" si="40"/>
        <v>58074.141134600817</v>
      </c>
      <c r="Z29" s="126">
        <f t="shared" si="40"/>
        <v>59549.609811982395</v>
      </c>
      <c r="AA29" s="126">
        <f t="shared" si="40"/>
        <v>59523.973132810279</v>
      </c>
      <c r="AB29" s="126">
        <f t="shared" si="40"/>
        <v>59010.024125006115</v>
      </c>
      <c r="AC29" s="126">
        <f t="shared" si="40"/>
        <v>59436.819832651425</v>
      </c>
      <c r="AD29" s="126">
        <f t="shared" si="40"/>
        <v>58776.215258195472</v>
      </c>
      <c r="AE29" s="126">
        <f t="shared" si="40"/>
        <v>59825.412143249829</v>
      </c>
      <c r="AF29" s="126">
        <f t="shared" si="40"/>
        <v>60561.119345097315</v>
      </c>
      <c r="AG29" s="126">
        <f t="shared" si="40"/>
        <v>60797.000504140087</v>
      </c>
      <c r="AH29" s="126">
        <f t="shared" si="40"/>
        <v>59761.086836486335</v>
      </c>
      <c r="AI29" s="126">
        <f t="shared" si="40"/>
        <v>59188.095610324373</v>
      </c>
      <c r="AJ29" s="126">
        <f t="shared" si="40"/>
        <v>58778.632650058767</v>
      </c>
      <c r="AK29" s="126">
        <f t="shared" si="40"/>
        <v>58647.24660357536</v>
      </c>
      <c r="AL29" s="126">
        <f t="shared" si="40"/>
        <v>60241.031753697913</v>
      </c>
      <c r="AM29" s="126">
        <f t="shared" si="40"/>
        <v>61696.835262782435</v>
      </c>
      <c r="AN29" s="126">
        <f t="shared" si="40"/>
        <v>63240.937789614138</v>
      </c>
      <c r="AO29" s="126">
        <f t="shared" si="40"/>
        <v>63692.060535645396</v>
      </c>
      <c r="AP29" s="126">
        <f t="shared" si="40"/>
        <v>63950.444521559271</v>
      </c>
      <c r="AQ29" s="126">
        <f t="shared" si="40"/>
        <v>66212.851364621791</v>
      </c>
      <c r="AR29" s="126">
        <f t="shared" si="40"/>
        <v>67693.727564278743</v>
      </c>
      <c r="AS29" s="126">
        <f t="shared" si="40"/>
        <v>67930.45300565903</v>
      </c>
      <c r="AT29" s="126">
        <f t="shared" si="40"/>
        <v>68469.112577627631</v>
      </c>
      <c r="AU29" s="126">
        <f t="shared" si="40"/>
        <v>69729.935861966427</v>
      </c>
      <c r="AV29" s="126">
        <f t="shared" si="40"/>
        <v>71036.810479101769</v>
      </c>
      <c r="AW29" s="126">
        <f t="shared" si="40"/>
        <v>72330.090287967992</v>
      </c>
      <c r="AX29" s="126">
        <f t="shared" si="40"/>
        <v>73635.039027963867</v>
      </c>
      <c r="AY29" s="126">
        <f t="shared" si="40"/>
        <v>74186.692670620178</v>
      </c>
      <c r="AZ29" s="126">
        <f t="shared" si="40"/>
        <v>74375.043326486353</v>
      </c>
      <c r="BA29" s="126">
        <f t="shared" si="40"/>
        <v>76078.524339389798</v>
      </c>
      <c r="BB29" s="126">
        <f t="shared" si="40"/>
        <v>75689.576034027952</v>
      </c>
      <c r="BC29" s="126">
        <f t="shared" si="40"/>
        <v>78304.111081879528</v>
      </c>
      <c r="BD29" s="126">
        <f t="shared" si="40"/>
        <v>77599.340956944623</v>
      </c>
      <c r="BE29" s="126">
        <f t="shared" si="40"/>
        <v>74408.671658887703</v>
      </c>
      <c r="BF29" s="126">
        <f t="shared" si="40"/>
        <v>70628.340586356106</v>
      </c>
      <c r="BG29" s="126">
        <f t="shared" ref="BG29:BQ29" si="41">SUM(BG30:BG32)</f>
        <v>69169.079602056445</v>
      </c>
      <c r="BH29" s="126">
        <f t="shared" si="41"/>
        <v>70580.30304887949</v>
      </c>
      <c r="BI29" s="126">
        <f t="shared" si="41"/>
        <v>72190.448981048015</v>
      </c>
      <c r="BJ29" s="126">
        <f t="shared" si="41"/>
        <v>73500.626374123851</v>
      </c>
      <c r="BK29" s="126">
        <f t="shared" si="41"/>
        <v>74555.483483011471</v>
      </c>
      <c r="BL29" s="126">
        <f t="shared" si="41"/>
        <v>74160.909151283471</v>
      </c>
      <c r="BM29" s="126">
        <f t="shared" si="41"/>
        <v>74973.459079640714</v>
      </c>
      <c r="BN29" s="126">
        <f t="shared" si="41"/>
        <v>76836.073365190139</v>
      </c>
      <c r="BO29" s="126">
        <f t="shared" si="41"/>
        <v>76081.723484415968</v>
      </c>
      <c r="BP29" s="126">
        <f t="shared" si="41"/>
        <v>75955.25070782812</v>
      </c>
      <c r="BQ29" s="126">
        <f t="shared" si="41"/>
        <v>76619.214785668126</v>
      </c>
      <c r="BR29" s="126">
        <f t="shared" ref="BR29:BT29" si="42">SUM(BR30:BR32)</f>
        <v>77603.454574003757</v>
      </c>
      <c r="BS29" s="126">
        <f t="shared" si="42"/>
        <v>77364.497859563111</v>
      </c>
      <c r="BT29" s="126">
        <f t="shared" si="42"/>
        <v>77579.600769242184</v>
      </c>
      <c r="BU29" s="126">
        <f t="shared" ref="BU29:BY29" si="43">SUM(BU30:BU32)</f>
        <v>78323.08278179144</v>
      </c>
      <c r="BV29" s="126">
        <f t="shared" si="43"/>
        <v>77035.821327315789</v>
      </c>
      <c r="BW29" s="126">
        <f t="shared" si="43"/>
        <v>78914.157212302729</v>
      </c>
      <c r="BX29" s="126">
        <f t="shared" si="43"/>
        <v>77915.132439175053</v>
      </c>
      <c r="BY29" s="126">
        <f t="shared" si="43"/>
        <v>79775.058075932553</v>
      </c>
    </row>
    <row r="30" spans="1:77">
      <c r="A30" s="166" t="s">
        <v>4</v>
      </c>
      <c r="B30" s="147">
        <f>B10/Quarterly!B10*Quarterly!B30</f>
        <v>40724.062596951095</v>
      </c>
      <c r="C30" s="148">
        <f>C10/Quarterly!C10*Quarterly!C30</f>
        <v>41241.766935894884</v>
      </c>
      <c r="D30" s="148">
        <f>D10/Quarterly!D10*Quarterly!D30</f>
        <v>41580.572819861336</v>
      </c>
      <c r="E30" s="148">
        <f>E10/Quarterly!E10*Quarterly!E30</f>
        <v>41279.997647292665</v>
      </c>
      <c r="F30" s="148">
        <f>F10/Quarterly!F10*Quarterly!F30</f>
        <v>41796.673998106569</v>
      </c>
      <c r="G30" s="148">
        <f>G10/Quarterly!G10*Quarterly!G30</f>
        <v>41699.197000048676</v>
      </c>
      <c r="H30" s="148">
        <f>H10/Quarterly!H10*Quarterly!H30</f>
        <v>41952.639096454099</v>
      </c>
      <c r="I30" s="148">
        <f>I10/Quarterly!I10*Quarterly!I30</f>
        <v>42259.03314237728</v>
      </c>
      <c r="J30" s="148">
        <f>J10/Quarterly!J10*Quarterly!J30</f>
        <v>42503.500884620742</v>
      </c>
      <c r="K30" s="148">
        <f>K10/Quarterly!K10*Quarterly!K30</f>
        <v>43296.72951509519</v>
      </c>
      <c r="L30" s="148">
        <f>L10/Quarterly!L10*Quarterly!L30</f>
        <v>43228.856286060603</v>
      </c>
      <c r="M30" s="148">
        <f>M10/Quarterly!M10*Quarterly!M30</f>
        <v>43124.351854491157</v>
      </c>
      <c r="N30" s="148">
        <f>N10/Quarterly!N10*Quarterly!N30</f>
        <v>43202.592647152953</v>
      </c>
      <c r="O30" s="148">
        <f>O10/Quarterly!O10*Quarterly!O30</f>
        <v>43168.933301895653</v>
      </c>
      <c r="P30" s="148">
        <f>P10/Quarterly!P10*Quarterly!P30</f>
        <v>42616.806912589753</v>
      </c>
      <c r="Q30" s="148">
        <f>Q10/Quarterly!Q10*Quarterly!Q30</f>
        <v>42390.135189234934</v>
      </c>
      <c r="R30" s="148">
        <f>R10/Quarterly!R10*Quarterly!R30</f>
        <v>42727.926218138382</v>
      </c>
      <c r="S30" s="148">
        <f>S10/Quarterly!S10*Quarterly!S30</f>
        <v>43040.343452630026</v>
      </c>
      <c r="T30" s="148">
        <f>T10/Quarterly!T10*Quarterly!T30</f>
        <v>43729.733854030586</v>
      </c>
      <c r="U30" s="148">
        <f>U10/Quarterly!U10*Quarterly!U30</f>
        <v>44628.031894192391</v>
      </c>
      <c r="V30" s="148">
        <f>V10/Quarterly!V10*Quarterly!V30</f>
        <v>45980.502967402579</v>
      </c>
      <c r="W30" s="148">
        <f>W10/Quarterly!W10*Quarterly!W30</f>
        <v>46732.796729910486</v>
      </c>
      <c r="X30" s="148">
        <f>X10/Quarterly!X10*Quarterly!X30</f>
        <v>47709.947798527777</v>
      </c>
      <c r="Y30" s="148">
        <f>Y10/Quarterly!Y10*Quarterly!Y30</f>
        <v>48660.126864164326</v>
      </c>
      <c r="Z30" s="148">
        <f>Z10/Quarterly!Z10*Quarterly!Z30</f>
        <v>48837.392021305292</v>
      </c>
      <c r="AA30" s="148">
        <f>AA10/Quarterly!AA10*Quarterly!AA30</f>
        <v>48837.731088920387</v>
      </c>
      <c r="AB30" s="148">
        <f>AB10/Quarterly!AB10*Quarterly!AB30</f>
        <v>48315.829739093344</v>
      </c>
      <c r="AC30" s="148">
        <f>AC10/Quarterly!AC10*Quarterly!AC30</f>
        <v>48719.77794232317</v>
      </c>
      <c r="AD30" s="148">
        <f>AD10/Quarterly!AD10*Quarterly!AD30</f>
        <v>49034.725206734998</v>
      </c>
      <c r="AE30" s="148">
        <f>AE10/Quarterly!AE10*Quarterly!AE30</f>
        <v>49891.575276041433</v>
      </c>
      <c r="AF30" s="148">
        <f>AF10/Quarterly!AF10*Quarterly!AF30</f>
        <v>50451.834790961519</v>
      </c>
      <c r="AG30" s="148">
        <f>AG10/Quarterly!AG10*Quarterly!AG30</f>
        <v>50464.402545941222</v>
      </c>
      <c r="AH30" s="148">
        <f>AH10/Quarterly!AH10*Quarterly!AH30</f>
        <v>50292.52579063442</v>
      </c>
      <c r="AI30" s="148">
        <f>AI10/Quarterly!AI10*Quarterly!AI30</f>
        <v>49657.831427389872</v>
      </c>
      <c r="AJ30" s="148">
        <f>AJ10/Quarterly!AJ10*Quarterly!AJ30</f>
        <v>49168.763450239203</v>
      </c>
      <c r="AK30" s="148">
        <f>AK10/Quarterly!AK10*Quarterly!AK30</f>
        <v>48892.75015370817</v>
      </c>
      <c r="AL30" s="148">
        <f>AL10/Quarterly!AL10*Quarterly!AL30</f>
        <v>50249.511649132335</v>
      </c>
      <c r="AM30" s="148">
        <f>AM10/Quarterly!AM10*Quarterly!AM30</f>
        <v>51470.233570671604</v>
      </c>
      <c r="AN30" s="148">
        <f>AN10/Quarterly!AN10*Quarterly!AN30</f>
        <v>52699.665829625243</v>
      </c>
      <c r="AO30" s="148">
        <f>AO10/Quarterly!AO10*Quarterly!AO30</f>
        <v>52899.366248394275</v>
      </c>
      <c r="AP30" s="148">
        <f>AP10/Quarterly!AP10*Quarterly!AP30</f>
        <v>52872.570517784341</v>
      </c>
      <c r="AQ30" s="148">
        <f>AQ10/Quarterly!AQ10*Quarterly!AQ30</f>
        <v>54921.515148276172</v>
      </c>
      <c r="AR30" s="148">
        <f>AR10/Quarterly!AR10*Quarterly!AR30</f>
        <v>56180.143158905325</v>
      </c>
      <c r="AS30" s="148">
        <f>AS10/Quarterly!AS10*Quarterly!AS30</f>
        <v>56133.866322458896</v>
      </c>
      <c r="AT30" s="148">
        <f>AT10/Quarterly!AT10*Quarterly!AT30</f>
        <v>56694.81508015548</v>
      </c>
      <c r="AU30" s="148">
        <f>AU10/Quarterly!AU10*Quarterly!AU30</f>
        <v>57778.287291691995</v>
      </c>
      <c r="AV30" s="148">
        <f>AV10/Quarterly!AV10*Quarterly!AV30</f>
        <v>58908.5174330761</v>
      </c>
      <c r="AW30" s="148">
        <f>AW10/Quarterly!AW10*Quarterly!AW30</f>
        <v>60012.300781559985</v>
      </c>
      <c r="AX30" s="148">
        <f>AX10/Quarterly!AX10*Quarterly!AX30</f>
        <v>60920.766538469143</v>
      </c>
      <c r="AY30" s="148">
        <f>AY10/Quarterly!AY10*Quarterly!AY30</f>
        <v>61180.239452820337</v>
      </c>
      <c r="AZ30" s="148">
        <f>AZ10/Quarterly!AZ10*Quarterly!AZ30</f>
        <v>61162.246226045027</v>
      </c>
      <c r="BA30" s="148">
        <f>BA10/Quarterly!BA10*Quarterly!BA30</f>
        <v>62499.672188003729</v>
      </c>
      <c r="BB30" s="148">
        <f>BB10/Quarterly!BB10*Quarterly!BB30</f>
        <v>62420.11167106092</v>
      </c>
      <c r="BC30" s="148">
        <f>BC10/Quarterly!BC10*Quarterly!BC30</f>
        <v>64953.012191418791</v>
      </c>
      <c r="BD30" s="148">
        <f>BD10/Quarterly!BD10*Quarterly!BD30</f>
        <v>63851.156043056326</v>
      </c>
      <c r="BE30" s="148">
        <f>BE10/Quarterly!BE10*Quarterly!BE30</f>
        <v>60829.207303972405</v>
      </c>
      <c r="BF30" s="148">
        <f>BF10/Quarterly!BF10*Quarterly!BF30</f>
        <v>56904.695921143088</v>
      </c>
      <c r="BG30" s="148">
        <f>BG10/Quarterly!BG10*Quarterly!BG30</f>
        <v>55377.271696714684</v>
      </c>
      <c r="BH30" s="148">
        <f>BH10/Quarterly!BH10*Quarterly!BH30</f>
        <v>56578.263502850416</v>
      </c>
      <c r="BI30" s="148">
        <f>BI10/Quarterly!BI10*Quarterly!BI30</f>
        <v>58102.979354239702</v>
      </c>
      <c r="BJ30" s="148">
        <f>BJ10/Quarterly!BJ10*Quarterly!BJ30</f>
        <v>59359.421507170511</v>
      </c>
      <c r="BK30" s="148">
        <f>BK10/Quarterly!BK10*Quarterly!BK30</f>
        <v>60474.604805942152</v>
      </c>
      <c r="BL30" s="148">
        <f>BL10/Quarterly!BL10*Quarterly!BL30</f>
        <v>60112.608935104683</v>
      </c>
      <c r="BM30" s="148">
        <f>BM10/Quarterly!BM10*Quarterly!BM30</f>
        <v>60824.470518891925</v>
      </c>
      <c r="BN30" s="148">
        <f>BN10/Quarterly!BN10*Quarterly!BN30</f>
        <v>62634.923343188435</v>
      </c>
      <c r="BO30" s="148">
        <f>BO10/Quarterly!BO10*Quarterly!BO30</f>
        <v>61863.142504143543</v>
      </c>
      <c r="BP30" s="148">
        <f>BP10/Quarterly!BP10*Quarterly!BP30</f>
        <v>61762.031367018302</v>
      </c>
      <c r="BQ30" s="148">
        <f>BQ10/Quarterly!BQ10*Quarterly!BQ30</f>
        <v>62400.608617952261</v>
      </c>
      <c r="BR30" s="148">
        <f>BR10/Quarterly!BR10*Quarterly!BR30</f>
        <v>63375.597726609398</v>
      </c>
      <c r="BS30" s="148">
        <f>BS10/Quarterly!BS10*Quarterly!BS30</f>
        <v>63204.8967103471</v>
      </c>
      <c r="BT30" s="148">
        <f>BT10/Quarterly!BT10*Quarterly!BT30</f>
        <v>63340.348512481229</v>
      </c>
      <c r="BU30" s="148">
        <f>BU10/Quarterly!BU10*Quarterly!BU30</f>
        <v>64022.104430435458</v>
      </c>
      <c r="BV30" s="148">
        <f>BV10/Quarterly!BV10*Quarterly!BV30</f>
        <v>62721.509916718111</v>
      </c>
      <c r="BW30" s="148">
        <f>BW10/Quarterly!BW10*Quarterly!BW30</f>
        <v>64480.568274020479</v>
      </c>
      <c r="BX30" s="148">
        <f>BX10/Quarterly!BX10*Quarterly!BX30</f>
        <v>63381.965352739484</v>
      </c>
      <c r="BY30" s="148">
        <f>BY10/Quarterly!BY10*Quarterly!BY30</f>
        <v>65253.963795045907</v>
      </c>
    </row>
    <row r="31" spans="1:77">
      <c r="A31" s="166" t="s">
        <v>5</v>
      </c>
      <c r="B31" s="147">
        <f>B11/Quarterly!B11*Quarterly!B31</f>
        <v>4522.2190889434496</v>
      </c>
      <c r="C31" s="148">
        <f>C11/Quarterly!C11*Quarterly!C31</f>
        <v>4524.0208496078112</v>
      </c>
      <c r="D31" s="148">
        <f>D11/Quarterly!D11*Quarterly!D31</f>
        <v>4496.3603016843535</v>
      </c>
      <c r="E31" s="148">
        <f>E11/Quarterly!E11*Quarterly!E31</f>
        <v>4438.5424211993213</v>
      </c>
      <c r="F31" s="148">
        <f>F11/Quarterly!F11*Quarterly!F31</f>
        <v>4638.5357682298163</v>
      </c>
      <c r="G31" s="148">
        <f>G11/Quarterly!G11*Quarterly!G31</f>
        <v>4833.0657429028261</v>
      </c>
      <c r="H31" s="148">
        <f>H11/Quarterly!H11*Quarterly!H31</f>
        <v>5124.2384684601593</v>
      </c>
      <c r="I31" s="148">
        <f>I11/Quarterly!I11*Quarterly!I31</f>
        <v>5376.548404672686</v>
      </c>
      <c r="J31" s="148">
        <f>J11/Quarterly!J11*Quarterly!J31</f>
        <v>5239.399476136492</v>
      </c>
      <c r="K31" s="148">
        <f>K11/Quarterly!K11*Quarterly!K31</f>
        <v>5253.1657463952952</v>
      </c>
      <c r="L31" s="148">
        <f>L11/Quarterly!L11*Quarterly!L31</f>
        <v>5146.876722082794</v>
      </c>
      <c r="M31" s="148">
        <f>M11/Quarterly!M11*Quarterly!M31</f>
        <v>5020.6265110529912</v>
      </c>
      <c r="N31" s="148">
        <f>N11/Quarterly!N11*Quarterly!N31</f>
        <v>4935.4807661286441</v>
      </c>
      <c r="O31" s="148">
        <f>O11/Quarterly!O11*Quarterly!O31</f>
        <v>4869.283365305796</v>
      </c>
      <c r="P31" s="148">
        <f>P11/Quarterly!P11*Quarterly!P31</f>
        <v>4798.1580153303166</v>
      </c>
      <c r="Q31" s="148">
        <f>Q11/Quarterly!Q11*Quarterly!Q31</f>
        <v>4794.4949315818685</v>
      </c>
      <c r="R31" s="148">
        <f>R11/Quarterly!R11*Quarterly!R31</f>
        <v>4784.3589655167416</v>
      </c>
      <c r="S31" s="148">
        <f>S11/Quarterly!S11*Quarterly!S31</f>
        <v>4832.665633318149</v>
      </c>
      <c r="T31" s="148">
        <f>T11/Quarterly!T11*Quarterly!T31</f>
        <v>4856.3485826185297</v>
      </c>
      <c r="U31" s="148">
        <f>U11/Quarterly!U11*Quarterly!U31</f>
        <v>4935.4367144735488</v>
      </c>
      <c r="V31" s="148">
        <f>V11/Quarterly!V11*Quarterly!V31</f>
        <v>5119.4879095408696</v>
      </c>
      <c r="W31" s="148">
        <f>W11/Quarterly!W11*Quarterly!W31</f>
        <v>5156.7107770270286</v>
      </c>
      <c r="X31" s="148">
        <f>X11/Quarterly!X11*Quarterly!X31</f>
        <v>5176.5652483292433</v>
      </c>
      <c r="Y31" s="148">
        <f>Y11/Quarterly!Y11*Quarterly!Y31</f>
        <v>5094.8822325393539</v>
      </c>
      <c r="Z31" s="148">
        <f>Z11/Quarterly!Z11*Quarterly!Z31</f>
        <v>5195.575809714308</v>
      </c>
      <c r="AA31" s="148">
        <f>AA11/Quarterly!AA11*Quarterly!AA31</f>
        <v>5122.8075772745624</v>
      </c>
      <c r="AB31" s="148">
        <f>AB11/Quarterly!AB11*Quarterly!AB31</f>
        <v>5113.651950977629</v>
      </c>
      <c r="AC31" s="148">
        <f>AC11/Quarterly!AC11*Quarterly!AC31</f>
        <v>5083.6670886137908</v>
      </c>
      <c r="AD31" s="148">
        <f>AD11/Quarterly!AD11*Quarterly!AD31</f>
        <v>5472.3005054417772</v>
      </c>
      <c r="AE31" s="148">
        <f>AE11/Quarterly!AE11*Quarterly!AE31</f>
        <v>5599.630471392783</v>
      </c>
      <c r="AF31" s="148">
        <f>AF11/Quarterly!AF11*Quarterly!AF31</f>
        <v>5669.5196238923891</v>
      </c>
      <c r="AG31" s="148">
        <f>AG11/Quarterly!AG11*Quarterly!AG31</f>
        <v>5765.051644174443</v>
      </c>
      <c r="AH31" s="148">
        <f>AH11/Quarterly!AH11*Quarterly!AH31</f>
        <v>4952.8748213869421</v>
      </c>
      <c r="AI31" s="148">
        <f>AI11/Quarterly!AI11*Quarterly!AI31</f>
        <v>4954.401915370926</v>
      </c>
      <c r="AJ31" s="148">
        <f>AJ11/Quarterly!AJ11*Quarterly!AJ31</f>
        <v>4976.4599395840232</v>
      </c>
      <c r="AK31" s="148">
        <f>AK11/Quarterly!AK11*Quarterly!AK31</f>
        <v>5032.2837085540905</v>
      </c>
      <c r="AL31" s="148">
        <f>AL11/Quarterly!AL11*Quarterly!AL31</f>
        <v>5152.914091702095</v>
      </c>
      <c r="AM31" s="148">
        <f>AM11/Quarterly!AM11*Quarterly!AM31</f>
        <v>5252.8415408296833</v>
      </c>
      <c r="AN31" s="148">
        <f>AN11/Quarterly!AN11*Quarterly!AN31</f>
        <v>5431.0398076186384</v>
      </c>
      <c r="AO31" s="148">
        <f>AO11/Quarterly!AO11*Quarterly!AO31</f>
        <v>5536.7650950915131</v>
      </c>
      <c r="AP31" s="148">
        <f>AP11/Quarterly!AP11*Quarterly!AP31</f>
        <v>5599.9626088671585</v>
      </c>
      <c r="AQ31" s="148">
        <f>AQ11/Quarterly!AQ11*Quarterly!AQ31</f>
        <v>5652.3753258429269</v>
      </c>
      <c r="AR31" s="148">
        <f>AR11/Quarterly!AR11*Quarterly!AR31</f>
        <v>5696.339940411417</v>
      </c>
      <c r="AS31" s="148">
        <f>AS11/Quarterly!AS11*Quarterly!AS31</f>
        <v>5816.5098868986233</v>
      </c>
      <c r="AT31" s="148">
        <f>AT11/Quarterly!AT11*Quarterly!AT31</f>
        <v>5851.6593895154028</v>
      </c>
      <c r="AU31" s="148">
        <f>AU11/Quarterly!AU11*Quarterly!AU31</f>
        <v>5868.191933186301</v>
      </c>
      <c r="AV31" s="148">
        <f>AV11/Quarterly!AV11*Quarterly!AV31</f>
        <v>5879.3858429634729</v>
      </c>
      <c r="AW31" s="148">
        <f>AW11/Quarterly!AW11*Quarterly!AW31</f>
        <v>5917.6173502024267</v>
      </c>
      <c r="AX31" s="148">
        <f>AX11/Quarterly!AX11*Quarterly!AX31</f>
        <v>6004.5737170856974</v>
      </c>
      <c r="AY31" s="148">
        <f>AY11/Quarterly!AY11*Quarterly!AY31</f>
        <v>6057.2457938385751</v>
      </c>
      <c r="AZ31" s="148">
        <f>AZ11/Quarterly!AZ11*Quarterly!AZ31</f>
        <v>6116.9752403524608</v>
      </c>
      <c r="BA31" s="148">
        <f>BA11/Quarterly!BA11*Quarterly!BA31</f>
        <v>6121.9670384760993</v>
      </c>
      <c r="BB31" s="148">
        <f>BB11/Quarterly!BB11*Quarterly!BB31</f>
        <v>5809.9305363359972</v>
      </c>
      <c r="BC31" s="148">
        <f>BC11/Quarterly!BC11*Quarterly!BC31</f>
        <v>5782.508773338006</v>
      </c>
      <c r="BD31" s="148">
        <f>BD11/Quarterly!BD11*Quarterly!BD31</f>
        <v>5970.5582346738356</v>
      </c>
      <c r="BE31" s="148">
        <f>BE11/Quarterly!BE11*Quarterly!BE31</f>
        <v>5759.9151122489448</v>
      </c>
      <c r="BF31" s="148">
        <f>BF11/Quarterly!BF11*Quarterly!BF31</f>
        <v>5552.2197019891355</v>
      </c>
      <c r="BG31" s="148">
        <f>BG11/Quarterly!BG11*Quarterly!BG31</f>
        <v>5581.1184906691124</v>
      </c>
      <c r="BH31" s="148">
        <f>BH11/Quarterly!BH11*Quarterly!BH31</f>
        <v>5629.3661582208815</v>
      </c>
      <c r="BI31" s="148">
        <f>BI11/Quarterly!BI11*Quarterly!BI31</f>
        <v>5646.5427416256307</v>
      </c>
      <c r="BJ31" s="148">
        <f>BJ11/Quarterly!BJ11*Quarterly!BJ31</f>
        <v>5660.5290240719141</v>
      </c>
      <c r="BK31" s="148">
        <f>BK11/Quarterly!BK11*Quarterly!BK31</f>
        <v>5653.8521843322169</v>
      </c>
      <c r="BL31" s="148">
        <f>BL11/Quarterly!BL11*Quarterly!BL31</f>
        <v>5640.2921987925602</v>
      </c>
      <c r="BM31" s="148">
        <f>BM11/Quarterly!BM11*Quarterly!BM31</f>
        <v>5721.5088991140028</v>
      </c>
      <c r="BN31" s="148">
        <f>BN11/Quarterly!BN11*Quarterly!BN31</f>
        <v>5737.8166942855969</v>
      </c>
      <c r="BO31" s="148">
        <f>BO11/Quarterly!BO11*Quarterly!BO31</f>
        <v>5751.0025538144937</v>
      </c>
      <c r="BP31" s="148">
        <f>BP11/Quarterly!BP11*Quarterly!BP31</f>
        <v>5723.7423305353122</v>
      </c>
      <c r="BQ31" s="148">
        <f>BQ11/Quarterly!BQ11*Quarterly!BQ31</f>
        <v>5734.6416601145693</v>
      </c>
      <c r="BR31" s="148">
        <f>BR11/Quarterly!BR11*Quarterly!BR31</f>
        <v>5607.9203463377562</v>
      </c>
      <c r="BS31" s="148">
        <f>BS11/Quarterly!BS11*Quarterly!BS31</f>
        <v>5534.0906609655831</v>
      </c>
      <c r="BT31" s="148">
        <f>BT11/Quarterly!BT11*Quarterly!BT31</f>
        <v>5541.8666704848656</v>
      </c>
      <c r="BU31" s="148">
        <f>BU11/Quarterly!BU11*Quarterly!BU31</f>
        <v>5505.3380392400559</v>
      </c>
      <c r="BV31" s="148">
        <f>BV11/Quarterly!BV11*Quarterly!BV31</f>
        <v>5451.3867630343148</v>
      </c>
      <c r="BW31" s="148">
        <f>BW11/Quarterly!BW11*Quarterly!BW31</f>
        <v>5519.2552150369602</v>
      </c>
      <c r="BX31" s="148">
        <f>BX11/Quarterly!BX11*Quarterly!BX31</f>
        <v>5571.5370135629209</v>
      </c>
      <c r="BY31" s="148">
        <f>BY11/Quarterly!BY11*Quarterly!BY31</f>
        <v>5491.6042281138525</v>
      </c>
    </row>
    <row r="32" spans="1:77">
      <c r="A32" s="167" t="s">
        <v>6</v>
      </c>
      <c r="B32" s="150">
        <f>B12/Quarterly!B12*Quarterly!B32</f>
        <v>4573.949111800147</v>
      </c>
      <c r="C32" s="151">
        <f>C12/Quarterly!C12*Quarterly!C32</f>
        <v>4578.6147554977415</v>
      </c>
      <c r="D32" s="151">
        <f>D12/Quarterly!D12*Quarterly!D32</f>
        <v>4611.8491321184574</v>
      </c>
      <c r="E32" s="151">
        <f>E12/Quarterly!E12*Quarterly!E32</f>
        <v>4630.508102703584</v>
      </c>
      <c r="F32" s="151">
        <f>F12/Quarterly!F12*Quarterly!F32</f>
        <v>4468.0373288448964</v>
      </c>
      <c r="G32" s="151">
        <f>G12/Quarterly!G12*Quarterly!G32</f>
        <v>4514.6572476844094</v>
      </c>
      <c r="H32" s="151">
        <f>H12/Quarterly!H12*Quarterly!H32</f>
        <v>4541.3366315332514</v>
      </c>
      <c r="I32" s="151">
        <f>I12/Quarterly!I12*Quarterly!I32</f>
        <v>4552.5697822187785</v>
      </c>
      <c r="J32" s="151">
        <f>J12/Quarterly!J12*Quarterly!J32</f>
        <v>4705.2762529444872</v>
      </c>
      <c r="K32" s="151">
        <f>K12/Quarterly!K12*Quarterly!K32</f>
        <v>4764.1132516344851</v>
      </c>
      <c r="L32" s="151">
        <f>L12/Quarterly!L12*Quarterly!L32</f>
        <v>4806.3054330011946</v>
      </c>
      <c r="M32" s="151">
        <f>M12/Quarterly!M12*Quarterly!M32</f>
        <v>4834.7180048869841</v>
      </c>
      <c r="N32" s="151">
        <f>N12/Quarterly!N12*Quarterly!N32</f>
        <v>4326.3411119542106</v>
      </c>
      <c r="O32" s="151">
        <f>O12/Quarterly!O12*Quarterly!O32</f>
        <v>4225.8882090389243</v>
      </c>
      <c r="P32" s="151">
        <f>P12/Quarterly!P12*Quarterly!P32</f>
        <v>4187.3824619561765</v>
      </c>
      <c r="Q32" s="151">
        <f>Q12/Quarterly!Q12*Quarterly!Q32</f>
        <v>4220.0291116553144</v>
      </c>
      <c r="R32" s="151">
        <f>R12/Quarterly!R12*Quarterly!R32</f>
        <v>3989.5751255349173</v>
      </c>
      <c r="S32" s="151">
        <f>S12/Quarterly!S12*Quarterly!S32</f>
        <v>3986.1746445524836</v>
      </c>
      <c r="T32" s="151">
        <f>T12/Quarterly!T12*Quarterly!T32</f>
        <v>3998.7784969238714</v>
      </c>
      <c r="U32" s="151">
        <f>U12/Quarterly!U12*Quarterly!U32</f>
        <v>4018.9846475593727</v>
      </c>
      <c r="V32" s="151">
        <f>V12/Quarterly!V12*Quarterly!V32</f>
        <v>3999.6698139075543</v>
      </c>
      <c r="W32" s="151">
        <f>W12/Quarterly!W12*Quarterly!W32</f>
        <v>4090.6073075637601</v>
      </c>
      <c r="X32" s="151">
        <f>X12/Quarterly!X12*Quarterly!X32</f>
        <v>4214.4159930555161</v>
      </c>
      <c r="Y32" s="151">
        <f>Y12/Quarterly!Y12*Quarterly!Y32</f>
        <v>4319.1320378971332</v>
      </c>
      <c r="Z32" s="151">
        <f>Z12/Quarterly!Z12*Quarterly!Z32</f>
        <v>5516.6419809627896</v>
      </c>
      <c r="AA32" s="151">
        <f>AA12/Quarterly!AA12*Quarterly!AA32</f>
        <v>5563.4344666153302</v>
      </c>
      <c r="AB32" s="151">
        <f>AB12/Quarterly!AB12*Quarterly!AB32</f>
        <v>5580.5424349351451</v>
      </c>
      <c r="AC32" s="151">
        <f>AC12/Quarterly!AC12*Quarterly!AC32</f>
        <v>5633.374801714468</v>
      </c>
      <c r="AD32" s="151">
        <f>AD12/Quarterly!AD12*Quarterly!AD32</f>
        <v>4269.1895460186897</v>
      </c>
      <c r="AE32" s="151">
        <f>AE12/Quarterly!AE12*Quarterly!AE32</f>
        <v>4334.2063958156123</v>
      </c>
      <c r="AF32" s="151">
        <f>AF12/Quarterly!AF12*Quarterly!AF32</f>
        <v>4439.7649302434102</v>
      </c>
      <c r="AG32" s="151">
        <f>AG12/Quarterly!AG12*Quarterly!AG32</f>
        <v>4567.5463140244283</v>
      </c>
      <c r="AH32" s="151">
        <f>AH12/Quarterly!AH12*Quarterly!AH32</f>
        <v>4515.6862244649756</v>
      </c>
      <c r="AI32" s="151">
        <f>AI12/Quarterly!AI12*Quarterly!AI32</f>
        <v>4575.8622675635788</v>
      </c>
      <c r="AJ32" s="151">
        <f>AJ12/Quarterly!AJ12*Quarterly!AJ32</f>
        <v>4633.4092602355468</v>
      </c>
      <c r="AK32" s="151">
        <f>AK12/Quarterly!AK12*Quarterly!AK32</f>
        <v>4722.2127413130993</v>
      </c>
      <c r="AL32" s="151">
        <f>AL12/Quarterly!AL12*Quarterly!AL32</f>
        <v>4838.6060128634881</v>
      </c>
      <c r="AM32" s="151">
        <f>AM12/Quarterly!AM12*Quarterly!AM32</f>
        <v>4973.7601512811425</v>
      </c>
      <c r="AN32" s="151">
        <f>AN12/Quarterly!AN12*Quarterly!AN32</f>
        <v>5110.2321523702585</v>
      </c>
      <c r="AO32" s="151">
        <f>AO12/Quarterly!AO12*Quarterly!AO32</f>
        <v>5255.9291921596068</v>
      </c>
      <c r="AP32" s="151">
        <f>AP12/Quarterly!AP12*Quarterly!AP32</f>
        <v>5477.9113949077764</v>
      </c>
      <c r="AQ32" s="151">
        <f>AQ12/Quarterly!AQ12*Quarterly!AQ32</f>
        <v>5638.9608905026889</v>
      </c>
      <c r="AR32" s="151">
        <f>AR12/Quarterly!AR12*Quarterly!AR32</f>
        <v>5817.2444649620011</v>
      </c>
      <c r="AS32" s="151">
        <f>AS12/Quarterly!AS12*Quarterly!AS32</f>
        <v>5980.0767963015087</v>
      </c>
      <c r="AT32" s="151">
        <f>AT12/Quarterly!AT12*Quarterly!AT32</f>
        <v>5922.6381079567464</v>
      </c>
      <c r="AU32" s="151">
        <f>AU12/Quarterly!AU12*Quarterly!AU32</f>
        <v>6083.4566370881348</v>
      </c>
      <c r="AV32" s="151">
        <f>AV12/Quarterly!AV12*Quarterly!AV32</f>
        <v>6248.9072030621937</v>
      </c>
      <c r="AW32" s="151">
        <f>AW12/Quarterly!AW12*Quarterly!AW32</f>
        <v>6400.17215620558</v>
      </c>
      <c r="AX32" s="151">
        <f>AX12/Quarterly!AX12*Quarterly!AX32</f>
        <v>6709.6987724090241</v>
      </c>
      <c r="AY32" s="151">
        <f>AY12/Quarterly!AY12*Quarterly!AY32</f>
        <v>6949.2074239612748</v>
      </c>
      <c r="AZ32" s="151">
        <f>AZ12/Quarterly!AZ12*Quarterly!AZ32</f>
        <v>7095.8218600888695</v>
      </c>
      <c r="BA32" s="151">
        <f>BA12/Quarterly!BA12*Quarterly!BA32</f>
        <v>7456.8851129099694</v>
      </c>
      <c r="BB32" s="151">
        <f>BB12/Quarterly!BB12*Quarterly!BB32</f>
        <v>7459.5338266310309</v>
      </c>
      <c r="BC32" s="151">
        <f>BC12/Quarterly!BC12*Quarterly!BC32</f>
        <v>7568.5901171227233</v>
      </c>
      <c r="BD32" s="151">
        <f>BD12/Quarterly!BD12*Quarterly!BD32</f>
        <v>7777.6266792144597</v>
      </c>
      <c r="BE32" s="151">
        <f>BE12/Quarterly!BE12*Quarterly!BE32</f>
        <v>7819.5492426663513</v>
      </c>
      <c r="BF32" s="151">
        <f>BF12/Quarterly!BF12*Quarterly!BF32</f>
        <v>8171.4249632238825</v>
      </c>
      <c r="BG32" s="151">
        <f>BG12/Quarterly!BG12*Quarterly!BG32</f>
        <v>8210.6894146726554</v>
      </c>
      <c r="BH32" s="151">
        <f>BH12/Quarterly!BH12*Quarterly!BH32</f>
        <v>8372.6733878081886</v>
      </c>
      <c r="BI32" s="151">
        <f>BI12/Quarterly!BI12*Quarterly!BI32</f>
        <v>8440.9268851826837</v>
      </c>
      <c r="BJ32" s="151">
        <f>BJ12/Quarterly!BJ12*Quarterly!BJ32</f>
        <v>8480.6758428814228</v>
      </c>
      <c r="BK32" s="151">
        <f>BK12/Quarterly!BK12*Quarterly!BK32</f>
        <v>8427.0264927371063</v>
      </c>
      <c r="BL32" s="151">
        <f>BL12/Quarterly!BL12*Quarterly!BL32</f>
        <v>8408.008017386217</v>
      </c>
      <c r="BM32" s="151">
        <f>BM12/Quarterly!BM12*Quarterly!BM32</f>
        <v>8427.4796616347812</v>
      </c>
      <c r="BN32" s="151">
        <f>BN12/Quarterly!BN12*Quarterly!BN32</f>
        <v>8463.3333277161091</v>
      </c>
      <c r="BO32" s="151">
        <f>BO12/Quarterly!BO12*Quarterly!BO32</f>
        <v>8467.5784264579197</v>
      </c>
      <c r="BP32" s="151">
        <f>BP12/Quarterly!BP12*Quarterly!BP32</f>
        <v>8469.4770102745133</v>
      </c>
      <c r="BQ32" s="151">
        <f>BQ12/Quarterly!BQ12*Quarterly!BQ32</f>
        <v>8483.9645076012948</v>
      </c>
      <c r="BR32" s="151">
        <f>BR12/Quarterly!BR12*Quarterly!BR32</f>
        <v>8619.9365010565925</v>
      </c>
      <c r="BS32" s="151">
        <f>BS12/Quarterly!BS12*Quarterly!BS32</f>
        <v>8625.5104882504183</v>
      </c>
      <c r="BT32" s="151">
        <f>BT12/Quarterly!BT12*Quarterly!BT32</f>
        <v>8697.3855862760902</v>
      </c>
      <c r="BU32" s="151">
        <f>BU12/Quarterly!BU12*Quarterly!BU32</f>
        <v>8795.6403121159183</v>
      </c>
      <c r="BV32" s="151">
        <f>BV12/Quarterly!BV12*Quarterly!BV32</f>
        <v>8862.9246475633627</v>
      </c>
      <c r="BW32" s="151">
        <f>BW12/Quarterly!BW12*Quarterly!BW32</f>
        <v>8914.333723245285</v>
      </c>
      <c r="BX32" s="151">
        <f>BX12/Quarterly!BX12*Quarterly!BX32</f>
        <v>8961.6300728726528</v>
      </c>
      <c r="BY32" s="151">
        <f>BY12/Quarterly!BY12*Quarterly!BY32</f>
        <v>9029.4900527727896</v>
      </c>
    </row>
    <row r="33" spans="1:77">
      <c r="A33" s="168" t="s">
        <v>7</v>
      </c>
      <c r="B33" s="125">
        <f t="shared" ref="B33:H33" si="44">SUM(B34:B38)</f>
        <v>98056.641810831992</v>
      </c>
      <c r="C33" s="126">
        <f t="shared" si="44"/>
        <v>99254.920456210166</v>
      </c>
      <c r="D33" s="126">
        <f t="shared" si="44"/>
        <v>100435.1529007894</v>
      </c>
      <c r="E33" s="126">
        <f t="shared" si="44"/>
        <v>101345.1059361767</v>
      </c>
      <c r="F33" s="126">
        <f t="shared" si="44"/>
        <v>102322.65979398138</v>
      </c>
      <c r="G33" s="126">
        <f t="shared" si="44"/>
        <v>103335.10643941298</v>
      </c>
      <c r="H33" s="126">
        <f t="shared" si="44"/>
        <v>104529.89650827576</v>
      </c>
      <c r="I33" s="126">
        <f t="shared" ref="I33:BF33" si="45">SUM(I34:I38)</f>
        <v>105662.78195651231</v>
      </c>
      <c r="J33" s="126">
        <f t="shared" si="45"/>
        <v>105031.49292610676</v>
      </c>
      <c r="K33" s="126">
        <f t="shared" si="45"/>
        <v>105412.20895749064</v>
      </c>
      <c r="L33" s="126">
        <f t="shared" si="45"/>
        <v>105787.06017867159</v>
      </c>
      <c r="M33" s="126">
        <f t="shared" si="45"/>
        <v>105918.63471194121</v>
      </c>
      <c r="N33" s="126">
        <f t="shared" si="45"/>
        <v>107527.20814115416</v>
      </c>
      <c r="O33" s="126">
        <f t="shared" si="45"/>
        <v>108431.61014206862</v>
      </c>
      <c r="P33" s="126">
        <f t="shared" si="45"/>
        <v>108744.74372257157</v>
      </c>
      <c r="Q33" s="126">
        <f t="shared" si="45"/>
        <v>109041.27295649458</v>
      </c>
      <c r="R33" s="126">
        <f t="shared" si="45"/>
        <v>109938.5080645679</v>
      </c>
      <c r="S33" s="126">
        <f t="shared" si="45"/>
        <v>111273.72543030721</v>
      </c>
      <c r="T33" s="126">
        <f t="shared" si="45"/>
        <v>112652.59946547092</v>
      </c>
      <c r="U33" s="126">
        <f t="shared" si="45"/>
        <v>113782.03035103143</v>
      </c>
      <c r="V33" s="126">
        <f t="shared" si="45"/>
        <v>114387.92233756818</v>
      </c>
      <c r="W33" s="126">
        <f t="shared" si="45"/>
        <v>115562.39353502313</v>
      </c>
      <c r="X33" s="126">
        <f t="shared" si="45"/>
        <v>116671.38199493079</v>
      </c>
      <c r="Y33" s="126">
        <f t="shared" si="45"/>
        <v>117565.98167868375</v>
      </c>
      <c r="Z33" s="126">
        <f t="shared" si="45"/>
        <v>119731.96138863834</v>
      </c>
      <c r="AA33" s="126">
        <f t="shared" si="45"/>
        <v>120679.67838472375</v>
      </c>
      <c r="AB33" s="126">
        <f t="shared" si="45"/>
        <v>121647.07406873188</v>
      </c>
      <c r="AC33" s="126">
        <f t="shared" si="45"/>
        <v>122917.43475724634</v>
      </c>
      <c r="AD33" s="126">
        <f t="shared" si="45"/>
        <v>124358.4380173704</v>
      </c>
      <c r="AE33" s="126">
        <f t="shared" si="45"/>
        <v>125805.68439326837</v>
      </c>
      <c r="AF33" s="126">
        <f t="shared" si="45"/>
        <v>126517.39225488038</v>
      </c>
      <c r="AG33" s="126">
        <f t="shared" si="45"/>
        <v>127713.67263732734</v>
      </c>
      <c r="AH33" s="126">
        <f t="shared" si="45"/>
        <v>130111.17701607298</v>
      </c>
      <c r="AI33" s="126">
        <f t="shared" si="45"/>
        <v>131375.58649364271</v>
      </c>
      <c r="AJ33" s="126">
        <f t="shared" si="45"/>
        <v>132698.44095616331</v>
      </c>
      <c r="AK33" s="126">
        <f t="shared" si="45"/>
        <v>133841.92551008915</v>
      </c>
      <c r="AL33" s="126">
        <f t="shared" si="45"/>
        <v>135338.75234353534</v>
      </c>
      <c r="AM33" s="126">
        <f t="shared" si="45"/>
        <v>137038.84155904574</v>
      </c>
      <c r="AN33" s="126">
        <f t="shared" si="45"/>
        <v>138661.83974628657</v>
      </c>
      <c r="AO33" s="126">
        <f t="shared" si="45"/>
        <v>140766.63617530552</v>
      </c>
      <c r="AP33" s="126">
        <f t="shared" si="45"/>
        <v>144277.31993221043</v>
      </c>
      <c r="AQ33" s="126">
        <f t="shared" si="45"/>
        <v>146499.93880359261</v>
      </c>
      <c r="AR33" s="126">
        <f t="shared" si="45"/>
        <v>148468.44232051686</v>
      </c>
      <c r="AS33" s="126">
        <f t="shared" si="45"/>
        <v>149938.6189178229</v>
      </c>
      <c r="AT33" s="126">
        <f t="shared" si="45"/>
        <v>152406.07826985361</v>
      </c>
      <c r="AU33" s="126">
        <f t="shared" si="45"/>
        <v>154780.60489913</v>
      </c>
      <c r="AV33" s="126">
        <f t="shared" si="45"/>
        <v>157006.4562352185</v>
      </c>
      <c r="AW33" s="126">
        <f t="shared" si="45"/>
        <v>158895.26281978149</v>
      </c>
      <c r="AX33" s="126">
        <f t="shared" si="45"/>
        <v>161992.94058834965</v>
      </c>
      <c r="AY33" s="126">
        <f t="shared" si="45"/>
        <v>164026.2065121195</v>
      </c>
      <c r="AZ33" s="126">
        <f t="shared" si="45"/>
        <v>166758.52801784346</v>
      </c>
      <c r="BA33" s="126">
        <f t="shared" si="45"/>
        <v>169141.4634554942</v>
      </c>
      <c r="BB33" s="126">
        <f t="shared" si="45"/>
        <v>171662.72037606331</v>
      </c>
      <c r="BC33" s="126">
        <f t="shared" si="45"/>
        <v>172086.32590429013</v>
      </c>
      <c r="BD33" s="126">
        <f t="shared" si="45"/>
        <v>173415.94779748187</v>
      </c>
      <c r="BE33" s="126">
        <f t="shared" si="45"/>
        <v>174634.77796918157</v>
      </c>
      <c r="BF33" s="126">
        <f t="shared" si="45"/>
        <v>175608.67900059145</v>
      </c>
      <c r="BG33" s="126">
        <f t="shared" ref="BG33:BQ33" si="46">SUM(BG34:BG38)</f>
        <v>175144.41423310663</v>
      </c>
      <c r="BH33" s="126">
        <f t="shared" si="46"/>
        <v>175518.33959749067</v>
      </c>
      <c r="BI33" s="126">
        <f t="shared" si="46"/>
        <v>176190.12682248978</v>
      </c>
      <c r="BJ33" s="126">
        <f t="shared" si="46"/>
        <v>178223.96684898253</v>
      </c>
      <c r="BK33" s="126">
        <f t="shared" si="46"/>
        <v>180138.90402808139</v>
      </c>
      <c r="BL33" s="126">
        <f t="shared" si="46"/>
        <v>181456.42804720052</v>
      </c>
      <c r="BM33" s="126">
        <f t="shared" si="46"/>
        <v>183070.82346981822</v>
      </c>
      <c r="BN33" s="126">
        <f t="shared" si="46"/>
        <v>185295.73396781596</v>
      </c>
      <c r="BO33" s="126">
        <f t="shared" si="46"/>
        <v>187283.56584672662</v>
      </c>
      <c r="BP33" s="126">
        <f t="shared" si="46"/>
        <v>189208.61789516898</v>
      </c>
      <c r="BQ33" s="126">
        <f t="shared" si="46"/>
        <v>191155.18918459554</v>
      </c>
      <c r="BR33" s="126">
        <f t="shared" ref="BR33:BT33" si="47">SUM(BR34:BR38)</f>
        <v>192421.65891592117</v>
      </c>
      <c r="BS33" s="126">
        <f t="shared" si="47"/>
        <v>193460.80992654368</v>
      </c>
      <c r="BT33" s="126">
        <f t="shared" si="47"/>
        <v>194399.20651087101</v>
      </c>
      <c r="BU33" s="126">
        <f t="shared" ref="BU33:BY33" si="48">SUM(BU34:BU38)</f>
        <v>195632.87512776855</v>
      </c>
      <c r="BV33" s="126">
        <f t="shared" si="48"/>
        <v>196874.50921393075</v>
      </c>
      <c r="BW33" s="126">
        <f t="shared" si="48"/>
        <v>197957.63815048966</v>
      </c>
      <c r="BX33" s="126">
        <f t="shared" si="48"/>
        <v>198638.32477080275</v>
      </c>
      <c r="BY33" s="126">
        <f t="shared" si="48"/>
        <v>199416.25585323141</v>
      </c>
    </row>
    <row r="34" spans="1:77">
      <c r="A34" s="169" t="s">
        <v>8</v>
      </c>
      <c r="B34" s="147">
        <f>B14/Quarterly!B14*Quarterly!B34</f>
        <v>20751.667105267599</v>
      </c>
      <c r="C34" s="148">
        <f>C14/Quarterly!C14*Quarterly!C34</f>
        <v>21151.53049029196</v>
      </c>
      <c r="D34" s="148">
        <f>D14/Quarterly!D14*Quarterly!D34</f>
        <v>21594.056784144475</v>
      </c>
      <c r="E34" s="148">
        <f>E14/Quarterly!E14*Quarterly!E34</f>
        <v>21926.113720917238</v>
      </c>
      <c r="F34" s="148">
        <f>F14/Quarterly!F14*Quarterly!F34</f>
        <v>21584.56206786996</v>
      </c>
      <c r="G34" s="148">
        <f>G14/Quarterly!G14*Quarterly!G34</f>
        <v>21719.554389427496</v>
      </c>
      <c r="H34" s="148">
        <f>H14/Quarterly!H14*Quarterly!H34</f>
        <v>21900.610441563902</v>
      </c>
      <c r="I34" s="148">
        <f>I14/Quarterly!I14*Quarterly!I34</f>
        <v>22138.126552361224</v>
      </c>
      <c r="J34" s="148">
        <f>J14/Quarterly!J14*Quarterly!J34</f>
        <v>22235.420997390353</v>
      </c>
      <c r="K34" s="148">
        <f>K14/Quarterly!K14*Quarterly!K34</f>
        <v>22090.289580443834</v>
      </c>
      <c r="L34" s="148">
        <f>L14/Quarterly!L14*Quarterly!L34</f>
        <v>21957.973299651534</v>
      </c>
      <c r="M34" s="148">
        <f>M14/Quarterly!M14*Quarterly!M34</f>
        <v>21543.243455860647</v>
      </c>
      <c r="N34" s="148">
        <f>N14/Quarterly!N14*Quarterly!N34</f>
        <v>21965.763157081765</v>
      </c>
      <c r="O34" s="148">
        <f>O14/Quarterly!O14*Quarterly!O34</f>
        <v>22153.608837448952</v>
      </c>
      <c r="P34" s="148">
        <f>P14/Quarterly!P14*Quarterly!P34</f>
        <v>22237.519792569161</v>
      </c>
      <c r="Q34" s="148">
        <f>Q14/Quarterly!Q14*Quarterly!Q34</f>
        <v>22243.74132726439</v>
      </c>
      <c r="R34" s="148">
        <f>R14/Quarterly!R14*Quarterly!R34</f>
        <v>22891.206243641383</v>
      </c>
      <c r="S34" s="148">
        <f>S14/Quarterly!S14*Quarterly!S34</f>
        <v>23422.658709311247</v>
      </c>
      <c r="T34" s="148">
        <f>T14/Quarterly!T14*Quarterly!T34</f>
        <v>24029.04436493219</v>
      </c>
      <c r="U34" s="148">
        <f>U14/Quarterly!U14*Quarterly!U34</f>
        <v>24595.713904780212</v>
      </c>
      <c r="V34" s="148">
        <f>V14/Quarterly!V14*Quarterly!V34</f>
        <v>25128.110809114874</v>
      </c>
      <c r="W34" s="148">
        <f>W14/Quarterly!W14*Quarterly!W34</f>
        <v>25604.8630786834</v>
      </c>
      <c r="X34" s="148">
        <f>X14/Quarterly!X14*Quarterly!X34</f>
        <v>25936.537463652749</v>
      </c>
      <c r="Y34" s="148">
        <f>Y14/Quarterly!Y14*Quarterly!Y34</f>
        <v>26096.083341868281</v>
      </c>
      <c r="Z34" s="148">
        <f>Z14/Quarterly!Z14*Quarterly!Z34</f>
        <v>27661.77722109593</v>
      </c>
      <c r="AA34" s="148">
        <f>AA14/Quarterly!AA14*Quarterly!AA34</f>
        <v>27690.730346486303</v>
      </c>
      <c r="AB34" s="148">
        <f>AB14/Quarterly!AB14*Quarterly!AB34</f>
        <v>27687.250892328953</v>
      </c>
      <c r="AC34" s="148">
        <f>AC14/Quarterly!AC14*Quarterly!AC34</f>
        <v>27753.827699878493</v>
      </c>
      <c r="AD34" s="148">
        <f>AD14/Quarterly!AD14*Quarterly!AD34</f>
        <v>28003.511013751693</v>
      </c>
      <c r="AE34" s="148">
        <f>AE14/Quarterly!AE14*Quarterly!AE34</f>
        <v>28235.185772323865</v>
      </c>
      <c r="AF34" s="148">
        <f>AF14/Quarterly!AF14*Quarterly!AF34</f>
        <v>28403.754244687367</v>
      </c>
      <c r="AG34" s="148">
        <f>AG14/Quarterly!AG14*Quarterly!AG34</f>
        <v>28865.09797481721</v>
      </c>
      <c r="AH34" s="148">
        <f>AH14/Quarterly!AH14*Quarterly!AH34</f>
        <v>29129.579352806661</v>
      </c>
      <c r="AI34" s="148">
        <f>AI14/Quarterly!AI14*Quarterly!AI34</f>
        <v>29251.545728142351</v>
      </c>
      <c r="AJ34" s="148">
        <f>AJ14/Quarterly!AJ14*Quarterly!AJ34</f>
        <v>29446.046424186035</v>
      </c>
      <c r="AK34" s="148">
        <f>AK14/Quarterly!AK14*Quarterly!AK34</f>
        <v>29617.410880228723</v>
      </c>
      <c r="AL34" s="148">
        <f>AL14/Quarterly!AL14*Quarterly!AL34</f>
        <v>30028.24010568453</v>
      </c>
      <c r="AM34" s="148">
        <f>AM14/Quarterly!AM14*Quarterly!AM34</f>
        <v>30592.925386240418</v>
      </c>
      <c r="AN34" s="148">
        <f>AN14/Quarterly!AN14*Quarterly!AN34</f>
        <v>31230.001858345153</v>
      </c>
      <c r="AO34" s="148">
        <f>AO14/Quarterly!AO14*Quarterly!AO34</f>
        <v>31978.553968140128</v>
      </c>
      <c r="AP34" s="148">
        <f>AP14/Quarterly!AP14*Quarterly!AP34</f>
        <v>32197.472928094754</v>
      </c>
      <c r="AQ34" s="148">
        <f>AQ14/Quarterly!AQ14*Quarterly!AQ34</f>
        <v>32685.41470702416</v>
      </c>
      <c r="AR34" s="148">
        <f>AR14/Quarterly!AR14*Quarterly!AR34</f>
        <v>33152.567833785797</v>
      </c>
      <c r="AS34" s="148">
        <f>AS14/Quarterly!AS14*Quarterly!AS34</f>
        <v>33803.269547979842</v>
      </c>
      <c r="AT34" s="148">
        <f>AT14/Quarterly!AT14*Quarterly!AT34</f>
        <v>34315.658627570112</v>
      </c>
      <c r="AU34" s="148">
        <f>AU14/Quarterly!AU14*Quarterly!AU34</f>
        <v>34821.420685572913</v>
      </c>
      <c r="AV34" s="148">
        <f>AV14/Quarterly!AV14*Quarterly!AV34</f>
        <v>35322.600335667637</v>
      </c>
      <c r="AW34" s="148">
        <f>AW14/Quarterly!AW14*Quarterly!AW34</f>
        <v>35820.385609534154</v>
      </c>
      <c r="AX34" s="148">
        <f>AX14/Quarterly!AX14*Quarterly!AX34</f>
        <v>36399.328146479718</v>
      </c>
      <c r="AY34" s="148">
        <f>AY14/Quarterly!AY14*Quarterly!AY34</f>
        <v>36840.590911605526</v>
      </c>
      <c r="AZ34" s="148">
        <f>AZ14/Quarterly!AZ14*Quarterly!AZ34</f>
        <v>37263.134469572135</v>
      </c>
      <c r="BA34" s="148">
        <f>BA14/Quarterly!BA14*Quarterly!BA34</f>
        <v>37621.692373976344</v>
      </c>
      <c r="BB34" s="148">
        <f>BB14/Quarterly!BB14*Quarterly!BB34</f>
        <v>37963.262047198383</v>
      </c>
      <c r="BC34" s="148">
        <f>BC14/Quarterly!BC14*Quarterly!BC34</f>
        <v>37617.075025501254</v>
      </c>
      <c r="BD34" s="148">
        <f>BD14/Quarterly!BD14*Quarterly!BD34</f>
        <v>37075.529349026692</v>
      </c>
      <c r="BE34" s="148">
        <f>BE14/Quarterly!BE14*Quarterly!BE34</f>
        <v>37036.488809093084</v>
      </c>
      <c r="BF34" s="148">
        <f>BF14/Quarterly!BF14*Quarterly!BF34</f>
        <v>37462.206787647141</v>
      </c>
      <c r="BG34" s="148">
        <f>BG14/Quarterly!BG14*Quarterly!BG34</f>
        <v>37273.968158385076</v>
      </c>
      <c r="BH34" s="148">
        <f>BH14/Quarterly!BH14*Quarterly!BH34</f>
        <v>37438.324287799609</v>
      </c>
      <c r="BI34" s="148">
        <f>BI14/Quarterly!BI14*Quarterly!BI34</f>
        <v>37612.953116606208</v>
      </c>
      <c r="BJ34" s="148">
        <f>BJ14/Quarterly!BJ14*Quarterly!BJ34</f>
        <v>38185.994944349346</v>
      </c>
      <c r="BK34" s="148">
        <f>BK14/Quarterly!BK14*Quarterly!BK34</f>
        <v>38828.665373057331</v>
      </c>
      <c r="BL34" s="148">
        <f>BL14/Quarterly!BL14*Quarterly!BL34</f>
        <v>39269.923950814642</v>
      </c>
      <c r="BM34" s="148">
        <f>BM14/Quarterly!BM14*Quarterly!BM34</f>
        <v>39748.39191877922</v>
      </c>
      <c r="BN34" s="148">
        <f>BN14/Quarterly!BN14*Quarterly!BN34</f>
        <v>40222.652403506538</v>
      </c>
      <c r="BO34" s="148">
        <f>BO14/Quarterly!BO14*Quarterly!BO34</f>
        <v>40719.649041932578</v>
      </c>
      <c r="BP34" s="148">
        <f>BP14/Quarterly!BP14*Quarterly!BP34</f>
        <v>41266.821446629721</v>
      </c>
      <c r="BQ34" s="148">
        <f>BQ14/Quarterly!BQ14*Quarterly!BQ34</f>
        <v>41759.793570295806</v>
      </c>
      <c r="BR34" s="148">
        <f>BR14/Quarterly!BR14*Quarterly!BR34</f>
        <v>42137.014630342295</v>
      </c>
      <c r="BS34" s="148">
        <f>BS14/Quarterly!BS14*Quarterly!BS34</f>
        <v>42441.678011872085</v>
      </c>
      <c r="BT34" s="148">
        <f>BT14/Quarterly!BT14*Quarterly!BT34</f>
        <v>42666.749299705196</v>
      </c>
      <c r="BU34" s="148">
        <f>BU14/Quarterly!BU14*Quarterly!BU34</f>
        <v>42852.82510294082</v>
      </c>
      <c r="BV34" s="148">
        <f>BV14/Quarterly!BV14*Quarterly!BV34</f>
        <v>43345.994602974686</v>
      </c>
      <c r="BW34" s="148">
        <f>BW14/Quarterly!BW14*Quarterly!BW34</f>
        <v>43674.924498112567</v>
      </c>
      <c r="BX34" s="148">
        <f>BX14/Quarterly!BX14*Quarterly!BX34</f>
        <v>43819.611146193041</v>
      </c>
      <c r="BY34" s="148">
        <f>BY14/Quarterly!BY14*Quarterly!BY34</f>
        <v>44072.885192566166</v>
      </c>
    </row>
    <row r="35" spans="1:77">
      <c r="A35" s="169" t="s">
        <v>9</v>
      </c>
      <c r="B35" s="147">
        <f>B15/Quarterly!B15*Quarterly!B35</f>
        <v>16815.872520401274</v>
      </c>
      <c r="C35" s="148">
        <f>C15/Quarterly!C15*Quarterly!C35</f>
        <v>17270.526194385788</v>
      </c>
      <c r="D35" s="148">
        <f>D15/Quarterly!D15*Quarterly!D35</f>
        <v>17702.60707159897</v>
      </c>
      <c r="E35" s="148">
        <f>E15/Quarterly!E15*Quarterly!E35</f>
        <v>18079.087808795713</v>
      </c>
      <c r="F35" s="148">
        <f>F15/Quarterly!F15*Quarterly!F35</f>
        <v>17895.904451324703</v>
      </c>
      <c r="G35" s="148">
        <f>G15/Quarterly!G15*Quarterly!G35</f>
        <v>18134.607033274355</v>
      </c>
      <c r="H35" s="148">
        <f>H15/Quarterly!H15*Quarterly!H35</f>
        <v>18422.225525573671</v>
      </c>
      <c r="I35" s="148">
        <f>I15/Quarterly!I15*Quarterly!I35</f>
        <v>18536.498982536159</v>
      </c>
      <c r="J35" s="148">
        <f>J15/Quarterly!J15*Quarterly!J35</f>
        <v>18642.116137775993</v>
      </c>
      <c r="K35" s="148">
        <f>K15/Quarterly!K15*Quarterly!K35</f>
        <v>19031.040961458508</v>
      </c>
      <c r="L35" s="148">
        <f>L15/Quarterly!L15*Quarterly!L35</f>
        <v>19460.336370026373</v>
      </c>
      <c r="M35" s="148">
        <f>M15/Quarterly!M15*Quarterly!M35</f>
        <v>19913.862015354851</v>
      </c>
      <c r="N35" s="148">
        <f>N15/Quarterly!N15*Quarterly!N35</f>
        <v>20011.397476613369</v>
      </c>
      <c r="O35" s="148">
        <f>O15/Quarterly!O15*Quarterly!O35</f>
        <v>20178.056283212529</v>
      </c>
      <c r="P35" s="148">
        <f>P15/Quarterly!P15*Quarterly!P35</f>
        <v>20082.932278475626</v>
      </c>
      <c r="Q35" s="148">
        <f>Q15/Quarterly!Q15*Quarterly!Q35</f>
        <v>20264.172356624389</v>
      </c>
      <c r="R35" s="148">
        <f>R15/Quarterly!R15*Quarterly!R35</f>
        <v>20183.411304299487</v>
      </c>
      <c r="S35" s="148">
        <f>S15/Quarterly!S15*Quarterly!S35</f>
        <v>20639.091239347938</v>
      </c>
      <c r="T35" s="148">
        <f>T15/Quarterly!T15*Quarterly!T35</f>
        <v>21084.06154194014</v>
      </c>
      <c r="U35" s="148">
        <f>U15/Quarterly!U15*Quarterly!U35</f>
        <v>21490.26855637916</v>
      </c>
      <c r="V35" s="148">
        <f>V15/Quarterly!V15*Quarterly!V35</f>
        <v>21623.244268163173</v>
      </c>
      <c r="W35" s="148">
        <f>W15/Quarterly!W15*Quarterly!W35</f>
        <v>22104.892734716119</v>
      </c>
      <c r="X35" s="148">
        <f>X15/Quarterly!X15*Quarterly!X35</f>
        <v>22430.382809549046</v>
      </c>
      <c r="Y35" s="148">
        <f>Y15/Quarterly!Y15*Quarterly!Y35</f>
        <v>22621.121091175424</v>
      </c>
      <c r="Z35" s="148">
        <f>Z15/Quarterly!Z15*Quarterly!Z35</f>
        <v>22508.581930563356</v>
      </c>
      <c r="AA35" s="148">
        <f>AA15/Quarterly!AA15*Quarterly!AA35</f>
        <v>22847.389857829759</v>
      </c>
      <c r="AB35" s="148">
        <f>AB15/Quarterly!AB15*Quarterly!AB35</f>
        <v>23331.573624072709</v>
      </c>
      <c r="AC35" s="148">
        <f>AC15/Quarterly!AC15*Quarterly!AC35</f>
        <v>23921.866642878966</v>
      </c>
      <c r="AD35" s="148">
        <f>AD15/Quarterly!AD15*Quarterly!AD35</f>
        <v>24583.018801431368</v>
      </c>
      <c r="AE35" s="148">
        <f>AE15/Quarterly!AE15*Quarterly!AE35</f>
        <v>25144.183424323979</v>
      </c>
      <c r="AF35" s="148">
        <f>AF15/Quarterly!AF15*Quarterly!AF35</f>
        <v>25574.395421312089</v>
      </c>
      <c r="AG35" s="148">
        <f>AG15/Quarterly!AG15*Quarterly!AG35</f>
        <v>25971.560109581224</v>
      </c>
      <c r="AH35" s="148">
        <f>AH15/Quarterly!AH15*Quarterly!AH35</f>
        <v>26598.603702181212</v>
      </c>
      <c r="AI35" s="148">
        <f>AI15/Quarterly!AI15*Quarterly!AI35</f>
        <v>26905.979263495567</v>
      </c>
      <c r="AJ35" s="148">
        <f>AJ15/Quarterly!AJ15*Quarterly!AJ35</f>
        <v>27190.832540135812</v>
      </c>
      <c r="AK35" s="148">
        <f>AK15/Quarterly!AK15*Quarterly!AK35</f>
        <v>27657.794575712473</v>
      </c>
      <c r="AL35" s="148">
        <f>AL15/Quarterly!AL15*Quarterly!AL35</f>
        <v>27808.855349636167</v>
      </c>
      <c r="AM35" s="148">
        <f>AM15/Quarterly!AM15*Quarterly!AM35</f>
        <v>28078.711475169894</v>
      </c>
      <c r="AN35" s="148">
        <f>AN15/Quarterly!AN15*Quarterly!AN35</f>
        <v>28472.919354512498</v>
      </c>
      <c r="AO35" s="148">
        <f>AO15/Quarterly!AO15*Quarterly!AO35</f>
        <v>28845.760953131932</v>
      </c>
      <c r="AP35" s="148">
        <f>AP15/Quarterly!AP15*Quarterly!AP35</f>
        <v>29353.250134709411</v>
      </c>
      <c r="AQ35" s="148">
        <f>AQ15/Quarterly!AQ15*Quarterly!AQ35</f>
        <v>29785.641766340577</v>
      </c>
      <c r="AR35" s="148">
        <f>AR15/Quarterly!AR15*Quarterly!AR35</f>
        <v>30188.543748806744</v>
      </c>
      <c r="AS35" s="148">
        <f>AS15/Quarterly!AS15*Quarterly!AS35</f>
        <v>30575.612319320539</v>
      </c>
      <c r="AT35" s="148">
        <f>AT15/Quarterly!AT15*Quarterly!AT35</f>
        <v>31030.170343546881</v>
      </c>
      <c r="AU35" s="148">
        <f>AU15/Quarterly!AU15*Quarterly!AU35</f>
        <v>31417.988321458011</v>
      </c>
      <c r="AV35" s="148">
        <f>AV15/Quarterly!AV15*Quarterly!AV35</f>
        <v>31727.511377594514</v>
      </c>
      <c r="AW35" s="148">
        <f>AW15/Quarterly!AW15*Quarterly!AW35</f>
        <v>31962.611238857327</v>
      </c>
      <c r="AX35" s="148">
        <f>AX15/Quarterly!AX15*Quarterly!AX35</f>
        <v>32853.992410285849</v>
      </c>
      <c r="AY35" s="148">
        <f>AY15/Quarterly!AY15*Quarterly!AY35</f>
        <v>33632.823203863372</v>
      </c>
      <c r="AZ35" s="148">
        <f>AZ15/Quarterly!AZ15*Quarterly!AZ35</f>
        <v>34137.344733757876</v>
      </c>
      <c r="BA35" s="148">
        <f>BA15/Quarterly!BA15*Quarterly!BA35</f>
        <v>34510.656079999455</v>
      </c>
      <c r="BB35" s="148">
        <f>BB15/Quarterly!BB15*Quarterly!BB35</f>
        <v>34815.005580701261</v>
      </c>
      <c r="BC35" s="148">
        <f>BC15/Quarterly!BC15*Quarterly!BC35</f>
        <v>35083.604632792973</v>
      </c>
      <c r="BD35" s="148">
        <f>BD15/Quarterly!BD15*Quarterly!BD35</f>
        <v>35370.526463668713</v>
      </c>
      <c r="BE35" s="148">
        <f>BE15/Quarterly!BE15*Quarterly!BE35</f>
        <v>35526.194470299932</v>
      </c>
      <c r="BF35" s="148">
        <f>BF15/Quarterly!BF15*Quarterly!BF35</f>
        <v>35619.023178706106</v>
      </c>
      <c r="BG35" s="148">
        <f>BG15/Quarterly!BG15*Quarterly!BG35</f>
        <v>35585.920911804904</v>
      </c>
      <c r="BH35" s="148">
        <f>BH15/Quarterly!BH15*Quarterly!BH35</f>
        <v>35790.053992294881</v>
      </c>
      <c r="BI35" s="148">
        <f>BI15/Quarterly!BI15*Quarterly!BI35</f>
        <v>36042.223718676862</v>
      </c>
      <c r="BJ35" s="148">
        <f>BJ15/Quarterly!BJ15*Quarterly!BJ35</f>
        <v>36353.288530784972</v>
      </c>
      <c r="BK35" s="148">
        <f>BK15/Quarterly!BK15*Quarterly!BK35</f>
        <v>36611.722243712524</v>
      </c>
      <c r="BL35" s="148">
        <f>BL15/Quarterly!BL15*Quarterly!BL35</f>
        <v>36821.686959365725</v>
      </c>
      <c r="BM35" s="148">
        <f>BM15/Quarterly!BM15*Quarterly!BM35</f>
        <v>37076.803819769535</v>
      </c>
      <c r="BN35" s="148">
        <f>BN15/Quarterly!BN15*Quarterly!BN35</f>
        <v>37343.477136808971</v>
      </c>
      <c r="BO35" s="148">
        <f>BO15/Quarterly!BO15*Quarterly!BO35</f>
        <v>37717.830001123955</v>
      </c>
      <c r="BP35" s="148">
        <f>BP15/Quarterly!BP15*Quarterly!BP35</f>
        <v>37905.912199077575</v>
      </c>
      <c r="BQ35" s="148">
        <f>BQ15/Quarterly!BQ15*Quarterly!BQ35</f>
        <v>38158.132619155869</v>
      </c>
      <c r="BR35" s="148">
        <f>BR15/Quarterly!BR15*Quarterly!BR35</f>
        <v>38464.936718811237</v>
      </c>
      <c r="BS35" s="148">
        <f>BS15/Quarterly!BS15*Quarterly!BS35</f>
        <v>38692.536181046235</v>
      </c>
      <c r="BT35" s="148">
        <f>BT15/Quarterly!BT15*Quarterly!BT35</f>
        <v>38823.312824808527</v>
      </c>
      <c r="BU35" s="148">
        <f>BU15/Quarterly!BU15*Quarterly!BU35</f>
        <v>39018.144654340751</v>
      </c>
      <c r="BV35" s="148">
        <f>BV15/Quarterly!BV15*Quarterly!BV35</f>
        <v>39140.496450455525</v>
      </c>
      <c r="BW35" s="148">
        <f>BW15/Quarterly!BW15*Quarterly!BW35</f>
        <v>39286.815640084591</v>
      </c>
      <c r="BX35" s="148">
        <f>BX15/Quarterly!BX15*Quarterly!BX35</f>
        <v>39538.674126542974</v>
      </c>
      <c r="BY35" s="148">
        <f>BY15/Quarterly!BY15*Quarterly!BY35</f>
        <v>39692.16487280716</v>
      </c>
    </row>
    <row r="36" spans="1:77">
      <c r="A36" s="169" t="s">
        <v>10</v>
      </c>
      <c r="B36" s="147">
        <f>B16/Quarterly!B16*Quarterly!B36</f>
        <v>24152.345586045172</v>
      </c>
      <c r="C36" s="148">
        <f>C16/Quarterly!C16*Quarterly!C36</f>
        <v>24300.821289084623</v>
      </c>
      <c r="D36" s="148">
        <f>D16/Quarterly!D16*Quarterly!D36</f>
        <v>24500.362133289822</v>
      </c>
      <c r="E36" s="148">
        <f>E16/Quarterly!E16*Quarterly!E36</f>
        <v>24635.767841215493</v>
      </c>
      <c r="F36" s="148">
        <f>F16/Quarterly!F16*Quarterly!F36</f>
        <v>25161.249692848894</v>
      </c>
      <c r="G36" s="148">
        <f>G16/Quarterly!G16*Quarterly!G36</f>
        <v>25756.939636962401</v>
      </c>
      <c r="H36" s="148">
        <f>H16/Quarterly!H16*Quarterly!H36</f>
        <v>26371.672769785615</v>
      </c>
      <c r="I36" s="148">
        <f>I16/Quarterly!I16*Quarterly!I36</f>
        <v>26979.85325733748</v>
      </c>
      <c r="J36" s="148">
        <f>J16/Quarterly!J16*Quarterly!J36</f>
        <v>26993.65663851034</v>
      </c>
      <c r="K36" s="148">
        <f>K16/Quarterly!K16*Quarterly!K36</f>
        <v>27139.50957620698</v>
      </c>
      <c r="L36" s="148">
        <f>L16/Quarterly!L16*Quarterly!L36</f>
        <v>27223.507849213845</v>
      </c>
      <c r="M36" s="148">
        <f>M16/Quarterly!M16*Quarterly!M36</f>
        <v>27333.836430351519</v>
      </c>
      <c r="N36" s="148">
        <f>N16/Quarterly!N16*Quarterly!N36</f>
        <v>27437.402100295792</v>
      </c>
      <c r="O36" s="148">
        <f>O16/Quarterly!O16*Quarterly!O36</f>
        <v>27823.95363598418</v>
      </c>
      <c r="P36" s="148">
        <f>P16/Quarterly!P16*Quarterly!P36</f>
        <v>28027.959596509427</v>
      </c>
      <c r="Q36" s="148">
        <f>Q16/Quarterly!Q16*Quarterly!Q36</f>
        <v>28038.97527776927</v>
      </c>
      <c r="R36" s="148">
        <f>R16/Quarterly!R16*Quarterly!R36</f>
        <v>29073.303027703714</v>
      </c>
      <c r="S36" s="148">
        <f>S16/Quarterly!S16*Quarterly!S36</f>
        <v>29394.20432142316</v>
      </c>
      <c r="T36" s="148">
        <f>T16/Quarterly!T16*Quarterly!T36</f>
        <v>29719.996717552138</v>
      </c>
      <c r="U36" s="148">
        <f>U16/Quarterly!U16*Quarterly!U36</f>
        <v>29911.030809363394</v>
      </c>
      <c r="V36" s="148">
        <f>V16/Quarterly!V16*Quarterly!V36</f>
        <v>29486.707081770328</v>
      </c>
      <c r="W36" s="148">
        <f>W16/Quarterly!W16*Quarterly!W36</f>
        <v>29597.223624450882</v>
      </c>
      <c r="X36" s="148">
        <f>X16/Quarterly!X16*Quarterly!X36</f>
        <v>29955.160427913284</v>
      </c>
      <c r="Y36" s="148">
        <f>Y16/Quarterly!Y16*Quarterly!Y36</f>
        <v>30468.746140854873</v>
      </c>
      <c r="Z36" s="148">
        <f>Z16/Quarterly!Z16*Quarterly!Z36</f>
        <v>30597.737016218416</v>
      </c>
      <c r="AA36" s="148">
        <f>AA16/Quarterly!AA16*Quarterly!AA36</f>
        <v>31286.178690691217</v>
      </c>
      <c r="AB36" s="148">
        <f>AB16/Quarterly!AB16*Quarterly!AB36</f>
        <v>31902.139350678823</v>
      </c>
      <c r="AC36" s="148">
        <f>AC16/Quarterly!AC16*Quarterly!AC36</f>
        <v>32533.81927175252</v>
      </c>
      <c r="AD36" s="148">
        <f>AD16/Quarterly!AD16*Quarterly!AD36</f>
        <v>32890.534300027619</v>
      </c>
      <c r="AE36" s="148">
        <f>AE16/Quarterly!AE16*Quarterly!AE36</f>
        <v>33320.874504051149</v>
      </c>
      <c r="AF36" s="148">
        <f>AF16/Quarterly!AF16*Quarterly!AF36</f>
        <v>33200.107621300725</v>
      </c>
      <c r="AG36" s="148">
        <f>AG16/Quarterly!AG16*Quarterly!AG36</f>
        <v>33293.578791852873</v>
      </c>
      <c r="AH36" s="148">
        <f>AH16/Quarterly!AH16*Quarterly!AH36</f>
        <v>34341.94574355628</v>
      </c>
      <c r="AI36" s="148">
        <f>AI16/Quarterly!AI16*Quarterly!AI36</f>
        <v>34807.728396801642</v>
      </c>
      <c r="AJ36" s="148">
        <f>AJ16/Quarterly!AJ16*Quarterly!AJ36</f>
        <v>35332.941267612594</v>
      </c>
      <c r="AK36" s="148">
        <f>AK16/Quarterly!AK16*Quarterly!AK36</f>
        <v>35640.153904689745</v>
      </c>
      <c r="AL36" s="148">
        <f>AL16/Quarterly!AL16*Quarterly!AL36</f>
        <v>36705.630210963442</v>
      </c>
      <c r="AM36" s="148">
        <f>AM16/Quarterly!AM16*Quarterly!AM36</f>
        <v>37414.151141298476</v>
      </c>
      <c r="AN36" s="148">
        <f>AN16/Quarterly!AN16*Quarterly!AN36</f>
        <v>37790.111991493308</v>
      </c>
      <c r="AO36" s="148">
        <f>AO16/Quarterly!AO16*Quarterly!AO36</f>
        <v>38336.854200014692</v>
      </c>
      <c r="AP36" s="148">
        <f>AP16/Quarterly!AP16*Quarterly!AP36</f>
        <v>40505.7846974977</v>
      </c>
      <c r="AQ36" s="148">
        <f>AQ16/Quarterly!AQ16*Quarterly!AQ36</f>
        <v>41279.533226698783</v>
      </c>
      <c r="AR36" s="148">
        <f>AR16/Quarterly!AR16*Quarterly!AR36</f>
        <v>42036.415302947258</v>
      </c>
      <c r="AS36" s="148">
        <f>AS16/Quarterly!AS16*Quarterly!AS36</f>
        <v>42315.133437989163</v>
      </c>
      <c r="AT36" s="148">
        <f>AT16/Quarterly!AT16*Quarterly!AT36</f>
        <v>43168.136422550066</v>
      </c>
      <c r="AU36" s="148">
        <f>AU16/Quarterly!AU16*Quarterly!AU36</f>
        <v>44287.624277058268</v>
      </c>
      <c r="AV36" s="148">
        <f>AV16/Quarterly!AV16*Quarterly!AV36</f>
        <v>45400.209382432724</v>
      </c>
      <c r="AW36" s="148">
        <f>AW16/Quarterly!AW16*Quarterly!AW36</f>
        <v>46064.391904080148</v>
      </c>
      <c r="AX36" s="148">
        <f>AX16/Quarterly!AX16*Quarterly!AX36</f>
        <v>46872.927471963107</v>
      </c>
      <c r="AY36" s="148">
        <f>AY16/Quarterly!AY16*Quarterly!AY36</f>
        <v>47446.09923344096</v>
      </c>
      <c r="AZ36" s="148">
        <f>AZ16/Quarterly!AZ16*Quarterly!AZ36</f>
        <v>48711.600697185138</v>
      </c>
      <c r="BA36" s="148">
        <f>BA16/Quarterly!BA16*Quarterly!BA36</f>
        <v>49774.092335882298</v>
      </c>
      <c r="BB36" s="148">
        <f>BB16/Quarterly!BB16*Quarterly!BB36</f>
        <v>50877.541868863562</v>
      </c>
      <c r="BC36" s="148">
        <f>BC16/Quarterly!BC16*Quarterly!BC36</f>
        <v>51148.31823867518</v>
      </c>
      <c r="BD36" s="148">
        <f>BD16/Quarterly!BD16*Quarterly!BD36</f>
        <v>52126.313379767591</v>
      </c>
      <c r="BE36" s="148">
        <f>BE16/Quarterly!BE16*Quarterly!BE36</f>
        <v>52890.915222796539</v>
      </c>
      <c r="BF36" s="148">
        <f>BF16/Quarterly!BF16*Quarterly!BF36</f>
        <v>52935.843678614459</v>
      </c>
      <c r="BG36" s="148">
        <f>BG16/Quarterly!BG16*Quarterly!BG36</f>
        <v>52346.553768145634</v>
      </c>
      <c r="BH36" s="148">
        <f>BH16/Quarterly!BH16*Quarterly!BH36</f>
        <v>52428.453948594455</v>
      </c>
      <c r="BI36" s="148">
        <f>BI16/Quarterly!BI16*Quarterly!BI36</f>
        <v>52687.983559556109</v>
      </c>
      <c r="BJ36" s="148">
        <f>BJ16/Quarterly!BJ16*Quarterly!BJ36</f>
        <v>53275.091677535012</v>
      </c>
      <c r="BK36" s="148">
        <f>BK16/Quarterly!BK16*Quarterly!BK36</f>
        <v>53781.366699752543</v>
      </c>
      <c r="BL36" s="148">
        <f>BL16/Quarterly!BL16*Quarterly!BL36</f>
        <v>54045.237170076165</v>
      </c>
      <c r="BM36" s="148">
        <f>BM16/Quarterly!BM16*Quarterly!BM36</f>
        <v>54441.877908695526</v>
      </c>
      <c r="BN36" s="148">
        <f>BN16/Quarterly!BN16*Quarterly!BN36</f>
        <v>55394.382856163764</v>
      </c>
      <c r="BO36" s="148">
        <f>BO16/Quarterly!BO16*Quarterly!BO36</f>
        <v>56055.039686704418</v>
      </c>
      <c r="BP36" s="148">
        <f>BP16/Quarterly!BP16*Quarterly!BP36</f>
        <v>56897.142440444622</v>
      </c>
      <c r="BQ36" s="148">
        <f>BQ16/Quarterly!BQ16*Quarterly!BQ36</f>
        <v>57571.728362921611</v>
      </c>
      <c r="BR36" s="148">
        <f>BR16/Quarterly!BR16*Quarterly!BR36</f>
        <v>57990.314493143676</v>
      </c>
      <c r="BS36" s="148">
        <f>BS16/Quarterly!BS16*Quarterly!BS36</f>
        <v>58273.075887163963</v>
      </c>
      <c r="BT36" s="148">
        <f>BT16/Quarterly!BT16*Quarterly!BT36</f>
        <v>58438.404203377817</v>
      </c>
      <c r="BU36" s="148">
        <f>BU16/Quarterly!BU16*Quarterly!BU36</f>
        <v>58769.754909341296</v>
      </c>
      <c r="BV36" s="148">
        <f>BV16/Quarterly!BV16*Quarterly!BV36</f>
        <v>59293.73459904622</v>
      </c>
      <c r="BW36" s="148">
        <f>BW16/Quarterly!BW16*Quarterly!BW36</f>
        <v>59809.594452567857</v>
      </c>
      <c r="BX36" s="148">
        <f>BX16/Quarterly!BX16*Quarterly!BX36</f>
        <v>59983.955916658801</v>
      </c>
      <c r="BY36" s="148">
        <f>BY16/Quarterly!BY16*Quarterly!BY36</f>
        <v>60210.000619508159</v>
      </c>
    </row>
    <row r="37" spans="1:77">
      <c r="A37" s="169" t="s">
        <v>11</v>
      </c>
      <c r="B37" s="147">
        <f>B17/Quarterly!B17*Quarterly!B37</f>
        <v>10277.60636926008</v>
      </c>
      <c r="C37" s="148">
        <f>C17/Quarterly!C17*Quarterly!C37</f>
        <v>10449.401114021257</v>
      </c>
      <c r="D37" s="148">
        <f>D17/Quarterly!D17*Quarterly!D37</f>
        <v>10536.774578306848</v>
      </c>
      <c r="E37" s="148">
        <f>E17/Quarterly!E17*Quarterly!E37</f>
        <v>10584.346419550309</v>
      </c>
      <c r="F37" s="148">
        <f>F17/Quarterly!F17*Quarterly!F37</f>
        <v>10875.558629859335</v>
      </c>
      <c r="G37" s="148">
        <f>G17/Quarterly!G17*Quarterly!G37</f>
        <v>10707.250335452216</v>
      </c>
      <c r="H37" s="148">
        <f>H17/Quarterly!H17*Quarterly!H37</f>
        <v>10650.357102981685</v>
      </c>
      <c r="I37" s="148">
        <f>I17/Quarterly!I17*Quarterly!I37</f>
        <v>10702.763731488049</v>
      </c>
      <c r="J37" s="148">
        <f>J17/Quarterly!J17*Quarterly!J37</f>
        <v>10677.282808544041</v>
      </c>
      <c r="K37" s="148">
        <f>K17/Quarterly!K17*Quarterly!K37</f>
        <v>10706.184126023316</v>
      </c>
      <c r="L37" s="148">
        <f>L17/Quarterly!L17*Quarterly!L37</f>
        <v>10749.333322067485</v>
      </c>
      <c r="M37" s="148">
        <f>M17/Quarterly!M17*Quarterly!M37</f>
        <v>10760.190840128935</v>
      </c>
      <c r="N37" s="148">
        <f>N17/Quarterly!N17*Quarterly!N37</f>
        <v>11075.751346167715</v>
      </c>
      <c r="O37" s="148">
        <f>O17/Quarterly!O17*Quarterly!O37</f>
        <v>11307.116146117905</v>
      </c>
      <c r="P37" s="148">
        <f>P17/Quarterly!P17*Quarterly!P37</f>
        <v>11514.830586664277</v>
      </c>
      <c r="Q37" s="148">
        <f>Q17/Quarterly!Q17*Quarterly!Q37</f>
        <v>11662.514146375446</v>
      </c>
      <c r="R37" s="148">
        <f>R17/Quarterly!R17*Quarterly!R37</f>
        <v>11687.443924450641</v>
      </c>
      <c r="S37" s="148">
        <f>S17/Quarterly!S17*Quarterly!S37</f>
        <v>11760.924738935802</v>
      </c>
      <c r="T37" s="148">
        <f>T17/Quarterly!T17*Quarterly!T37</f>
        <v>11852.956765909164</v>
      </c>
      <c r="U37" s="148">
        <f>U17/Quarterly!U17*Quarterly!U37</f>
        <v>11942.698700599534</v>
      </c>
      <c r="V37" s="148">
        <f>V17/Quarterly!V17*Quarterly!V37</f>
        <v>12128.089855836737</v>
      </c>
      <c r="W37" s="148">
        <f>W17/Quarterly!W17*Quarterly!W37</f>
        <v>12280.646930324023</v>
      </c>
      <c r="X37" s="148">
        <f>X17/Quarterly!X17*Quarterly!X37</f>
        <v>12459.730902426081</v>
      </c>
      <c r="Y37" s="148">
        <f>Y17/Quarterly!Y17*Quarterly!Y37</f>
        <v>12599.676478031331</v>
      </c>
      <c r="Z37" s="148">
        <f>Z17/Quarterly!Z17*Quarterly!Z37</f>
        <v>12622.452961366402</v>
      </c>
      <c r="AA37" s="148">
        <f>AA17/Quarterly!AA17*Quarterly!AA37</f>
        <v>12627.540515717221</v>
      </c>
      <c r="AB37" s="148">
        <f>AB17/Quarterly!AB17*Quarterly!AB37</f>
        <v>12659.868210881225</v>
      </c>
      <c r="AC37" s="148">
        <f>AC17/Quarterly!AC17*Quarterly!AC37</f>
        <v>12711.368713478296</v>
      </c>
      <c r="AD37" s="148">
        <f>AD17/Quarterly!AD17*Quarterly!AD37</f>
        <v>12765.584260987576</v>
      </c>
      <c r="AE37" s="148">
        <f>AE17/Quarterly!AE17*Quarterly!AE37</f>
        <v>12874.352589132983</v>
      </c>
      <c r="AF37" s="148">
        <f>AF17/Quarterly!AF17*Quarterly!AF37</f>
        <v>13008.708570880317</v>
      </c>
      <c r="AG37" s="148">
        <f>AG17/Quarterly!AG17*Quarterly!AG37</f>
        <v>13193.296318287041</v>
      </c>
      <c r="AH37" s="148">
        <f>AH17/Quarterly!AH17*Quarterly!AH37</f>
        <v>13439.975236828313</v>
      </c>
      <c r="AI37" s="148">
        <f>AI17/Quarterly!AI17*Quarterly!AI37</f>
        <v>13646.301751932226</v>
      </c>
      <c r="AJ37" s="148">
        <f>AJ17/Quarterly!AJ17*Quarterly!AJ37</f>
        <v>13796.431654846316</v>
      </c>
      <c r="AK37" s="148">
        <f>AK17/Quarterly!AK17*Quarterly!AK37</f>
        <v>13847.564037449267</v>
      </c>
      <c r="AL37" s="148">
        <f>AL17/Quarterly!AL17*Quarterly!AL37</f>
        <v>13880.888064876635</v>
      </c>
      <c r="AM37" s="148">
        <f>AM17/Quarterly!AM17*Quarterly!AM37</f>
        <v>13849.189078571591</v>
      </c>
      <c r="AN37" s="148">
        <f>AN17/Quarterly!AN17*Quarterly!AN37</f>
        <v>13931.867877903303</v>
      </c>
      <c r="AO37" s="148">
        <f>AO17/Quarterly!AO17*Quarterly!AO37</f>
        <v>14036.115059669375</v>
      </c>
      <c r="AP37" s="148">
        <f>AP17/Quarterly!AP17*Quarterly!AP37</f>
        <v>14117.401688687987</v>
      </c>
      <c r="AQ37" s="148">
        <f>AQ17/Quarterly!AQ17*Quarterly!AQ37</f>
        <v>14318.217634701421</v>
      </c>
      <c r="AR37" s="148">
        <f>AR17/Quarterly!AR17*Quarterly!AR37</f>
        <v>14495.923473345836</v>
      </c>
      <c r="AS37" s="148">
        <f>AS17/Quarterly!AS17*Quarterly!AS37</f>
        <v>14647.430479616909</v>
      </c>
      <c r="AT37" s="148">
        <f>AT17/Quarterly!AT17*Quarterly!AT37</f>
        <v>14922.63666041151</v>
      </c>
      <c r="AU37" s="148">
        <f>AU17/Quarterly!AU17*Quarterly!AU37</f>
        <v>15095.437942776545</v>
      </c>
      <c r="AV37" s="148">
        <f>AV17/Quarterly!AV17*Quarterly!AV37</f>
        <v>15252.115448558983</v>
      </c>
      <c r="AW37" s="148">
        <f>AW17/Quarterly!AW17*Quarterly!AW37</f>
        <v>15363.678953196168</v>
      </c>
      <c r="AX37" s="148">
        <f>AX17/Quarterly!AX17*Quarterly!AX37</f>
        <v>15606.890873215936</v>
      </c>
      <c r="AY37" s="148">
        <f>AY17/Quarterly!AY17*Quarterly!AY37</f>
        <v>15847.02794142631</v>
      </c>
      <c r="AZ37" s="148">
        <f>AZ17/Quarterly!AZ17*Quarterly!AZ37</f>
        <v>16112.898399738569</v>
      </c>
      <c r="BA37" s="148">
        <f>BA17/Quarterly!BA17*Quarterly!BA37</f>
        <v>16406.572900493906</v>
      </c>
      <c r="BB37" s="148">
        <f>BB17/Quarterly!BB17*Quarterly!BB37</f>
        <v>16463.99801031312</v>
      </c>
      <c r="BC37" s="148">
        <f>BC17/Quarterly!BC17*Quarterly!BC37</f>
        <v>16526.901069443655</v>
      </c>
      <c r="BD37" s="148">
        <f>BD17/Quarterly!BD17*Quarterly!BD37</f>
        <v>16656.770692816513</v>
      </c>
      <c r="BE37" s="148">
        <f>BE17/Quarterly!BE17*Quarterly!BE37</f>
        <v>16737.55317443893</v>
      </c>
      <c r="BF37" s="148">
        <f>BF17/Quarterly!BF17*Quarterly!BF37</f>
        <v>16766.684902030189</v>
      </c>
      <c r="BG37" s="148">
        <f>BG17/Quarterly!BG17*Quarterly!BG37</f>
        <v>16708.352824361322</v>
      </c>
      <c r="BH37" s="148">
        <f>BH17/Quarterly!BH17*Quarterly!BH37</f>
        <v>16536.295131543447</v>
      </c>
      <c r="BI37" s="148">
        <f>BI17/Quarterly!BI17*Quarterly!BI37</f>
        <v>16358.642360568962</v>
      </c>
      <c r="BJ37" s="148">
        <f>BJ17/Quarterly!BJ17*Quarterly!BJ37</f>
        <v>16492.660075439784</v>
      </c>
      <c r="BK37" s="148">
        <f>BK17/Quarterly!BK17*Quarterly!BK37</f>
        <v>16661.509836099292</v>
      </c>
      <c r="BL37" s="148">
        <f>BL17/Quarterly!BL17*Quarterly!BL37</f>
        <v>16781.247383268001</v>
      </c>
      <c r="BM37" s="148">
        <f>BM17/Quarterly!BM17*Quarterly!BM37</f>
        <v>16876.611542349317</v>
      </c>
      <c r="BN37" s="148">
        <f>BN17/Quarterly!BN17*Quarterly!BN37</f>
        <v>16992.101980448464</v>
      </c>
      <c r="BO37" s="148">
        <f>BO17/Quarterly!BO17*Quarterly!BO37</f>
        <v>17091.729880136332</v>
      </c>
      <c r="BP37" s="148">
        <f>BP17/Quarterly!BP17*Quarterly!BP37</f>
        <v>17169.661285462578</v>
      </c>
      <c r="BQ37" s="148">
        <f>BQ17/Quarterly!BQ17*Quarterly!BQ37</f>
        <v>17265.383387227499</v>
      </c>
      <c r="BR37" s="148">
        <f>BR17/Quarterly!BR17*Quarterly!BR37</f>
        <v>17369.433461829292</v>
      </c>
      <c r="BS37" s="148">
        <f>BS17/Quarterly!BS17*Quarterly!BS37</f>
        <v>17462.9020518529</v>
      </c>
      <c r="BT37" s="148">
        <f>BT17/Quarterly!BT17*Quarterly!BT37</f>
        <v>17564.617260608011</v>
      </c>
      <c r="BU37" s="148">
        <f>BU17/Quarterly!BU17*Quarterly!BU37</f>
        <v>17668.746563345758</v>
      </c>
      <c r="BV37" s="148">
        <f>BV17/Quarterly!BV17*Quarterly!BV37</f>
        <v>17763.468761062646</v>
      </c>
      <c r="BW37" s="148">
        <f>BW17/Quarterly!BW17*Quarterly!BW37</f>
        <v>17833.757609312845</v>
      </c>
      <c r="BX37" s="148">
        <f>BX17/Quarterly!BX17*Quarterly!BX37</f>
        <v>17902.963648363639</v>
      </c>
      <c r="BY37" s="148">
        <f>BY17/Quarterly!BY17*Quarterly!BY37</f>
        <v>17961.160635225115</v>
      </c>
    </row>
    <row r="38" spans="1:77">
      <c r="A38" s="167" t="s">
        <v>12</v>
      </c>
      <c r="B38" s="150">
        <f>B18/Quarterly!B18*Quarterly!B38</f>
        <v>26059.150229857863</v>
      </c>
      <c r="C38" s="151">
        <f>C18/Quarterly!C18*Quarterly!C38</f>
        <v>26082.641368426543</v>
      </c>
      <c r="D38" s="151">
        <f>D18/Quarterly!D18*Quarterly!D38</f>
        <v>26101.352333449271</v>
      </c>
      <c r="E38" s="151">
        <f>E18/Quarterly!E18*Quarterly!E38</f>
        <v>26119.790145697949</v>
      </c>
      <c r="F38" s="151">
        <f>F18/Quarterly!F18*Quarterly!F38</f>
        <v>26805.384952078493</v>
      </c>
      <c r="G38" s="151">
        <f>G18/Quarterly!G18*Quarterly!G38</f>
        <v>27016.755044296522</v>
      </c>
      <c r="H38" s="151">
        <f>H18/Quarterly!H18*Quarterly!H38</f>
        <v>27185.030668370884</v>
      </c>
      <c r="I38" s="151">
        <f>I18/Quarterly!I18*Quarterly!I38</f>
        <v>27305.539432789406</v>
      </c>
      <c r="J38" s="151">
        <f>J18/Quarterly!J18*Quarterly!J38</f>
        <v>26483.016343886036</v>
      </c>
      <c r="K38" s="151">
        <f>K18/Quarterly!K18*Quarterly!K38</f>
        <v>26445.184713357998</v>
      </c>
      <c r="L38" s="151">
        <f>L18/Quarterly!L18*Quarterly!L38</f>
        <v>26395.909337712354</v>
      </c>
      <c r="M38" s="151">
        <f>M18/Quarterly!M18*Quarterly!M38</f>
        <v>26367.501970245263</v>
      </c>
      <c r="N38" s="151">
        <f>N18/Quarterly!N18*Quarterly!N38</f>
        <v>27036.894060995513</v>
      </c>
      <c r="O38" s="151">
        <f>O18/Quarterly!O18*Quarterly!O38</f>
        <v>26968.875239305064</v>
      </c>
      <c r="P38" s="151">
        <f>P18/Quarterly!P18*Quarterly!P38</f>
        <v>26881.501468353094</v>
      </c>
      <c r="Q38" s="151">
        <f>Q18/Quarterly!Q18*Quarterly!Q38</f>
        <v>26831.86984846108</v>
      </c>
      <c r="R38" s="151">
        <f>R18/Quarterly!R18*Quarterly!R38</f>
        <v>26103.143564472673</v>
      </c>
      <c r="S38" s="151">
        <f>S18/Quarterly!S18*Quarterly!S38</f>
        <v>26056.84642128905</v>
      </c>
      <c r="T38" s="151">
        <f>T18/Quarterly!T18*Quarterly!T38</f>
        <v>25966.54007513728</v>
      </c>
      <c r="U38" s="151">
        <f>U18/Quarterly!U18*Quarterly!U38</f>
        <v>25842.318379909131</v>
      </c>
      <c r="V38" s="151">
        <f>V18/Quarterly!V18*Quarterly!V38</f>
        <v>26021.770322683074</v>
      </c>
      <c r="W38" s="151">
        <f>W18/Quarterly!W18*Quarterly!W38</f>
        <v>25974.767166848716</v>
      </c>
      <c r="X38" s="151">
        <f>X18/Quarterly!X18*Quarterly!X38</f>
        <v>25889.57039138964</v>
      </c>
      <c r="Y38" s="151">
        <f>Y18/Quarterly!Y18*Quarterly!Y38</f>
        <v>25780.354626753837</v>
      </c>
      <c r="Z38" s="151">
        <f>Z18/Quarterly!Z18*Quarterly!Z38</f>
        <v>26341.412259394248</v>
      </c>
      <c r="AA38" s="151">
        <f>AA18/Quarterly!AA18*Quarterly!AA38</f>
        <v>26227.838973999256</v>
      </c>
      <c r="AB38" s="151">
        <f>AB18/Quarterly!AB18*Quarterly!AB38</f>
        <v>26066.241990770173</v>
      </c>
      <c r="AC38" s="151">
        <f>AC18/Quarterly!AC18*Quarterly!AC38</f>
        <v>25996.552429258059</v>
      </c>
      <c r="AD38" s="151">
        <f>AD18/Quarterly!AD18*Quarterly!AD38</f>
        <v>26115.789641172149</v>
      </c>
      <c r="AE38" s="151">
        <f>AE18/Quarterly!AE18*Quarterly!AE38</f>
        <v>26231.088103436399</v>
      </c>
      <c r="AF38" s="151">
        <f>AF18/Quarterly!AF18*Quarterly!AF38</f>
        <v>26330.426396699873</v>
      </c>
      <c r="AG38" s="151">
        <f>AG18/Quarterly!AG18*Quarterly!AG38</f>
        <v>26390.13944278899</v>
      </c>
      <c r="AH38" s="151">
        <f>AH18/Quarterly!AH18*Quarterly!AH38</f>
        <v>26601.072980700523</v>
      </c>
      <c r="AI38" s="151">
        <f>AI18/Quarterly!AI18*Quarterly!AI38</f>
        <v>26764.031353270901</v>
      </c>
      <c r="AJ38" s="151">
        <f>AJ18/Quarterly!AJ18*Quarterly!AJ38</f>
        <v>26932.189069382559</v>
      </c>
      <c r="AK38" s="151">
        <f>AK18/Quarterly!AK18*Quarterly!AK38</f>
        <v>27079.002112008933</v>
      </c>
      <c r="AL38" s="151">
        <f>AL18/Quarterly!AL18*Quarterly!AL38</f>
        <v>26915.138612374554</v>
      </c>
      <c r="AM38" s="151">
        <f>AM18/Quarterly!AM18*Quarterly!AM38</f>
        <v>27103.864477765379</v>
      </c>
      <c r="AN38" s="151">
        <f>AN18/Quarterly!AN18*Quarterly!AN38</f>
        <v>27236.93866403231</v>
      </c>
      <c r="AO38" s="151">
        <f>AO18/Quarterly!AO18*Quarterly!AO38</f>
        <v>27569.351994349392</v>
      </c>
      <c r="AP38" s="151">
        <f>AP18/Quarterly!AP18*Quarterly!AP38</f>
        <v>28103.410483220581</v>
      </c>
      <c r="AQ38" s="151">
        <f>AQ18/Quarterly!AQ18*Quarterly!AQ38</f>
        <v>28431.131468827676</v>
      </c>
      <c r="AR38" s="151">
        <f>AR18/Quarterly!AR18*Quarterly!AR38</f>
        <v>28594.991961631225</v>
      </c>
      <c r="AS38" s="151">
        <f>AS18/Quarterly!AS18*Quarterly!AS38</f>
        <v>28597.173132916461</v>
      </c>
      <c r="AT38" s="151">
        <f>AT18/Quarterly!AT18*Quarterly!AT38</f>
        <v>28969.476215775052</v>
      </c>
      <c r="AU38" s="151">
        <f>AU18/Quarterly!AU18*Quarterly!AU38</f>
        <v>29158.133672264292</v>
      </c>
      <c r="AV38" s="151">
        <f>AV18/Quarterly!AV18*Quarterly!AV38</f>
        <v>29304.019690964633</v>
      </c>
      <c r="AW38" s="151">
        <f>AW18/Quarterly!AW18*Quarterly!AW38</f>
        <v>29684.195114113707</v>
      </c>
      <c r="AX38" s="151">
        <f>AX18/Quarterly!AX18*Quarterly!AX38</f>
        <v>30259.801686405044</v>
      </c>
      <c r="AY38" s="151">
        <f>AY18/Quarterly!AY18*Quarterly!AY38</f>
        <v>30259.665221783318</v>
      </c>
      <c r="AZ38" s="151">
        <f>AZ18/Quarterly!AZ18*Quarterly!AZ38</f>
        <v>30533.549717589751</v>
      </c>
      <c r="BA38" s="151">
        <f>BA18/Quarterly!BA18*Quarterly!BA38</f>
        <v>30828.44976514217</v>
      </c>
      <c r="BB38" s="151">
        <f>BB18/Quarterly!BB18*Quarterly!BB38</f>
        <v>31542.91286898699</v>
      </c>
      <c r="BC38" s="151">
        <f>BC18/Quarterly!BC18*Quarterly!BC38</f>
        <v>31710.426937877091</v>
      </c>
      <c r="BD38" s="151">
        <f>BD18/Quarterly!BD18*Quarterly!BD38</f>
        <v>32186.807912202341</v>
      </c>
      <c r="BE38" s="151">
        <f>BE18/Quarterly!BE18*Quarterly!BE38</f>
        <v>32443.626292553079</v>
      </c>
      <c r="BF38" s="151">
        <f>BF18/Quarterly!BF18*Quarterly!BF38</f>
        <v>32824.920453593557</v>
      </c>
      <c r="BG38" s="151">
        <f>BG18/Quarterly!BG18*Quarterly!BG38</f>
        <v>33229.618570409679</v>
      </c>
      <c r="BH38" s="151">
        <f>BH18/Quarterly!BH18*Quarterly!BH38</f>
        <v>33325.212237258282</v>
      </c>
      <c r="BI38" s="151">
        <f>BI18/Quarterly!BI18*Quarterly!BI38</f>
        <v>33488.32406708163</v>
      </c>
      <c r="BJ38" s="151">
        <f>BJ18/Quarterly!BJ18*Quarterly!BJ38</f>
        <v>33916.931620873431</v>
      </c>
      <c r="BK38" s="151">
        <f>BK18/Quarterly!BK18*Quarterly!BK38</f>
        <v>34255.63987545971</v>
      </c>
      <c r="BL38" s="151">
        <f>BL18/Quarterly!BL18*Quarterly!BL38</f>
        <v>34538.332583675976</v>
      </c>
      <c r="BM38" s="151">
        <f>BM18/Quarterly!BM18*Quarterly!BM38</f>
        <v>34927.138280224623</v>
      </c>
      <c r="BN38" s="151">
        <f>BN18/Quarterly!BN18*Quarterly!BN38</f>
        <v>35343.119590888244</v>
      </c>
      <c r="BO38" s="151">
        <f>BO18/Quarterly!BO18*Quarterly!BO38</f>
        <v>35699.317236829353</v>
      </c>
      <c r="BP38" s="151">
        <f>BP18/Quarterly!BP18*Quarterly!BP38</f>
        <v>35969.080523554461</v>
      </c>
      <c r="BQ38" s="151">
        <f>BQ18/Quarterly!BQ18*Quarterly!BQ38</f>
        <v>36400.151244994791</v>
      </c>
      <c r="BR38" s="151">
        <f>BR18/Quarterly!BR18*Quarterly!BR38</f>
        <v>36459.959611794693</v>
      </c>
      <c r="BS38" s="151">
        <f>BS18/Quarterly!BS18*Quarterly!BS38</f>
        <v>36590.617794608486</v>
      </c>
      <c r="BT38" s="151">
        <f>BT18/Quarterly!BT18*Quarterly!BT38</f>
        <v>36906.122922371469</v>
      </c>
      <c r="BU38" s="151">
        <f>BU18/Quarterly!BU18*Quarterly!BU38</f>
        <v>37323.403897799937</v>
      </c>
      <c r="BV38" s="151">
        <f>BV18/Quarterly!BV18*Quarterly!BV38</f>
        <v>37330.814800391679</v>
      </c>
      <c r="BW38" s="151">
        <f>BW18/Quarterly!BW18*Quarterly!BW38</f>
        <v>37352.545950411812</v>
      </c>
      <c r="BX38" s="151">
        <f>BX18/Quarterly!BX18*Quarterly!BX38</f>
        <v>37393.11993304432</v>
      </c>
      <c r="BY38" s="151">
        <f>BY18/Quarterly!BY18*Quarterly!BY38</f>
        <v>37480.044533124812</v>
      </c>
    </row>
    <row r="39" spans="1:77">
      <c r="A39" s="168" t="s">
        <v>13</v>
      </c>
      <c r="B39" s="125">
        <f t="shared" ref="B39:H39" si="49">B33+B29+B26</f>
        <v>162105.58308114932</v>
      </c>
      <c r="C39" s="126">
        <f t="shared" si="49"/>
        <v>162259.94405720138</v>
      </c>
      <c r="D39" s="126">
        <f t="shared" si="49"/>
        <v>162985.69984655868</v>
      </c>
      <c r="E39" s="126">
        <f t="shared" si="49"/>
        <v>163532.78948265762</v>
      </c>
      <c r="F39" s="126">
        <f t="shared" si="49"/>
        <v>167693.80961440687</v>
      </c>
      <c r="G39" s="126">
        <f t="shared" si="49"/>
        <v>170095.55011694325</v>
      </c>
      <c r="H39" s="126">
        <f t="shared" si="49"/>
        <v>172439.26959230276</v>
      </c>
      <c r="I39" s="126">
        <f t="shared" ref="I39:BF39" si="50">I33+I29+I26</f>
        <v>174275.1280068293</v>
      </c>
      <c r="J39" s="126">
        <f t="shared" si="50"/>
        <v>173163.99622885612</v>
      </c>
      <c r="K39" s="126">
        <f t="shared" si="50"/>
        <v>174517.52876413547</v>
      </c>
      <c r="L39" s="126">
        <f t="shared" si="50"/>
        <v>174782.80999303411</v>
      </c>
      <c r="M39" s="126">
        <f t="shared" si="50"/>
        <v>174639.57748632136</v>
      </c>
      <c r="N39" s="126">
        <f t="shared" si="50"/>
        <v>175961.06260214571</v>
      </c>
      <c r="O39" s="126">
        <f t="shared" si="50"/>
        <v>176376.65793324</v>
      </c>
      <c r="P39" s="126">
        <f t="shared" si="50"/>
        <v>175946.03152371626</v>
      </c>
      <c r="Q39" s="126">
        <f t="shared" si="50"/>
        <v>176238.60533843061</v>
      </c>
      <c r="R39" s="126">
        <f t="shared" si="50"/>
        <v>175048.7746979385</v>
      </c>
      <c r="S39" s="126">
        <f t="shared" si="50"/>
        <v>176830.17961594628</v>
      </c>
      <c r="T39" s="126">
        <f t="shared" si="50"/>
        <v>179098.90681514607</v>
      </c>
      <c r="U39" s="126">
        <f t="shared" si="50"/>
        <v>181484.30971823534</v>
      </c>
      <c r="V39" s="126">
        <f t="shared" si="50"/>
        <v>183548.39783130493</v>
      </c>
      <c r="W39" s="126">
        <f t="shared" si="50"/>
        <v>185658.86551720137</v>
      </c>
      <c r="X39" s="126">
        <f t="shared" si="50"/>
        <v>187865.27985681625</v>
      </c>
      <c r="Y39" s="126">
        <f t="shared" si="50"/>
        <v>189609.37106647296</v>
      </c>
      <c r="Z39" s="126">
        <f t="shared" si="50"/>
        <v>193151.79487480674</v>
      </c>
      <c r="AA39" s="126">
        <f t="shared" si="50"/>
        <v>194034.11683880282</v>
      </c>
      <c r="AB39" s="126">
        <f t="shared" si="50"/>
        <v>194433.94150266322</v>
      </c>
      <c r="AC39" s="126">
        <f t="shared" si="50"/>
        <v>196094.87686099391</v>
      </c>
      <c r="AD39" s="126">
        <f t="shared" si="50"/>
        <v>196526.94747607861</v>
      </c>
      <c r="AE39" s="126">
        <f t="shared" si="50"/>
        <v>199374.35652120181</v>
      </c>
      <c r="AF39" s="126">
        <f t="shared" si="50"/>
        <v>201068.41345804642</v>
      </c>
      <c r="AG39" s="126">
        <f t="shared" si="50"/>
        <v>202662.24233160846</v>
      </c>
      <c r="AH39" s="126">
        <f t="shared" si="50"/>
        <v>204613.54078347128</v>
      </c>
      <c r="AI39" s="126">
        <f t="shared" si="50"/>
        <v>205252.92760668381</v>
      </c>
      <c r="AJ39" s="126">
        <f t="shared" si="50"/>
        <v>205907.17939993268</v>
      </c>
      <c r="AK39" s="126">
        <f t="shared" si="50"/>
        <v>206870.66553172897</v>
      </c>
      <c r="AL39" s="126">
        <f t="shared" si="50"/>
        <v>209999.34281391086</v>
      </c>
      <c r="AM39" s="126">
        <f t="shared" si="50"/>
        <v>213205.31904232028</v>
      </c>
      <c r="AN39" s="126">
        <f t="shared" si="50"/>
        <v>216708.0187027452</v>
      </c>
      <c r="AO39" s="126">
        <f t="shared" si="50"/>
        <v>219445.74126859612</v>
      </c>
      <c r="AP39" s="126">
        <f t="shared" si="50"/>
        <v>222058.74827320615</v>
      </c>
      <c r="AQ39" s="126">
        <f t="shared" si="50"/>
        <v>226496.44628685823</v>
      </c>
      <c r="AR39" s="126">
        <f t="shared" si="50"/>
        <v>229942.23564696193</v>
      </c>
      <c r="AS39" s="126">
        <f t="shared" si="50"/>
        <v>231664.06401852707</v>
      </c>
      <c r="AT39" s="126">
        <f t="shared" si="50"/>
        <v>234874.49924733429</v>
      </c>
      <c r="AU39" s="126">
        <f t="shared" si="50"/>
        <v>238217.27262300579</v>
      </c>
      <c r="AV39" s="126">
        <f t="shared" si="50"/>
        <v>241624.9353222512</v>
      </c>
      <c r="AW39" s="126">
        <f t="shared" si="50"/>
        <v>244845.8578828224</v>
      </c>
      <c r="AX39" s="126">
        <f t="shared" si="50"/>
        <v>249631.98178728175</v>
      </c>
      <c r="AY39" s="126">
        <f t="shared" si="50"/>
        <v>252353.04878936108</v>
      </c>
      <c r="AZ39" s="126">
        <f t="shared" si="50"/>
        <v>255379.25196988074</v>
      </c>
      <c r="BA39" s="126">
        <f t="shared" si="50"/>
        <v>259753.60005512674</v>
      </c>
      <c r="BB39" s="126">
        <f t="shared" si="50"/>
        <v>262150.19827704097</v>
      </c>
      <c r="BC39" s="126">
        <f t="shared" si="50"/>
        <v>265622.58198336104</v>
      </c>
      <c r="BD39" s="126">
        <f t="shared" si="50"/>
        <v>266910.64331209735</v>
      </c>
      <c r="BE39" s="126">
        <f t="shared" si="50"/>
        <v>265223.91412488982</v>
      </c>
      <c r="BF39" s="126">
        <f t="shared" si="50"/>
        <v>261800.74148776484</v>
      </c>
      <c r="BG39" s="126">
        <f t="shared" ref="BG39:BQ39" si="51">BG33+BG29+BG26</f>
        <v>259445.97387231665</v>
      </c>
      <c r="BH39" s="126">
        <f t="shared" si="51"/>
        <v>260785.21874618318</v>
      </c>
      <c r="BI39" s="126">
        <f t="shared" si="51"/>
        <v>262832.49359934387</v>
      </c>
      <c r="BJ39" s="126">
        <f t="shared" si="51"/>
        <v>266766.06231704913</v>
      </c>
      <c r="BK39" s="126">
        <f t="shared" si="51"/>
        <v>269834.45126052224</v>
      </c>
      <c r="BL39" s="126">
        <f t="shared" si="51"/>
        <v>271403.36078583822</v>
      </c>
      <c r="BM39" s="126">
        <f t="shared" si="51"/>
        <v>274228.62862895161</v>
      </c>
      <c r="BN39" s="126">
        <f t="shared" si="51"/>
        <v>278191.18791327497</v>
      </c>
      <c r="BO39" s="126">
        <f t="shared" si="51"/>
        <v>279110.85873725382</v>
      </c>
      <c r="BP39" s="126">
        <f t="shared" si="51"/>
        <v>280558.55126934656</v>
      </c>
      <c r="BQ39" s="126">
        <f t="shared" si="51"/>
        <v>283033.95587290393</v>
      </c>
      <c r="BR39" s="126">
        <f t="shared" ref="BR39:BT39" si="52">BR33+BR29+BR26</f>
        <v>285544.71623405925</v>
      </c>
      <c r="BS39" s="126">
        <f t="shared" si="52"/>
        <v>286807.88083246263</v>
      </c>
      <c r="BT39" s="126">
        <f t="shared" si="52"/>
        <v>288089.76505260036</v>
      </c>
      <c r="BU39" s="126">
        <f t="shared" ref="BU39:BY39" si="53">BU33+BU29+BU26</f>
        <v>290295.87560394336</v>
      </c>
      <c r="BV39" s="126">
        <f t="shared" si="53"/>
        <v>290299.37006419309</v>
      </c>
      <c r="BW39" s="126">
        <f t="shared" si="53"/>
        <v>293114.12359935418</v>
      </c>
      <c r="BX39" s="126">
        <f t="shared" si="53"/>
        <v>293003.49437251233</v>
      </c>
      <c r="BY39" s="126">
        <f t="shared" si="53"/>
        <v>295975.10310874757</v>
      </c>
    </row>
    <row r="40" spans="1:77">
      <c r="A40" s="153" t="s">
        <v>14</v>
      </c>
      <c r="B40" s="147">
        <f>B20/Quarterly!B20*Quarterly!B40</f>
        <v>21413.03517240904</v>
      </c>
      <c r="C40" s="148">
        <f>C20/Quarterly!C20*Quarterly!C40</f>
        <v>21415.740687930389</v>
      </c>
      <c r="D40" s="148">
        <f>D20/Quarterly!D20*Quarterly!D40</f>
        <v>21603.35801643235</v>
      </c>
      <c r="E40" s="148">
        <f>E20/Quarterly!E20*Quarterly!E40</f>
        <v>21690.747636690063</v>
      </c>
      <c r="F40" s="148">
        <f>F20/Quarterly!F20*Quarterly!F40</f>
        <v>21977.695490906695</v>
      </c>
      <c r="G40" s="148">
        <f>G20/Quarterly!G20*Quarterly!G40</f>
        <v>22632.725327128886</v>
      </c>
      <c r="H40" s="148">
        <f>H20/Quarterly!H20*Quarterly!H40</f>
        <v>22878.549345953539</v>
      </c>
      <c r="I40" s="148">
        <f>I20/Quarterly!I20*Quarterly!I40</f>
        <v>23157.890867140559</v>
      </c>
      <c r="J40" s="148">
        <f>J20/Quarterly!J20*Quarterly!J40</f>
        <v>23200.687521357057</v>
      </c>
      <c r="K40" s="148">
        <f>K20/Quarterly!K20*Quarterly!K40</f>
        <v>23273.836704764573</v>
      </c>
      <c r="L40" s="148">
        <f>L20/Quarterly!L20*Quarterly!L40</f>
        <v>23318.537734659607</v>
      </c>
      <c r="M40" s="148">
        <f>M20/Quarterly!M20*Quarterly!M40</f>
        <v>23355.015897442336</v>
      </c>
      <c r="N40" s="148">
        <f>N20/Quarterly!N20*Quarterly!N40</f>
        <v>23366.862333719688</v>
      </c>
      <c r="O40" s="148">
        <f>O20/Quarterly!O20*Quarterly!O40</f>
        <v>23156.284193714109</v>
      </c>
      <c r="P40" s="148">
        <f>P20/Quarterly!P20*Quarterly!P40</f>
        <v>23049.265082472535</v>
      </c>
      <c r="Q40" s="148">
        <f>Q20/Quarterly!Q20*Quarterly!Q40</f>
        <v>23053.860989947396</v>
      </c>
      <c r="R40" s="148">
        <f>R20/Quarterly!R20*Quarterly!R40</f>
        <v>22600.745556679994</v>
      </c>
      <c r="S40" s="148">
        <f>S20/Quarterly!S20*Quarterly!S40</f>
        <v>22581.496451244155</v>
      </c>
      <c r="T40" s="148">
        <f>T20/Quarterly!T20*Quarterly!T40</f>
        <v>22737.964764396907</v>
      </c>
      <c r="U40" s="148">
        <f>U20/Quarterly!U20*Quarterly!U40</f>
        <v>22888.678512169561</v>
      </c>
      <c r="V40" s="148">
        <f>V20/Quarterly!V20*Quarterly!V40</f>
        <v>23110.972703145919</v>
      </c>
      <c r="W40" s="148">
        <f>W20/Quarterly!W20*Quarterly!W40</f>
        <v>23168.679906753245</v>
      </c>
      <c r="X40" s="148">
        <f>X20/Quarterly!X20*Quarterly!X40</f>
        <v>23350.481059874877</v>
      </c>
      <c r="Y40" s="148">
        <f>Y20/Quarterly!Y20*Quarterly!Y40</f>
        <v>23492.71862935038</v>
      </c>
      <c r="Z40" s="148">
        <f>Z20/Quarterly!Z20*Quarterly!Z40</f>
        <v>24595.424110455173</v>
      </c>
      <c r="AA40" s="148">
        <f>AA20/Quarterly!AA20*Quarterly!AA40</f>
        <v>24641.127486077141</v>
      </c>
      <c r="AB40" s="148">
        <f>AB20/Quarterly!AB20*Quarterly!AB40</f>
        <v>24749.973005994205</v>
      </c>
      <c r="AC40" s="148">
        <f>AC20/Quarterly!AC20*Quarterly!AC40</f>
        <v>24936.143728651907</v>
      </c>
      <c r="AD40" s="148">
        <f>AD20/Quarterly!AD20*Quarterly!AD40</f>
        <v>24334.391009837749</v>
      </c>
      <c r="AE40" s="148">
        <f>AE20/Quarterly!AE20*Quarterly!AE40</f>
        <v>24464.707277294936</v>
      </c>
      <c r="AF40" s="148">
        <f>AF20/Quarterly!AF20*Quarterly!AF40</f>
        <v>24843.198172337241</v>
      </c>
      <c r="AG40" s="148">
        <f>AG20/Quarterly!AG20*Quarterly!AG40</f>
        <v>24817.790598178923</v>
      </c>
      <c r="AH40" s="148">
        <f>AH20/Quarterly!AH20*Quarterly!AH40</f>
        <v>24831.793653133409</v>
      </c>
      <c r="AI40" s="148">
        <f>AI20/Quarterly!AI20*Quarterly!AI40</f>
        <v>24927.046535790643</v>
      </c>
      <c r="AJ40" s="148">
        <f>AJ20/Quarterly!AJ20*Quarterly!AJ40</f>
        <v>25041.122816042844</v>
      </c>
      <c r="AK40" s="148">
        <f>AK20/Quarterly!AK20*Quarterly!AK40</f>
        <v>25284.042007419139</v>
      </c>
      <c r="AL40" s="148">
        <f>AL20/Quarterly!AL20*Quarterly!AL40</f>
        <v>25518.466778343296</v>
      </c>
      <c r="AM40" s="148">
        <f>AM20/Quarterly!AM20*Quarterly!AM40</f>
        <v>26014.315186006988</v>
      </c>
      <c r="AN40" s="148">
        <f>AN20/Quarterly!AN20*Quarterly!AN40</f>
        <v>26503.202613739384</v>
      </c>
      <c r="AO40" s="148">
        <f>AO20/Quarterly!AO20*Quarterly!AO40</f>
        <v>26825.512172883489</v>
      </c>
      <c r="AP40" s="148">
        <f>AP20/Quarterly!AP20*Quarterly!AP40</f>
        <v>26759.894889245166</v>
      </c>
      <c r="AQ40" s="148">
        <f>AQ20/Quarterly!AQ20*Quarterly!AQ40</f>
        <v>27311.544601490259</v>
      </c>
      <c r="AR40" s="148">
        <f>AR20/Quarterly!AR20*Quarterly!AR40</f>
        <v>27688.167158877863</v>
      </c>
      <c r="AS40" s="148">
        <f>AS20/Quarterly!AS20*Quarterly!AS40</f>
        <v>27836.431066792538</v>
      </c>
      <c r="AT40" s="148">
        <f>AT20/Quarterly!AT20*Quarterly!AT40</f>
        <v>28260.364321064011</v>
      </c>
      <c r="AU40" s="148">
        <f>AU20/Quarterly!AU20*Quarterly!AU40</f>
        <v>28991.693592113254</v>
      </c>
      <c r="AV40" s="148">
        <f>AV20/Quarterly!AV20*Quarterly!AV40</f>
        <v>29240.58119660629</v>
      </c>
      <c r="AW40" s="148">
        <f>AW20/Quarterly!AW20*Quarterly!AW40</f>
        <v>30126.214326212816</v>
      </c>
      <c r="AX40" s="148">
        <f>AX20/Quarterly!AX20*Quarterly!AX40</f>
        <v>30272.684717811422</v>
      </c>
      <c r="AY40" s="148">
        <f>AY20/Quarterly!AY20*Quarterly!AY40</f>
        <v>30314.657968935484</v>
      </c>
      <c r="AZ40" s="148">
        <f>AZ20/Quarterly!AZ20*Quarterly!AZ40</f>
        <v>30698.689094162633</v>
      </c>
      <c r="BA40" s="148">
        <f>BA20/Quarterly!BA20*Quarterly!BA40</f>
        <v>30992.180217922905</v>
      </c>
      <c r="BB40" s="148">
        <f>BB20/Quarterly!BB20*Quarterly!BB40</f>
        <v>31277.038404185998</v>
      </c>
      <c r="BC40" s="148">
        <f>BC20/Quarterly!BC20*Quarterly!BC40</f>
        <v>31381.891136052334</v>
      </c>
      <c r="BD40" s="148">
        <f>BD20/Quarterly!BD20*Quarterly!BD40</f>
        <v>31564.054637958383</v>
      </c>
      <c r="BE40" s="148">
        <f>BE20/Quarterly!BE20*Quarterly!BE40</f>
        <v>31273.011801579756</v>
      </c>
      <c r="BF40" s="148">
        <f>BF20/Quarterly!BF20*Quarterly!BF40</f>
        <v>30740.164190989217</v>
      </c>
      <c r="BG40" s="148">
        <f>BG20/Quarterly!BG20*Quarterly!BG40</f>
        <v>30148.208926728061</v>
      </c>
      <c r="BH40" s="148">
        <f>BH20/Quarterly!BH20*Quarterly!BH40</f>
        <v>30311.178329631068</v>
      </c>
      <c r="BI40" s="148">
        <f>BI20/Quarterly!BI20*Quarterly!BI40</f>
        <v>30802.34775899482</v>
      </c>
      <c r="BJ40" s="148">
        <f>BJ20/Quarterly!BJ20*Quarterly!BJ40</f>
        <v>31635.950988133271</v>
      </c>
      <c r="BK40" s="148">
        <f>BK20/Quarterly!BK20*Quarterly!BK40</f>
        <v>31849.209394657602</v>
      </c>
      <c r="BL40" s="148">
        <f>BL20/Quarterly!BL20*Quarterly!BL40</f>
        <v>32224.622810751142</v>
      </c>
      <c r="BM40" s="148">
        <f>BM20/Quarterly!BM20*Quarterly!BM40</f>
        <v>32528.950091336559</v>
      </c>
      <c r="BN40" s="148">
        <f>BN20/Quarterly!BN20*Quarterly!BN40</f>
        <v>32642.418912806126</v>
      </c>
      <c r="BO40" s="148">
        <f>BO20/Quarterly!BO20*Quarterly!BO40</f>
        <v>32962.860239697962</v>
      </c>
      <c r="BP40" s="148">
        <f>BP20/Quarterly!BP20*Quarterly!BP40</f>
        <v>33284.10831716103</v>
      </c>
      <c r="BQ40" s="148">
        <f>BQ20/Quarterly!BQ20*Quarterly!BQ40</f>
        <v>33767.513259440952</v>
      </c>
      <c r="BR40" s="148">
        <f>BR20/Quarterly!BR20*Quarterly!BR40</f>
        <v>34269.046408033202</v>
      </c>
      <c r="BS40" s="148">
        <f>BS20/Quarterly!BS20*Quarterly!BS40</f>
        <v>34460.090965054893</v>
      </c>
      <c r="BT40" s="148">
        <f>BT20/Quarterly!BT20*Quarterly!BT40</f>
        <v>34577.920841541316</v>
      </c>
      <c r="BU40" s="148">
        <f>BU20/Quarterly!BU20*Quarterly!BU40</f>
        <v>34683.657221689326</v>
      </c>
      <c r="BV40" s="148">
        <f>BV20/Quarterly!BV20*Quarterly!BV40</f>
        <v>34362.261924656174</v>
      </c>
      <c r="BW40" s="148">
        <f>BW20/Quarterly!BW20*Quarterly!BW40</f>
        <v>34626.273719086035</v>
      </c>
      <c r="BX40" s="148">
        <f>BX20/Quarterly!BX20*Quarterly!BX40</f>
        <v>34803.193817914325</v>
      </c>
      <c r="BY40" s="148">
        <f>BY20/Quarterly!BY20*Quarterly!BY40</f>
        <v>34961.922860175204</v>
      </c>
    </row>
    <row r="41" spans="1:77" ht="13.5" thickBot="1">
      <c r="A41" s="173" t="s">
        <v>282</v>
      </c>
      <c r="B41" s="106">
        <f t="shared" ref="B41:H41" si="54">B39+B40</f>
        <v>183518.61825355835</v>
      </c>
      <c r="C41" s="107">
        <f t="shared" si="54"/>
        <v>183675.68474513176</v>
      </c>
      <c r="D41" s="107">
        <f t="shared" si="54"/>
        <v>184589.05786299103</v>
      </c>
      <c r="E41" s="107">
        <f t="shared" si="54"/>
        <v>185223.53711934769</v>
      </c>
      <c r="F41" s="107">
        <f t="shared" si="54"/>
        <v>189671.50510531355</v>
      </c>
      <c r="G41" s="107">
        <f t="shared" si="54"/>
        <v>192728.27544407215</v>
      </c>
      <c r="H41" s="107">
        <f t="shared" si="54"/>
        <v>195317.8189382563</v>
      </c>
      <c r="I41" s="107">
        <f t="shared" ref="I41:BF41" si="55">I39+I40</f>
        <v>197433.01887396985</v>
      </c>
      <c r="J41" s="107">
        <f t="shared" si="55"/>
        <v>196364.68375021318</v>
      </c>
      <c r="K41" s="107">
        <f t="shared" si="55"/>
        <v>197791.36546890004</v>
      </c>
      <c r="L41" s="107">
        <f t="shared" si="55"/>
        <v>198101.34772769373</v>
      </c>
      <c r="M41" s="107">
        <f t="shared" si="55"/>
        <v>197994.59338376368</v>
      </c>
      <c r="N41" s="107">
        <f t="shared" si="55"/>
        <v>199327.92493586539</v>
      </c>
      <c r="O41" s="107">
        <f t="shared" si="55"/>
        <v>199532.94212695412</v>
      </c>
      <c r="P41" s="107">
        <f t="shared" si="55"/>
        <v>198995.29660618879</v>
      </c>
      <c r="Q41" s="107">
        <f t="shared" si="55"/>
        <v>199292.46632837801</v>
      </c>
      <c r="R41" s="107">
        <f t="shared" si="55"/>
        <v>197649.52025461849</v>
      </c>
      <c r="S41" s="107">
        <f t="shared" si="55"/>
        <v>199411.67606719045</v>
      </c>
      <c r="T41" s="107">
        <f t="shared" si="55"/>
        <v>201836.87157954299</v>
      </c>
      <c r="U41" s="107">
        <f t="shared" si="55"/>
        <v>204372.98823040491</v>
      </c>
      <c r="V41" s="107">
        <f t="shared" si="55"/>
        <v>206659.37053445086</v>
      </c>
      <c r="W41" s="107">
        <f t="shared" si="55"/>
        <v>208827.54542395461</v>
      </c>
      <c r="X41" s="107">
        <f t="shared" si="55"/>
        <v>211215.76091669113</v>
      </c>
      <c r="Y41" s="107">
        <f t="shared" si="55"/>
        <v>213102.08969582335</v>
      </c>
      <c r="Z41" s="107">
        <f t="shared" si="55"/>
        <v>217747.21898526192</v>
      </c>
      <c r="AA41" s="107">
        <f t="shared" si="55"/>
        <v>218675.24432487995</v>
      </c>
      <c r="AB41" s="107">
        <f t="shared" si="55"/>
        <v>219183.91450865741</v>
      </c>
      <c r="AC41" s="107">
        <f t="shared" si="55"/>
        <v>221031.02058964584</v>
      </c>
      <c r="AD41" s="107">
        <f t="shared" si="55"/>
        <v>220861.33848591635</v>
      </c>
      <c r="AE41" s="107">
        <f t="shared" si="55"/>
        <v>223839.06379849676</v>
      </c>
      <c r="AF41" s="107">
        <f t="shared" si="55"/>
        <v>225911.61163038365</v>
      </c>
      <c r="AG41" s="107">
        <f t="shared" si="55"/>
        <v>227480.03292978738</v>
      </c>
      <c r="AH41" s="107">
        <f t="shared" si="55"/>
        <v>229445.33443660469</v>
      </c>
      <c r="AI41" s="107">
        <f t="shared" si="55"/>
        <v>230179.97414247444</v>
      </c>
      <c r="AJ41" s="107">
        <f t="shared" si="55"/>
        <v>230948.30221597553</v>
      </c>
      <c r="AK41" s="107">
        <f t="shared" si="55"/>
        <v>232154.7075391481</v>
      </c>
      <c r="AL41" s="107">
        <f t="shared" si="55"/>
        <v>235517.80959225417</v>
      </c>
      <c r="AM41" s="107">
        <f t="shared" si="55"/>
        <v>239219.63422832725</v>
      </c>
      <c r="AN41" s="107">
        <f t="shared" si="55"/>
        <v>243211.22131648459</v>
      </c>
      <c r="AO41" s="107">
        <f t="shared" si="55"/>
        <v>246271.25344147961</v>
      </c>
      <c r="AP41" s="107">
        <f t="shared" si="55"/>
        <v>248818.64316245131</v>
      </c>
      <c r="AQ41" s="107">
        <f t="shared" si="55"/>
        <v>253807.99088834849</v>
      </c>
      <c r="AR41" s="107">
        <f t="shared" si="55"/>
        <v>257630.40280583978</v>
      </c>
      <c r="AS41" s="107">
        <f t="shared" si="55"/>
        <v>259500.49508531962</v>
      </c>
      <c r="AT41" s="107">
        <f t="shared" si="55"/>
        <v>263134.86356839829</v>
      </c>
      <c r="AU41" s="107">
        <f t="shared" si="55"/>
        <v>267208.96621511906</v>
      </c>
      <c r="AV41" s="107">
        <f t="shared" si="55"/>
        <v>270865.5165188575</v>
      </c>
      <c r="AW41" s="107">
        <f t="shared" si="55"/>
        <v>274972.07220903522</v>
      </c>
      <c r="AX41" s="107">
        <f t="shared" si="55"/>
        <v>279904.66650509316</v>
      </c>
      <c r="AY41" s="107">
        <f t="shared" si="55"/>
        <v>282667.70675829658</v>
      </c>
      <c r="AZ41" s="107">
        <f t="shared" si="55"/>
        <v>286077.94106404338</v>
      </c>
      <c r="BA41" s="107">
        <f t="shared" si="55"/>
        <v>290745.78027304966</v>
      </c>
      <c r="BB41" s="107">
        <f t="shared" si="55"/>
        <v>293427.23668122699</v>
      </c>
      <c r="BC41" s="107">
        <f t="shared" si="55"/>
        <v>297004.47311941336</v>
      </c>
      <c r="BD41" s="107">
        <f t="shared" si="55"/>
        <v>298474.69795005571</v>
      </c>
      <c r="BE41" s="107">
        <f t="shared" si="55"/>
        <v>296496.92592646956</v>
      </c>
      <c r="BF41" s="107">
        <f t="shared" si="55"/>
        <v>292540.90567875403</v>
      </c>
      <c r="BG41" s="107">
        <f t="shared" ref="BG41:BQ41" si="56">BG39+BG40</f>
        <v>289594.18279904471</v>
      </c>
      <c r="BH41" s="107">
        <f t="shared" si="56"/>
        <v>291096.39707581425</v>
      </c>
      <c r="BI41" s="107">
        <f t="shared" si="56"/>
        <v>293634.84135833872</v>
      </c>
      <c r="BJ41" s="107">
        <f t="shared" si="56"/>
        <v>298402.01330518239</v>
      </c>
      <c r="BK41" s="107">
        <f t="shared" si="56"/>
        <v>301683.66065517982</v>
      </c>
      <c r="BL41" s="107">
        <f t="shared" si="56"/>
        <v>303627.98359658936</v>
      </c>
      <c r="BM41" s="107">
        <f t="shared" si="56"/>
        <v>306757.57872028818</v>
      </c>
      <c r="BN41" s="107">
        <f t="shared" si="56"/>
        <v>310833.60682608112</v>
      </c>
      <c r="BO41" s="107">
        <f t="shared" si="56"/>
        <v>312073.71897695179</v>
      </c>
      <c r="BP41" s="107">
        <f t="shared" si="56"/>
        <v>313842.65958650759</v>
      </c>
      <c r="BQ41" s="107">
        <f t="shared" si="56"/>
        <v>316801.46913234488</v>
      </c>
      <c r="BR41" s="107">
        <f t="shared" ref="BR41:BT41" si="57">BR39+BR40</f>
        <v>319813.76264209242</v>
      </c>
      <c r="BS41" s="107">
        <f t="shared" si="57"/>
        <v>321267.9717975175</v>
      </c>
      <c r="BT41" s="107">
        <f t="shared" si="57"/>
        <v>322667.68589414167</v>
      </c>
      <c r="BU41" s="107">
        <f t="shared" ref="BU41:BY41" si="58">BU39+BU40</f>
        <v>324979.53282563272</v>
      </c>
      <c r="BV41" s="107">
        <f t="shared" si="58"/>
        <v>324661.63198884926</v>
      </c>
      <c r="BW41" s="107">
        <f t="shared" si="58"/>
        <v>327740.3973184402</v>
      </c>
      <c r="BX41" s="107">
        <f t="shared" si="58"/>
        <v>327806.68819042668</v>
      </c>
      <c r="BY41" s="107">
        <f t="shared" si="58"/>
        <v>330937.02596892277</v>
      </c>
    </row>
    <row r="42" spans="1:77">
      <c r="BD42" s="267">
        <f>BD41-BD27</f>
        <v>285988.07700416102</v>
      </c>
      <c r="BE42" s="267">
        <f>BE41-BE27</f>
        <v>283722.60582435923</v>
      </c>
      <c r="BF42" s="267">
        <f>BF41-BF27</f>
        <v>280127.38037056453</v>
      </c>
      <c r="BG42" s="267">
        <f>BG41-BG27</f>
        <v>277708.80072372284</v>
      </c>
      <c r="BH42" s="267">
        <f>BH41-BH27</f>
        <v>279612.67330107611</v>
      </c>
      <c r="BI42" s="268">
        <f>(BH42-BD42)/BD42*100</f>
        <v>-2.2292550689069999</v>
      </c>
      <c r="BJ42" s="268">
        <f>(BH42-BD42)/BD42*100</f>
        <v>-2.2292550689069999</v>
      </c>
      <c r="BK42" s="268">
        <f>(BI42-BE42)/BE42*100</f>
        <v>-100.00078571640863</v>
      </c>
      <c r="BL42" s="268">
        <f>(BJ42-BF42)/BF42*100</f>
        <v>-100.00079580049119</v>
      </c>
      <c r="BM42" s="268">
        <f>(BK42-BG42)/BG42*100</f>
        <v>-100.03600922457474</v>
      </c>
      <c r="BN42" s="268">
        <f>(BK42-BG42)/BG42*100</f>
        <v>-100.03600922457474</v>
      </c>
      <c r="BO42" s="268">
        <f>(BL42-BH42)/BH42*100</f>
        <v>-100.03576404267369</v>
      </c>
      <c r="BP42" s="268">
        <f>(BM42-BI42)/BI42*100</f>
        <v>4387.4187175728721</v>
      </c>
      <c r="BQ42" s="268">
        <f>(BM42-BI42)/BI42*100</f>
        <v>4387.4187175728721</v>
      </c>
      <c r="BR42" s="268">
        <f>(BM42-BI42)/BI42*100</f>
        <v>4387.4187175728721</v>
      </c>
      <c r="BS42" s="268">
        <f>(BN42-BJ42)/BJ42*100</f>
        <v>4387.4187175728721</v>
      </c>
      <c r="BT42" s="268">
        <f>(BN42-BJ42)/BJ42*100</f>
        <v>4387.4187175728721</v>
      </c>
      <c r="BU42" s="268"/>
      <c r="BV42" s="268">
        <f>(BN42-BJ42)/BJ42*100</f>
        <v>4387.4187175728721</v>
      </c>
      <c r="BW42" s="268"/>
      <c r="BX42" s="268">
        <f>(BO42-BK42)/BK42*100</f>
        <v>3.4978051436772253E-2</v>
      </c>
      <c r="BY42" s="268">
        <f>(BP42-BL42)/BL42*100</f>
        <v>-4487.3838027510192</v>
      </c>
    </row>
    <row r="43" spans="1:77" ht="18">
      <c r="A43" s="407" t="s">
        <v>211</v>
      </c>
      <c r="B43" s="407"/>
      <c r="C43" s="407"/>
      <c r="D43" s="407"/>
      <c r="E43" s="40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08"/>
      <c r="BD43" s="408"/>
      <c r="BE43" s="408"/>
      <c r="BF43" s="408"/>
      <c r="BG43" s="408"/>
      <c r="BH43" s="408"/>
    </row>
    <row r="44" spans="1:77" ht="13.5" thickBot="1">
      <c r="A44" s="1" t="s">
        <v>172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77" ht="13.5" thickBot="1">
      <c r="A45" s="108" t="s">
        <v>166</v>
      </c>
      <c r="B45" s="249" t="s">
        <v>285</v>
      </c>
      <c r="C45" s="248" t="s">
        <v>286</v>
      </c>
      <c r="D45" s="248" t="s">
        <v>287</v>
      </c>
      <c r="E45" s="248" t="s">
        <v>288</v>
      </c>
      <c r="F45" s="248" t="s">
        <v>284</v>
      </c>
      <c r="G45" s="248" t="s">
        <v>289</v>
      </c>
      <c r="H45" s="248" t="s">
        <v>290</v>
      </c>
      <c r="I45" s="248" t="s">
        <v>291</v>
      </c>
      <c r="J45" s="248" t="s">
        <v>292</v>
      </c>
      <c r="K45" s="248" t="s">
        <v>293</v>
      </c>
      <c r="L45" s="248" t="s">
        <v>294</v>
      </c>
      <c r="M45" s="248" t="s">
        <v>295</v>
      </c>
      <c r="N45" s="248" t="s">
        <v>296</v>
      </c>
      <c r="O45" s="248" t="s">
        <v>297</v>
      </c>
      <c r="P45" s="248" t="s">
        <v>298</v>
      </c>
      <c r="Q45" s="248" t="s">
        <v>299</v>
      </c>
      <c r="R45" s="248" t="s">
        <v>300</v>
      </c>
      <c r="S45" s="248" t="s">
        <v>301</v>
      </c>
      <c r="T45" s="248" t="s">
        <v>302</v>
      </c>
      <c r="U45" s="248" t="s">
        <v>303</v>
      </c>
      <c r="V45" s="248" t="s">
        <v>332</v>
      </c>
      <c r="W45" s="248" t="s">
        <v>333</v>
      </c>
      <c r="X45" s="248" t="s">
        <v>334</v>
      </c>
      <c r="Y45" s="248" t="s">
        <v>335</v>
      </c>
      <c r="Z45" s="248" t="s">
        <v>304</v>
      </c>
      <c r="AA45" s="248" t="s">
        <v>305</v>
      </c>
      <c r="AB45" s="248" t="s">
        <v>306</v>
      </c>
      <c r="AC45" s="248" t="s">
        <v>307</v>
      </c>
      <c r="AD45" s="248" t="s">
        <v>308</v>
      </c>
      <c r="AE45" s="248" t="s">
        <v>309</v>
      </c>
      <c r="AF45" s="248" t="s">
        <v>310</v>
      </c>
      <c r="AG45" s="248" t="s">
        <v>311</v>
      </c>
      <c r="AH45" s="248" t="s">
        <v>312</v>
      </c>
      <c r="AI45" s="248" t="s">
        <v>313</v>
      </c>
      <c r="AJ45" s="248" t="s">
        <v>314</v>
      </c>
      <c r="AK45" s="248" t="s">
        <v>315</v>
      </c>
      <c r="AL45" s="248" t="s">
        <v>316</v>
      </c>
      <c r="AM45" s="248" t="s">
        <v>317</v>
      </c>
      <c r="AN45" s="248" t="s">
        <v>318</v>
      </c>
      <c r="AO45" s="248" t="s">
        <v>319</v>
      </c>
      <c r="AP45" s="248" t="s">
        <v>320</v>
      </c>
      <c r="AQ45" s="248" t="s">
        <v>321</v>
      </c>
      <c r="AR45" s="248" t="s">
        <v>322</v>
      </c>
      <c r="AS45" s="248" t="s">
        <v>323</v>
      </c>
      <c r="AT45" s="248" t="s">
        <v>324</v>
      </c>
      <c r="AU45" s="248" t="s">
        <v>325</v>
      </c>
      <c r="AV45" s="248" t="s">
        <v>326</v>
      </c>
      <c r="AW45" s="248" t="s">
        <v>327</v>
      </c>
      <c r="AX45" s="248" t="s">
        <v>328</v>
      </c>
      <c r="AY45" s="248" t="s">
        <v>329</v>
      </c>
      <c r="AZ45" s="248" t="s">
        <v>330</v>
      </c>
      <c r="BA45" s="248" t="s">
        <v>331</v>
      </c>
      <c r="BB45" s="248" t="s">
        <v>227</v>
      </c>
      <c r="BC45" s="248" t="s">
        <v>228</v>
      </c>
      <c r="BD45" s="248" t="s">
        <v>229</v>
      </c>
      <c r="BE45" s="248" t="s">
        <v>230</v>
      </c>
      <c r="BF45" s="248" t="s">
        <v>224</v>
      </c>
      <c r="BG45" s="248" t="s">
        <v>225</v>
      </c>
      <c r="BH45" s="248" t="s">
        <v>226</v>
      </c>
      <c r="BI45" s="248" t="s">
        <v>346</v>
      </c>
      <c r="BJ45" s="248" t="str">
        <f>BJ25</f>
        <v>2010q1</v>
      </c>
      <c r="BK45" s="248" t="str">
        <f>BK25</f>
        <v>2010q2</v>
      </c>
      <c r="BL45" s="248" t="str">
        <f>BL25</f>
        <v>2010q3</v>
      </c>
      <c r="BM45" s="248" t="str">
        <f t="shared" ref="BM45" si="59">BM25</f>
        <v>2010q4</v>
      </c>
      <c r="BN45" s="248" t="str">
        <f t="shared" ref="BN45:BQ45" si="60">BN25</f>
        <v>2011q1</v>
      </c>
      <c r="BO45" s="248" t="str">
        <f t="shared" si="60"/>
        <v>2011q2</v>
      </c>
      <c r="BP45" s="248" t="str">
        <f t="shared" si="60"/>
        <v>2011q3</v>
      </c>
      <c r="BQ45" s="248" t="str">
        <f t="shared" si="60"/>
        <v>2011q4</v>
      </c>
      <c r="BR45" s="248" t="str">
        <f t="shared" ref="BR45" si="61">BR25</f>
        <v>2012q1</v>
      </c>
      <c r="BS45" s="248" t="str">
        <f t="shared" ref="BS45:BX45" si="62">BS25</f>
        <v>2012q2</v>
      </c>
      <c r="BT45" s="248" t="str">
        <f t="shared" si="62"/>
        <v>2012q3</v>
      </c>
      <c r="BU45" s="248" t="str">
        <f t="shared" si="62"/>
        <v>2012q4</v>
      </c>
      <c r="BV45" s="248" t="str">
        <f t="shared" si="62"/>
        <v>2013q1</v>
      </c>
      <c r="BW45" s="248" t="str">
        <f t="shared" si="62"/>
        <v>2013q2</v>
      </c>
      <c r="BX45" s="248" t="str">
        <f t="shared" si="62"/>
        <v>2013q3</v>
      </c>
      <c r="BY45" s="248" t="str">
        <f t="shared" ref="BY45" si="63">BY25</f>
        <v>2013q4</v>
      </c>
    </row>
    <row r="46" spans="1:77" ht="13.5" thickTop="1">
      <c r="A46" s="2" t="s">
        <v>0</v>
      </c>
      <c r="B46" s="251"/>
      <c r="C46" s="154">
        <f t="shared" ref="C46:Z56" si="64">(C6-B6)/B6*100</f>
        <v>-4.6397696685236118</v>
      </c>
      <c r="D46" s="154">
        <f t="shared" si="64"/>
        <v>-2.1559180027802065</v>
      </c>
      <c r="E46" s="154">
        <f t="shared" si="64"/>
        <v>-0.49556904859099687</v>
      </c>
      <c r="F46" s="154">
        <f t="shared" si="64"/>
        <v>4.2910985648421454</v>
      </c>
      <c r="G46" s="154">
        <f t="shared" si="64"/>
        <v>2.4688012042781473</v>
      </c>
      <c r="H46" s="154">
        <f t="shared" si="64"/>
        <v>1.57635054765515</v>
      </c>
      <c r="I46" s="154">
        <f t="shared" si="64"/>
        <v>0.48733853493410334</v>
      </c>
      <c r="J46" s="154">
        <f t="shared" si="64"/>
        <v>-1.233563931862854</v>
      </c>
      <c r="K46" s="154">
        <f t="shared" si="64"/>
        <v>1.0173711704655788</v>
      </c>
      <c r="L46" s="154">
        <f t="shared" si="64"/>
        <v>0.51723124634163231</v>
      </c>
      <c r="M46" s="154">
        <f t="shared" si="64"/>
        <v>-0.10913437680453188</v>
      </c>
      <c r="N46" s="154">
        <f t="shared" si="64"/>
        <v>-0.54618675486773371</v>
      </c>
      <c r="O46" s="154">
        <f t="shared" si="64"/>
        <v>-1.2833396212632482</v>
      </c>
      <c r="P46" s="154">
        <f t="shared" si="64"/>
        <v>-0.74903457464827516</v>
      </c>
      <c r="Q46" s="154">
        <f t="shared" si="64"/>
        <v>0.31006168013520852</v>
      </c>
      <c r="R46" s="154">
        <f t="shared" si="64"/>
        <v>0.57160778990748062</v>
      </c>
      <c r="S46" s="154">
        <f t="shared" si="64"/>
        <v>-0.2234597643113416</v>
      </c>
      <c r="T46" s="154">
        <f t="shared" si="64"/>
        <v>0.46607205652572647</v>
      </c>
      <c r="U46" s="154">
        <f t="shared" si="64"/>
        <v>0.89324499782801203</v>
      </c>
      <c r="V46" s="154">
        <f t="shared" si="64"/>
        <v>-0.14405492269548342</v>
      </c>
      <c r="W46" s="154">
        <f t="shared" si="64"/>
        <v>-5.2221638011511834E-2</v>
      </c>
      <c r="X46" s="154">
        <f t="shared" si="64"/>
        <v>-0.58606682469699434</v>
      </c>
      <c r="Y46" s="154">
        <f t="shared" si="64"/>
        <v>-8.5851746119174802E-2</v>
      </c>
      <c r="Z46" s="154">
        <f t="shared" si="64"/>
        <v>-0.28487618709971768</v>
      </c>
      <c r="AA46" s="154">
        <f t="shared" ref="AA46:BH53" si="65">(AA6-Z6)/Z6*100</f>
        <v>0.2025871903232162</v>
      </c>
      <c r="AB46" s="154">
        <f t="shared" si="65"/>
        <v>-0.56884402590693717</v>
      </c>
      <c r="AC46" s="154">
        <f t="shared" si="65"/>
        <v>-0.5836010240680144</v>
      </c>
      <c r="AD46" s="154">
        <f t="shared" si="65"/>
        <v>1.1567213526961055</v>
      </c>
      <c r="AE46" s="154">
        <f t="shared" si="65"/>
        <v>1.40844911862731</v>
      </c>
      <c r="AF46" s="154">
        <f t="shared" si="65"/>
        <v>1.236702108960412</v>
      </c>
      <c r="AG46" s="154">
        <f t="shared" si="65"/>
        <v>0.8808587576040432</v>
      </c>
      <c r="AH46" s="154">
        <f t="shared" si="65"/>
        <v>0.45480910206635927</v>
      </c>
      <c r="AI46" s="154">
        <f t="shared" si="65"/>
        <v>0.58676930759143009</v>
      </c>
      <c r="AJ46" s="154">
        <f t="shared" si="65"/>
        <v>0.18503224007488497</v>
      </c>
      <c r="AK46" s="154">
        <f t="shared" si="65"/>
        <v>0.1832731108666949</v>
      </c>
      <c r="AL46" s="154">
        <f t="shared" si="65"/>
        <v>0.51709484828708019</v>
      </c>
      <c r="AM46" s="154">
        <f t="shared" si="65"/>
        <v>-0.67875215437805303</v>
      </c>
      <c r="AN46" s="154">
        <f t="shared" si="65"/>
        <v>2.5487548027981832</v>
      </c>
      <c r="AO46" s="154">
        <f t="shared" si="65"/>
        <v>-1.2339762044848124</v>
      </c>
      <c r="AP46" s="154">
        <f t="shared" si="65"/>
        <v>2.145153732495984</v>
      </c>
      <c r="AQ46" s="154">
        <f t="shared" si="65"/>
        <v>-0.63439704953485621</v>
      </c>
      <c r="AR46" s="154">
        <f t="shared" si="65"/>
        <v>-0.48740615624762679</v>
      </c>
      <c r="AS46" s="154">
        <f t="shared" si="65"/>
        <v>-0.32190663881893622</v>
      </c>
      <c r="AT46" s="154">
        <f t="shared" si="65"/>
        <v>-2.0913593179286023</v>
      </c>
      <c r="AU46" s="154">
        <f t="shared" si="65"/>
        <v>0.33694890938052929</v>
      </c>
      <c r="AV46" s="154">
        <f t="shared" si="65"/>
        <v>0.64586310374393519</v>
      </c>
      <c r="AW46" s="154">
        <f t="shared" si="65"/>
        <v>1.2175861886593304</v>
      </c>
      <c r="AX46" s="154">
        <f t="shared" si="65"/>
        <v>0.37042809012178457</v>
      </c>
      <c r="AY46" s="154">
        <f t="shared" si="65"/>
        <v>-1.3717544680809874</v>
      </c>
      <c r="AZ46" s="154">
        <f t="shared" si="65"/>
        <v>0.14665856213976058</v>
      </c>
      <c r="BA46" s="154">
        <f t="shared" si="65"/>
        <v>-0.28793608157294703</v>
      </c>
      <c r="BB46" s="154">
        <f t="shared" si="65"/>
        <v>-1.6977872414467439</v>
      </c>
      <c r="BC46" s="154">
        <f t="shared" si="65"/>
        <v>2.6230405893906572</v>
      </c>
      <c r="BD46" s="154">
        <f t="shared" si="65"/>
        <v>4.2497305544245578E-2</v>
      </c>
      <c r="BE46" s="154">
        <f t="shared" si="65"/>
        <v>0.65199765673403354</v>
      </c>
      <c r="BF46" s="154">
        <f t="shared" si="65"/>
        <v>-4.9714164190268706</v>
      </c>
      <c r="BG46" s="154">
        <f t="shared" si="65"/>
        <v>0.71571806628250323</v>
      </c>
      <c r="BH46" s="154">
        <f t="shared" si="65"/>
        <v>-1.979949866918651</v>
      </c>
      <c r="BI46" s="154">
        <f t="shared" ref="BI46:BL61" si="66">(BI6-BH6)/BH6*100</f>
        <v>0.24455425412049339</v>
      </c>
      <c r="BJ46" s="154">
        <f t="shared" si="66"/>
        <v>3.4351877613007153</v>
      </c>
      <c r="BK46" s="154">
        <f>(BK6-BJ6)/BJ6*100</f>
        <v>-3.33951786501911</v>
      </c>
      <c r="BL46" s="154">
        <f t="shared" si="66"/>
        <v>6.0199542567125626</v>
      </c>
      <c r="BM46" s="154">
        <f t="shared" ref="BM46:BM61" si="67">(BM6-BL6)/BL6*100</f>
        <v>3.2601140737522192</v>
      </c>
      <c r="BN46" s="154">
        <f t="shared" ref="BN46:BN61" si="68">(BN6-BM6)/BM6*100</f>
        <v>-1.4203568154226525</v>
      </c>
      <c r="BO46" s="154">
        <f t="shared" ref="BO46:BO61" si="69">(BO6-BN6)/BN6*100</f>
        <v>-1.0229837515795237</v>
      </c>
      <c r="BP46" s="154">
        <f t="shared" ref="BP46:BP61" si="70">(BP6-BO6)/BO6*100</f>
        <v>-3.7477687972261191</v>
      </c>
      <c r="BQ46" s="154">
        <f t="shared" ref="BQ46:BQ61" si="71">(BQ6-BP6)/BP6*100</f>
        <v>-0.57643677050029773</v>
      </c>
      <c r="BR46" s="154">
        <f t="shared" ref="BR46:BR61" si="72">(BR6-BQ6)/BQ6*100</f>
        <v>-2.0452830071280372</v>
      </c>
      <c r="BS46" s="154">
        <f t="shared" ref="BS46:BS61" si="73">(BS6-BR6)/BR6*100</f>
        <v>4.7028030829909371</v>
      </c>
      <c r="BT46" s="154">
        <f t="shared" ref="BT46:BT61" si="74">(BT6-BS6)/BS6*100</f>
        <v>-1.1447940095508586</v>
      </c>
      <c r="BU46" s="154">
        <f t="shared" ref="BU46:BU61" si="75">(BU6-BT6)/BT6*100</f>
        <v>-0.64739306384929429</v>
      </c>
      <c r="BV46" s="154">
        <f t="shared" ref="BV46:BV61" si="76">(BV6-BU6)/BU6*100</f>
        <v>1.8300603319737276</v>
      </c>
      <c r="BW46" s="154">
        <f t="shared" ref="BW46:BW61" si="77">(BW6-BV6)/BV6*100</f>
        <v>-1.1898165809702725</v>
      </c>
      <c r="BX46" s="154">
        <f t="shared" ref="BX46:BX61" si="78">(BX6-BW6)/BW6*100</f>
        <v>2.1621171702116553</v>
      </c>
      <c r="BY46" s="154">
        <f t="shared" ref="BY46:BY61" si="79">(BY6-BX6)/BX6*100</f>
        <v>3.0595455495756672</v>
      </c>
    </row>
    <row r="47" spans="1:77">
      <c r="A47" s="3" t="s">
        <v>1</v>
      </c>
      <c r="B47" s="252"/>
      <c r="C47" s="156">
        <f t="shared" si="64"/>
        <v>-15.445704661738723</v>
      </c>
      <c r="D47" s="156">
        <f t="shared" si="64"/>
        <v>-9.5586178745020369</v>
      </c>
      <c r="E47" s="156">
        <f t="shared" si="64"/>
        <v>5.9342716726291031E-2</v>
      </c>
      <c r="F47" s="156">
        <f t="shared" si="64"/>
        <v>18.07208787537067</v>
      </c>
      <c r="G47" s="156">
        <f t="shared" si="64"/>
        <v>16.041032897064035</v>
      </c>
      <c r="H47" s="156">
        <f t="shared" si="64"/>
        <v>5.919865385553333</v>
      </c>
      <c r="I47" s="156">
        <f t="shared" si="64"/>
        <v>1.1540631079696546</v>
      </c>
      <c r="J47" s="156">
        <f t="shared" si="64"/>
        <v>-5.9087624260978009</v>
      </c>
      <c r="K47" s="156">
        <f t="shared" si="64"/>
        <v>0.32079465392639023</v>
      </c>
      <c r="L47" s="156">
        <f t="shared" si="64"/>
        <v>-0.2655145463330163</v>
      </c>
      <c r="M47" s="156">
        <f t="shared" si="64"/>
        <v>-0.84006769621324673</v>
      </c>
      <c r="N47" s="156">
        <f t="shared" si="64"/>
        <v>-3.3310139913315697</v>
      </c>
      <c r="O47" s="156">
        <f t="shared" si="64"/>
        <v>-2.3456330441082729</v>
      </c>
      <c r="P47" s="156">
        <f t="shared" si="64"/>
        <v>-0.28746597964104603</v>
      </c>
      <c r="Q47" s="156">
        <f t="shared" si="64"/>
        <v>2.208057876526706</v>
      </c>
      <c r="R47" s="156">
        <f t="shared" si="64"/>
        <v>2.6451023885054705</v>
      </c>
      <c r="S47" s="156">
        <f t="shared" si="64"/>
        <v>1.321091290661063</v>
      </c>
      <c r="T47" s="156">
        <f t="shared" si="64"/>
        <v>1.7484585772916776</v>
      </c>
      <c r="U47" s="156">
        <f t="shared" si="64"/>
        <v>2.5835167440624018</v>
      </c>
      <c r="V47" s="156">
        <f t="shared" si="64"/>
        <v>1.2750429858628112</v>
      </c>
      <c r="W47" s="156">
        <f t="shared" si="64"/>
        <v>0.71418280313508109</v>
      </c>
      <c r="X47" s="156">
        <f t="shared" si="64"/>
        <v>0.13203879050751663</v>
      </c>
      <c r="Y47" s="156">
        <f t="shared" si="64"/>
        <v>-1.4347962740728084</v>
      </c>
      <c r="Z47" s="156">
        <f t="shared" si="64"/>
        <v>-1.8920246928253639</v>
      </c>
      <c r="AA47" s="156">
        <f t="shared" si="65"/>
        <v>-0.60868984533959281</v>
      </c>
      <c r="AB47" s="156">
        <f t="shared" si="65"/>
        <v>-0.26750161577160514</v>
      </c>
      <c r="AC47" s="156">
        <f t="shared" si="65"/>
        <v>-5.0734487528010679E-2</v>
      </c>
      <c r="AD47" s="156">
        <f t="shared" si="65"/>
        <v>2.8155530331182166</v>
      </c>
      <c r="AE47" s="156">
        <f t="shared" si="65"/>
        <v>3.3155190658300229</v>
      </c>
      <c r="AF47" s="156">
        <f t="shared" si="65"/>
        <v>2.1085575412356548</v>
      </c>
      <c r="AG47" s="156">
        <f t="shared" si="65"/>
        <v>1.3088614382050334</v>
      </c>
      <c r="AH47" s="156">
        <f t="shared" si="65"/>
        <v>0.11057353302793424</v>
      </c>
      <c r="AI47" s="156">
        <f t="shared" si="65"/>
        <v>-0.86485021011251195</v>
      </c>
      <c r="AJ47" s="156">
        <f t="shared" si="65"/>
        <v>-2.8414374008641907</v>
      </c>
      <c r="AK47" s="156">
        <f t="shared" si="65"/>
        <v>-0.63332113603738005</v>
      </c>
      <c r="AL47" s="156">
        <f t="shared" si="65"/>
        <v>0.5467112344909637</v>
      </c>
      <c r="AM47" s="156">
        <f t="shared" si="65"/>
        <v>0.94379490069023808</v>
      </c>
      <c r="AN47" s="156">
        <f t="shared" si="65"/>
        <v>2.1881105219090147</v>
      </c>
      <c r="AO47" s="156">
        <f t="shared" si="65"/>
        <v>2.641066258808106</v>
      </c>
      <c r="AP47" s="156">
        <f t="shared" si="65"/>
        <v>-0.55277932998056989</v>
      </c>
      <c r="AQ47" s="156">
        <f t="shared" si="65"/>
        <v>-0.17392114040894477</v>
      </c>
      <c r="AR47" s="156">
        <f t="shared" si="65"/>
        <v>0.23839224879422158</v>
      </c>
      <c r="AS47" s="156">
        <f t="shared" si="65"/>
        <v>0.35312804167158224</v>
      </c>
      <c r="AT47" s="156">
        <f t="shared" si="65"/>
        <v>-2.4727639180735297</v>
      </c>
      <c r="AU47" s="156">
        <f t="shared" si="65"/>
        <v>-3.3332194938697448</v>
      </c>
      <c r="AV47" s="156">
        <f t="shared" si="65"/>
        <v>-1.7410351527998587</v>
      </c>
      <c r="AW47" s="156">
        <f t="shared" si="65"/>
        <v>-0.22148553512487326</v>
      </c>
      <c r="AX47" s="156">
        <f t="shared" si="65"/>
        <v>1.5178050204319906</v>
      </c>
      <c r="AY47" s="156">
        <f t="shared" si="65"/>
        <v>2.2689356022689355</v>
      </c>
      <c r="AZ47" s="156">
        <f t="shared" si="65"/>
        <v>1.0662594148068445</v>
      </c>
      <c r="BA47" s="156">
        <f t="shared" si="65"/>
        <v>3.2419586375531453</v>
      </c>
      <c r="BB47" s="156">
        <f t="shared" si="65"/>
        <v>5.55714485300477</v>
      </c>
      <c r="BC47" s="156">
        <f t="shared" si="65"/>
        <v>3.0832450965562446</v>
      </c>
      <c r="BD47" s="156">
        <f t="shared" si="65"/>
        <v>6.4040695541588146</v>
      </c>
      <c r="BE47" s="156">
        <f t="shared" si="65"/>
        <v>2.304059340491635</v>
      </c>
      <c r="BF47" s="156">
        <f t="shared" si="65"/>
        <v>-1.5785652543734028</v>
      </c>
      <c r="BG47" s="156">
        <f t="shared" si="65"/>
        <v>-4.2545789351172099</v>
      </c>
      <c r="BH47" s="156">
        <f t="shared" si="65"/>
        <v>-3.3794311199944089</v>
      </c>
      <c r="BI47" s="156">
        <f t="shared" si="66"/>
        <v>-2.4344606925939103</v>
      </c>
      <c r="BJ47" s="156">
        <f t="shared" si="66"/>
        <v>0.90326066575298747</v>
      </c>
      <c r="BK47" s="156">
        <f t="shared" si="66"/>
        <v>2.6003981285651334</v>
      </c>
      <c r="BL47" s="156">
        <f t="shared" si="66"/>
        <v>3.4623624118864922</v>
      </c>
      <c r="BM47" s="156">
        <f>(BM7-BL7)/BL7*100</f>
        <v>2.1769470775714268</v>
      </c>
      <c r="BN47" s="156">
        <f t="shared" si="68"/>
        <v>-1.1569050243997485</v>
      </c>
      <c r="BO47" s="156">
        <f t="shared" si="69"/>
        <v>-2.3813101966120751</v>
      </c>
      <c r="BP47" s="156">
        <f t="shared" si="70"/>
        <v>-1.5216288161067504</v>
      </c>
      <c r="BQ47" s="156">
        <f t="shared" si="71"/>
        <v>-1.0148043987600777</v>
      </c>
      <c r="BR47" s="156">
        <f t="shared" si="72"/>
        <v>1.0795255536000716</v>
      </c>
      <c r="BS47" s="156">
        <f t="shared" si="73"/>
        <v>2.1762152023258152</v>
      </c>
      <c r="BT47" s="156">
        <f t="shared" si="74"/>
        <v>1.7399730194990553</v>
      </c>
      <c r="BU47" s="156">
        <f t="shared" si="75"/>
        <v>2.3875586119844061</v>
      </c>
      <c r="BV47" s="156">
        <f t="shared" si="76"/>
        <v>-1.1085206978002138</v>
      </c>
      <c r="BW47" s="156">
        <f t="shared" si="77"/>
        <v>-0.76183394375499724</v>
      </c>
      <c r="BX47" s="156">
        <f t="shared" si="78"/>
        <v>0.88077536156003122</v>
      </c>
      <c r="BY47" s="156">
        <f t="shared" si="79"/>
        <v>1.5585440118103053</v>
      </c>
    </row>
    <row r="48" spans="1:77">
      <c r="A48" s="170" t="s">
        <v>2</v>
      </c>
      <c r="B48" s="253"/>
      <c r="C48" s="157">
        <f t="shared" si="64"/>
        <v>-1.3274609358545777</v>
      </c>
      <c r="D48" s="157">
        <f t="shared" si="64"/>
        <v>-0.21146266641516179</v>
      </c>
      <c r="E48" s="157">
        <f t="shared" si="64"/>
        <v>-0.62767375688958182</v>
      </c>
      <c r="F48" s="157">
        <f t="shared" si="64"/>
        <v>0.98765456819021424</v>
      </c>
      <c r="G48" s="157">
        <f t="shared" si="64"/>
        <v>-1.3349909189686542</v>
      </c>
      <c r="H48" s="157">
        <f t="shared" si="64"/>
        <v>0.14463993247791673</v>
      </c>
      <c r="I48" s="157">
        <f t="shared" si="64"/>
        <v>0.25489894092274612</v>
      </c>
      <c r="J48" s="157">
        <f t="shared" si="64"/>
        <v>0.410964662083045</v>
      </c>
      <c r="K48" s="157">
        <f t="shared" si="64"/>
        <v>1.2469745336565818</v>
      </c>
      <c r="L48" s="157">
        <f t="shared" si="64"/>
        <v>0.77287728477522077</v>
      </c>
      <c r="M48" s="157">
        <f t="shared" si="64"/>
        <v>0.12712974560570028</v>
      </c>
      <c r="N48" s="157">
        <f t="shared" si="64"/>
        <v>0.34527502975667246</v>
      </c>
      <c r="O48" s="157">
        <f t="shared" si="64"/>
        <v>-0.95574316079722399</v>
      </c>
      <c r="P48" s="157">
        <f t="shared" si="64"/>
        <v>-0.88937840695246539</v>
      </c>
      <c r="Q48" s="157">
        <f t="shared" si="64"/>
        <v>-0.27054492293703353</v>
      </c>
      <c r="R48" s="157">
        <f t="shared" si="64"/>
        <v>-7.8448898721076604E-2</v>
      </c>
      <c r="S48" s="157">
        <f t="shared" si="64"/>
        <v>-0.72088710988764382</v>
      </c>
      <c r="T48" s="157">
        <f t="shared" si="64"/>
        <v>4.4581058686512499E-2</v>
      </c>
      <c r="U48" s="157">
        <f t="shared" si="64"/>
        <v>0.32822976083258282</v>
      </c>
      <c r="V48" s="157">
        <f t="shared" si="64"/>
        <v>-0.62908695565441797</v>
      </c>
      <c r="W48" s="157">
        <f t="shared" si="64"/>
        <v>-0.3191896517510413</v>
      </c>
      <c r="X48" s="157">
        <f t="shared" si="64"/>
        <v>-0.83880370104347213</v>
      </c>
      <c r="Y48" s="157">
        <f t="shared" si="64"/>
        <v>0.39355670218249272</v>
      </c>
      <c r="Z48" s="157">
        <f t="shared" si="64"/>
        <v>0.27589460413434208</v>
      </c>
      <c r="AA48" s="157">
        <f t="shared" si="65"/>
        <v>0.47954035139392931</v>
      </c>
      <c r="AB48" s="157">
        <f t="shared" si="65"/>
        <v>-0.67060193550977787</v>
      </c>
      <c r="AC48" s="157">
        <f t="shared" si="65"/>
        <v>-0.76427069857696983</v>
      </c>
      <c r="AD48" s="157">
        <f t="shared" si="65"/>
        <v>0.59024644609615751</v>
      </c>
      <c r="AE48" s="157">
        <f t="shared" si="65"/>
        <v>0.74279607582870188</v>
      </c>
      <c r="AF48" s="157">
        <f t="shared" si="65"/>
        <v>0.92461391590174125</v>
      </c>
      <c r="AG48" s="157">
        <f t="shared" si="65"/>
        <v>0.72585422629271923</v>
      </c>
      <c r="AH48" s="157">
        <f t="shared" si="65"/>
        <v>0.58019829975117121</v>
      </c>
      <c r="AI48" s="157">
        <f t="shared" si="65"/>
        <v>1.1130587298967713</v>
      </c>
      <c r="AJ48" s="157">
        <f t="shared" si="65"/>
        <v>1.2608249158445544</v>
      </c>
      <c r="AK48" s="157">
        <f t="shared" si="65"/>
        <v>0.46178144610494376</v>
      </c>
      <c r="AL48" s="157">
        <f t="shared" si="65"/>
        <v>0.50710396591672402</v>
      </c>
      <c r="AM48" s="157">
        <f t="shared" si="65"/>
        <v>-1.2263228426897934</v>
      </c>
      <c r="AN48" s="157">
        <f t="shared" si="65"/>
        <v>2.6731376078649358</v>
      </c>
      <c r="AO48" s="157">
        <f t="shared" si="65"/>
        <v>-2.5641282856341938</v>
      </c>
      <c r="AP48" s="157">
        <f t="shared" si="65"/>
        <v>3.1207233864077981</v>
      </c>
      <c r="AQ48" s="157">
        <f t="shared" si="65"/>
        <v>-0.79497308288322188</v>
      </c>
      <c r="AR48" s="157">
        <f t="shared" si="65"/>
        <v>-0.74208927192859686</v>
      </c>
      <c r="AS48" s="157">
        <f t="shared" si="65"/>
        <v>-0.56111656283129951</v>
      </c>
      <c r="AT48" s="157">
        <f t="shared" si="65"/>
        <v>-1.9549595255510981</v>
      </c>
      <c r="AU48" s="157">
        <f t="shared" si="65"/>
        <v>1.6425606922584479</v>
      </c>
      <c r="AV48" s="157">
        <f t="shared" si="65"/>
        <v>1.4534023403416056</v>
      </c>
      <c r="AW48" s="157">
        <f t="shared" si="65"/>
        <v>1.6891253144477729</v>
      </c>
      <c r="AX48" s="157">
        <f t="shared" si="65"/>
        <v>1.5321041156095407E-3</v>
      </c>
      <c r="AY48" s="157">
        <f t="shared" si="65"/>
        <v>-2.5600298252446549</v>
      </c>
      <c r="AZ48" s="157">
        <f t="shared" si="65"/>
        <v>-0.16836231776241573</v>
      </c>
      <c r="BA48" s="157">
        <f t="shared" si="65"/>
        <v>-1.5121004211649638</v>
      </c>
      <c r="BB48" s="157">
        <f t="shared" si="65"/>
        <v>-4.3352399617005188</v>
      </c>
      <c r="BC48" s="157">
        <f t="shared" si="65"/>
        <v>2.438437975014069</v>
      </c>
      <c r="BD48" s="157">
        <f t="shared" si="65"/>
        <v>-2.5253936501350416</v>
      </c>
      <c r="BE48" s="157">
        <f t="shared" si="65"/>
        <v>-7.5958328248345239E-2</v>
      </c>
      <c r="BF48" s="157">
        <f t="shared" si="65"/>
        <v>-6.5020334651612917</v>
      </c>
      <c r="BG48" s="157">
        <f t="shared" si="65"/>
        <v>3.0760419661030438</v>
      </c>
      <c r="BH48" s="157">
        <f t="shared" si="65"/>
        <v>-1.3626209395898667</v>
      </c>
      <c r="BI48" s="157">
        <f t="shared" si="66"/>
        <v>1.4021388680198803</v>
      </c>
      <c r="BJ48" s="157">
        <f t="shared" si="66"/>
        <v>4.4878235689469932</v>
      </c>
      <c r="BK48" s="157">
        <f t="shared" si="66"/>
        <v>-5.7242893127197902</v>
      </c>
      <c r="BL48" s="157">
        <f t="shared" si="66"/>
        <v>7.1374527079927006</v>
      </c>
      <c r="BM48" s="157">
        <f t="shared" si="67"/>
        <v>3.7171519409796976</v>
      </c>
      <c r="BN48" s="157">
        <f t="shared" si="68"/>
        <v>-1.5298684498834882</v>
      </c>
      <c r="BO48" s="157">
        <f t="shared" si="69"/>
        <v>-0.45621606853086943</v>
      </c>
      <c r="BP48" s="157">
        <f t="shared" si="70"/>
        <v>-4.6586719841369568</v>
      </c>
      <c r="BQ48" s="157">
        <f t="shared" si="71"/>
        <v>-0.39116131591216774</v>
      </c>
      <c r="BR48" s="157">
        <f t="shared" si="72"/>
        <v>-3.3577101280372625</v>
      </c>
      <c r="BS48" s="157">
        <f t="shared" si="73"/>
        <v>5.8126987918649542</v>
      </c>
      <c r="BT48" s="157">
        <f t="shared" si="74"/>
        <v>-2.3684815260912462</v>
      </c>
      <c r="BU48" s="157">
        <f t="shared" si="75"/>
        <v>-1.9889624470683775</v>
      </c>
      <c r="BV48" s="157">
        <f t="shared" si="76"/>
        <v>3.1870334039476749</v>
      </c>
      <c r="BW48" s="157">
        <f t="shared" si="77"/>
        <v>-1.3792224604361027</v>
      </c>
      <c r="BX48" s="157">
        <f t="shared" si="78"/>
        <v>2.7327314161205081</v>
      </c>
      <c r="BY48" s="157">
        <f t="shared" si="79"/>
        <v>3.7159300642969919</v>
      </c>
    </row>
    <row r="49" spans="1:77">
      <c r="A49" s="2" t="s">
        <v>3</v>
      </c>
      <c r="B49" s="254"/>
      <c r="C49" s="159">
        <f t="shared" si="64"/>
        <v>1.0204801979176874</v>
      </c>
      <c r="D49" s="159">
        <f t="shared" si="64"/>
        <v>0.66177088281967089</v>
      </c>
      <c r="E49" s="159">
        <f t="shared" si="64"/>
        <v>-0.66571123629471629</v>
      </c>
      <c r="F49" s="159">
        <f t="shared" si="64"/>
        <v>1.1725481027084883</v>
      </c>
      <c r="G49" s="159">
        <f t="shared" si="64"/>
        <v>0.36588689120024065</v>
      </c>
      <c r="H49" s="159">
        <f t="shared" si="64"/>
        <v>1.2010461357493685</v>
      </c>
      <c r="I49" s="159">
        <f t="shared" si="64"/>
        <v>1.1634340672203605</v>
      </c>
      <c r="J49" s="159">
        <f t="shared" si="64"/>
        <v>0.3496506980153028</v>
      </c>
      <c r="K49" s="159">
        <f t="shared" si="64"/>
        <v>1.6165859838085348</v>
      </c>
      <c r="L49" s="159">
        <f t="shared" si="64"/>
        <v>-0.26490925055637599</v>
      </c>
      <c r="M49" s="159">
        <f t="shared" si="64"/>
        <v>-0.40537723430390216</v>
      </c>
      <c r="N49" s="159">
        <f t="shared" si="64"/>
        <v>-0.40128011844044298</v>
      </c>
      <c r="O49" s="159">
        <f t="shared" si="64"/>
        <v>-0.43809826309118127</v>
      </c>
      <c r="P49" s="159">
        <f t="shared" si="64"/>
        <v>-1.2627882619713171</v>
      </c>
      <c r="Q49" s="159">
        <f t="shared" si="64"/>
        <v>-0.35471398067363952</v>
      </c>
      <c r="R49" s="159">
        <f t="shared" si="64"/>
        <v>-0.35011060974237163</v>
      </c>
      <c r="S49" s="159">
        <f t="shared" si="64"/>
        <v>0.68107073757368197</v>
      </c>
      <c r="T49" s="159">
        <f t="shared" si="64"/>
        <v>1.3567385049043958</v>
      </c>
      <c r="U49" s="159">
        <f t="shared" si="64"/>
        <v>1.8595205840666738</v>
      </c>
      <c r="V49" s="159">
        <f t="shared" si="64"/>
        <v>2.2664340430025809</v>
      </c>
      <c r="W49" s="159">
        <f t="shared" si="64"/>
        <v>1.6002299529721236</v>
      </c>
      <c r="X49" s="159">
        <f t="shared" si="64"/>
        <v>2.0012203188770963</v>
      </c>
      <c r="Y49" s="159">
        <f t="shared" si="64"/>
        <v>1.6716446115927401</v>
      </c>
      <c r="Z49" s="159">
        <f t="shared" si="64"/>
        <v>0.29817405897969412</v>
      </c>
      <c r="AA49" s="159">
        <f t="shared" si="65"/>
        <v>-5.4751815099467985E-2</v>
      </c>
      <c r="AB49" s="159">
        <f t="shared" si="65"/>
        <v>-0.84966946581278102</v>
      </c>
      <c r="AC49" s="159">
        <f t="shared" si="65"/>
        <v>0.70899018581226048</v>
      </c>
      <c r="AD49" s="159">
        <f t="shared" si="65"/>
        <v>0.94845465361599657</v>
      </c>
      <c r="AE49" s="159">
        <f t="shared" si="65"/>
        <v>1.7810494479820478</v>
      </c>
      <c r="AF49" s="159">
        <f t="shared" si="65"/>
        <v>1.2643554407732782</v>
      </c>
      <c r="AG49" s="159">
        <f t="shared" si="65"/>
        <v>0.46988151931794131</v>
      </c>
      <c r="AH49" s="159">
        <f t="shared" si="65"/>
        <v>-0.58349975278163169</v>
      </c>
      <c r="AI49" s="159">
        <f t="shared" si="65"/>
        <v>-0.86404208401147653</v>
      </c>
      <c r="AJ49" s="159">
        <f t="shared" si="65"/>
        <v>-0.60366884179846503</v>
      </c>
      <c r="AK49" s="159">
        <f t="shared" si="65"/>
        <v>-0.12319268321744102</v>
      </c>
      <c r="AL49" s="159">
        <f t="shared" si="65"/>
        <v>2.7719975454486243</v>
      </c>
      <c r="AM49" s="159">
        <f t="shared" si="65"/>
        <v>2.420035424915524</v>
      </c>
      <c r="AN49" s="159">
        <f t="shared" si="65"/>
        <v>2.5286278188142419</v>
      </c>
      <c r="AO49" s="159">
        <f t="shared" si="65"/>
        <v>0.81160580417270201</v>
      </c>
      <c r="AP49" s="159">
        <f t="shared" si="65"/>
        <v>0.29784505440142678</v>
      </c>
      <c r="AQ49" s="159">
        <f t="shared" si="65"/>
        <v>3.4669852257992093</v>
      </c>
      <c r="AR49" s="159">
        <f t="shared" si="65"/>
        <v>2.2412435388596093</v>
      </c>
      <c r="AS49" s="159">
        <f t="shared" si="65"/>
        <v>0.46776994960432189</v>
      </c>
      <c r="AT49" s="159">
        <f t="shared" si="65"/>
        <v>1.3481950733438313</v>
      </c>
      <c r="AU49" s="159">
        <f t="shared" si="65"/>
        <v>1.8456437499234382</v>
      </c>
      <c r="AV49" s="159">
        <f t="shared" si="65"/>
        <v>1.8757728613755169</v>
      </c>
      <c r="AW49" s="159">
        <f t="shared" si="65"/>
        <v>1.8226825591992339</v>
      </c>
      <c r="AX49" s="159">
        <f t="shared" si="65"/>
        <v>1.943010860148731</v>
      </c>
      <c r="AY49" s="159">
        <f t="shared" si="65"/>
        <v>0.86517292463572704</v>
      </c>
      <c r="AZ49" s="159">
        <f t="shared" si="65"/>
        <v>0.3436645797187583</v>
      </c>
      <c r="BA49" s="159">
        <f t="shared" si="65"/>
        <v>2.3690507467312707</v>
      </c>
      <c r="BB49" s="159">
        <f t="shared" si="65"/>
        <v>-0.43209222091820543</v>
      </c>
      <c r="BC49" s="159">
        <f t="shared" si="65"/>
        <v>3.2998047511362754</v>
      </c>
      <c r="BD49" s="159">
        <f t="shared" si="65"/>
        <v>-0.67471210458905118</v>
      </c>
      <c r="BE49" s="159">
        <f t="shared" si="65"/>
        <v>-3.8966866184688831</v>
      </c>
      <c r="BF49" s="159">
        <f t="shared" si="65"/>
        <v>-4.6102326095198158</v>
      </c>
      <c r="BG49" s="159">
        <f t="shared" si="65"/>
        <v>-1.8872233729930272</v>
      </c>
      <c r="BH49" s="159">
        <f t="shared" si="65"/>
        <v>2.0125631292911121</v>
      </c>
      <c r="BI49" s="159">
        <f t="shared" si="66"/>
        <v>2.1662536255117151</v>
      </c>
      <c r="BJ49" s="159">
        <f t="shared" si="66"/>
        <v>1.2858462272229703</v>
      </c>
      <c r="BK49" s="159">
        <f t="shared" si="66"/>
        <v>1.300553248756652</v>
      </c>
      <c r="BL49" s="159">
        <f t="shared" si="66"/>
        <v>-0.50853480148573249</v>
      </c>
      <c r="BM49" s="159">
        <f t="shared" si="67"/>
        <v>1.0612101805777872</v>
      </c>
      <c r="BN49" s="159">
        <f t="shared" si="68"/>
        <v>2.3494444119832139</v>
      </c>
      <c r="BO49" s="159">
        <f t="shared" si="69"/>
        <v>-0.90806451586755066</v>
      </c>
      <c r="BP49" s="159">
        <f t="shared" si="70"/>
        <v>-0.16386193987726413</v>
      </c>
      <c r="BQ49" s="159">
        <f t="shared" si="71"/>
        <v>0.82641334321505655</v>
      </c>
      <c r="BR49" s="159">
        <f t="shared" si="72"/>
        <v>1.3026277713062704</v>
      </c>
      <c r="BS49" s="159">
        <f t="shared" si="73"/>
        <v>-0.31250120697340178</v>
      </c>
      <c r="BT49" s="159">
        <f t="shared" si="74"/>
        <v>0.30119571170211368</v>
      </c>
      <c r="BU49" s="159">
        <f t="shared" si="75"/>
        <v>0.93150406126081653</v>
      </c>
      <c r="BV49" s="159">
        <f t="shared" si="76"/>
        <v>-1.5065066984701285</v>
      </c>
      <c r="BW49" s="159">
        <f t="shared" si="77"/>
        <v>2.3227311653855574</v>
      </c>
      <c r="BX49" s="159">
        <f t="shared" si="78"/>
        <v>-1.1333341480799382</v>
      </c>
      <c r="BY49" s="159">
        <f t="shared" si="79"/>
        <v>2.2249520446799846</v>
      </c>
    </row>
    <row r="50" spans="1:77">
      <c r="A50" s="3" t="s">
        <v>4</v>
      </c>
      <c r="B50" s="252"/>
      <c r="C50" s="156">
        <f t="shared" si="64"/>
        <v>1.2712492465880767</v>
      </c>
      <c r="D50" s="156">
        <f t="shared" si="64"/>
        <v>0.82151156252125535</v>
      </c>
      <c r="E50" s="156">
        <f t="shared" si="64"/>
        <v>-0.72287405435909302</v>
      </c>
      <c r="F50" s="156">
        <f t="shared" si="64"/>
        <v>0.90534955912445569</v>
      </c>
      <c r="G50" s="156">
        <f t="shared" si="64"/>
        <v>-0.23321711689862093</v>
      </c>
      <c r="H50" s="156">
        <f t="shared" si="64"/>
        <v>0.60778651542168394</v>
      </c>
      <c r="I50" s="156">
        <f t="shared" si="64"/>
        <v>0.73033318647425549</v>
      </c>
      <c r="J50" s="156">
        <f t="shared" si="64"/>
        <v>0.62652740182457178</v>
      </c>
      <c r="K50" s="156">
        <f t="shared" si="64"/>
        <v>1.8662665756115808</v>
      </c>
      <c r="L50" s="156">
        <f t="shared" si="64"/>
        <v>-0.15676294675081387</v>
      </c>
      <c r="M50" s="156">
        <f t="shared" si="64"/>
        <v>-0.24174692681642754</v>
      </c>
      <c r="N50" s="156">
        <f t="shared" si="64"/>
        <v>0.43318046205922617</v>
      </c>
      <c r="O50" s="156">
        <f t="shared" si="64"/>
        <v>-7.7910475262907952E-2</v>
      </c>
      <c r="P50" s="156">
        <f t="shared" si="64"/>
        <v>-1.2789901141283262</v>
      </c>
      <c r="Q50" s="156">
        <f t="shared" si="64"/>
        <v>-0.53188340416899982</v>
      </c>
      <c r="R50" s="156">
        <f t="shared" si="64"/>
        <v>-0.19839202229939376</v>
      </c>
      <c r="S50" s="156">
        <f t="shared" si="64"/>
        <v>0.73117808923530281</v>
      </c>
      <c r="T50" s="156">
        <f t="shared" si="64"/>
        <v>1.6017307161112648</v>
      </c>
      <c r="U50" s="156">
        <f t="shared" si="64"/>
        <v>2.0542042244307068</v>
      </c>
      <c r="V50" s="156">
        <f t="shared" si="64"/>
        <v>2.5656759415411843</v>
      </c>
      <c r="W50" s="156">
        <f t="shared" si="64"/>
        <v>1.6361146876562866</v>
      </c>
      <c r="X50" s="156">
        <f t="shared" si="64"/>
        <v>2.0909321440030104</v>
      </c>
      <c r="Y50" s="156">
        <f t="shared" si="64"/>
        <v>1.9915743141221047</v>
      </c>
      <c r="Z50" s="156">
        <f t="shared" si="64"/>
        <v>0.58248850822537235</v>
      </c>
      <c r="AA50" s="156">
        <f t="shared" si="65"/>
        <v>6.9427870951197445E-4</v>
      </c>
      <c r="AB50" s="156">
        <f t="shared" si="65"/>
        <v>-1.0686437272788061</v>
      </c>
      <c r="AC50" s="156">
        <f t="shared" si="65"/>
        <v>0.83605767594422886</v>
      </c>
      <c r="AD50" s="156">
        <f t="shared" si="65"/>
        <v>0.80765550239233941</v>
      </c>
      <c r="AE50" s="156">
        <f t="shared" si="65"/>
        <v>1.7474352424610702</v>
      </c>
      <c r="AF50" s="156">
        <f t="shared" si="65"/>
        <v>1.122954149714215</v>
      </c>
      <c r="AG50" s="156">
        <f t="shared" si="65"/>
        <v>2.4910402231701205E-2</v>
      </c>
      <c r="AH50" s="156">
        <f t="shared" si="65"/>
        <v>-0.93218846692437096</v>
      </c>
      <c r="AI50" s="156">
        <f t="shared" si="65"/>
        <v>-1.2620053442667631</v>
      </c>
      <c r="AJ50" s="156">
        <f t="shared" si="65"/>
        <v>-0.98487582540892937</v>
      </c>
      <c r="AK50" s="156">
        <f t="shared" si="65"/>
        <v>-0.56135903602774784</v>
      </c>
      <c r="AL50" s="156">
        <f t="shared" si="65"/>
        <v>2.9658618978381814</v>
      </c>
      <c r="AM50" s="156">
        <f t="shared" si="65"/>
        <v>2.4293209654711725</v>
      </c>
      <c r="AN50" s="156">
        <f t="shared" si="65"/>
        <v>2.388627705109525</v>
      </c>
      <c r="AO50" s="156">
        <f t="shared" si="65"/>
        <v>0.37894057889220351</v>
      </c>
      <c r="AP50" s="156">
        <f t="shared" si="65"/>
        <v>-1.734939759036612E-2</v>
      </c>
      <c r="AQ50" s="156">
        <f t="shared" si="65"/>
        <v>3.8752506458951967</v>
      </c>
      <c r="AR50" s="156">
        <f t="shared" si="65"/>
        <v>2.2916847928013717</v>
      </c>
      <c r="AS50" s="156">
        <f t="shared" si="65"/>
        <v>-8.237222948246245E-2</v>
      </c>
      <c r="AT50" s="156">
        <f t="shared" si="65"/>
        <v>1.3822248621899125</v>
      </c>
      <c r="AU50" s="156">
        <f t="shared" si="65"/>
        <v>1.9110604911660567</v>
      </c>
      <c r="AV50" s="156">
        <f t="shared" si="65"/>
        <v>1.9561503020644671</v>
      </c>
      <c r="AW50" s="156">
        <f t="shared" si="65"/>
        <v>1.873724542020347</v>
      </c>
      <c r="AX50" s="156">
        <f t="shared" si="65"/>
        <v>1.4607236333688629</v>
      </c>
      <c r="AY50" s="156">
        <f t="shared" si="65"/>
        <v>0.42591866303480158</v>
      </c>
      <c r="AZ50" s="156">
        <f t="shared" si="65"/>
        <v>-2.9410193448488428E-2</v>
      </c>
      <c r="BA50" s="156">
        <f t="shared" si="65"/>
        <v>2.1866854873442896</v>
      </c>
      <c r="BB50" s="156">
        <f t="shared" si="65"/>
        <v>-5.5695467857510887E-2</v>
      </c>
      <c r="BC50" s="156">
        <f t="shared" si="65"/>
        <v>4.0578276016320771</v>
      </c>
      <c r="BD50" s="156">
        <f t="shared" si="65"/>
        <v>-1.6963896071751992</v>
      </c>
      <c r="BE50" s="156">
        <f t="shared" si="65"/>
        <v>-4.7328019198997069</v>
      </c>
      <c r="BF50" s="156">
        <f t="shared" si="65"/>
        <v>-6.6306484982507188</v>
      </c>
      <c r="BG50" s="156">
        <f t="shared" si="65"/>
        <v>-2.6841795737650007</v>
      </c>
      <c r="BH50" s="156">
        <f t="shared" si="65"/>
        <v>2.1687449911097585</v>
      </c>
      <c r="BI50" s="156">
        <f t="shared" si="66"/>
        <v>2.6948791938665102</v>
      </c>
      <c r="BJ50" s="156">
        <f t="shared" si="66"/>
        <v>1.6223435348698312</v>
      </c>
      <c r="BK50" s="156">
        <f t="shared" si="66"/>
        <v>1.8786963728022772</v>
      </c>
      <c r="BL50" s="156">
        <f t="shared" si="66"/>
        <v>-0.59859154433348893</v>
      </c>
      <c r="BM50" s="156">
        <f t="shared" si="67"/>
        <v>1.1842134227708085</v>
      </c>
      <c r="BN50" s="156">
        <f t="shared" si="68"/>
        <v>2.9832879636115615</v>
      </c>
      <c r="BO50" s="156">
        <f t="shared" si="69"/>
        <v>-1.2321893248215043</v>
      </c>
      <c r="BP50" s="156">
        <f t="shared" si="70"/>
        <v>-0.16344326044942778</v>
      </c>
      <c r="BQ50" s="156">
        <f t="shared" si="71"/>
        <v>1.033931748681076</v>
      </c>
      <c r="BR50" s="156">
        <f t="shared" si="72"/>
        <v>1.5027694553698703</v>
      </c>
      <c r="BS50" s="156">
        <f t="shared" si="73"/>
        <v>-0.26934817561590962</v>
      </c>
      <c r="BT50" s="156">
        <f t="shared" si="74"/>
        <v>0.2143058673995985</v>
      </c>
      <c r="BU50" s="156">
        <f t="shared" si="75"/>
        <v>1.0763374909752677</v>
      </c>
      <c r="BV50" s="156">
        <f t="shared" si="76"/>
        <v>-2.025042293683311</v>
      </c>
      <c r="BW50" s="156">
        <f t="shared" si="77"/>
        <v>2.8045535887737074</v>
      </c>
      <c r="BX50" s="156">
        <f t="shared" si="78"/>
        <v>-1.7037736339610345</v>
      </c>
      <c r="BY50" s="156">
        <f t="shared" si="79"/>
        <v>2.9535190836828678</v>
      </c>
    </row>
    <row r="51" spans="1:77">
      <c r="A51" s="3" t="s">
        <v>5</v>
      </c>
      <c r="B51" s="252"/>
      <c r="C51" s="156">
        <f t="shared" si="64"/>
        <v>3.9842401018693616E-2</v>
      </c>
      <c r="D51" s="156">
        <f t="shared" si="64"/>
        <v>-0.61141512921752139</v>
      </c>
      <c r="E51" s="156">
        <f t="shared" si="64"/>
        <v>-1.2858818378806052</v>
      </c>
      <c r="F51" s="156">
        <f t="shared" si="64"/>
        <v>4.2479804005655879</v>
      </c>
      <c r="G51" s="156">
        <f t="shared" si="64"/>
        <v>4.1937797700166701</v>
      </c>
      <c r="H51" s="156">
        <f t="shared" si="64"/>
        <v>6.0245968303847128</v>
      </c>
      <c r="I51" s="156">
        <f t="shared" si="64"/>
        <v>4.9238523492905939</v>
      </c>
      <c r="J51" s="156">
        <f t="shared" si="64"/>
        <v>-2.1205020607870853</v>
      </c>
      <c r="K51" s="156">
        <f t="shared" si="64"/>
        <v>0.26274519286997777</v>
      </c>
      <c r="L51" s="156">
        <f t="shared" si="64"/>
        <v>-2.0233327757731079</v>
      </c>
      <c r="M51" s="156">
        <f t="shared" si="64"/>
        <v>-2.4529480274536861</v>
      </c>
      <c r="N51" s="156">
        <f t="shared" si="64"/>
        <v>-1.8932223483534589</v>
      </c>
      <c r="O51" s="156">
        <f t="shared" si="64"/>
        <v>-1.3412553702397161</v>
      </c>
      <c r="P51" s="156">
        <f t="shared" si="64"/>
        <v>-1.4606944110555391</v>
      </c>
      <c r="Q51" s="156">
        <f t="shared" si="64"/>
        <v>-7.6343541349500346E-2</v>
      </c>
      <c r="R51" s="156">
        <f t="shared" si="64"/>
        <v>-0.76863808510143095</v>
      </c>
      <c r="S51" s="156">
        <f t="shared" si="64"/>
        <v>1.0096790008771959</v>
      </c>
      <c r="T51" s="156">
        <f t="shared" si="64"/>
        <v>0.49005975371235094</v>
      </c>
      <c r="U51" s="156">
        <f t="shared" si="64"/>
        <v>1.6285513799006366</v>
      </c>
      <c r="V51" s="156">
        <f t="shared" si="64"/>
        <v>1.0174547300084424</v>
      </c>
      <c r="W51" s="156">
        <f t="shared" si="64"/>
        <v>0.72708185162014882</v>
      </c>
      <c r="X51" s="156">
        <f t="shared" si="64"/>
        <v>0.38502200648263374</v>
      </c>
      <c r="Y51" s="156">
        <f t="shared" si="64"/>
        <v>-1.5779384953421425</v>
      </c>
      <c r="Z51" s="156">
        <f t="shared" si="64"/>
        <v>-1.643852520426961</v>
      </c>
      <c r="AA51" s="156">
        <f t="shared" si="65"/>
        <v>-1.4005807076029724</v>
      </c>
      <c r="AB51" s="156">
        <f t="shared" si="65"/>
        <v>-0.1787228225699726</v>
      </c>
      <c r="AC51" s="156">
        <f t="shared" si="65"/>
        <v>-0.58636885441736064</v>
      </c>
      <c r="AD51" s="156">
        <f t="shared" si="65"/>
        <v>1.5574008320596502</v>
      </c>
      <c r="AE51" s="156">
        <f t="shared" si="65"/>
        <v>2.3268087310700154</v>
      </c>
      <c r="AF51" s="156">
        <f t="shared" si="65"/>
        <v>1.2481029392323655</v>
      </c>
      <c r="AG51" s="156">
        <f t="shared" si="65"/>
        <v>1.685010840767968</v>
      </c>
      <c r="AH51" s="156">
        <f t="shared" si="65"/>
        <v>-4.8725818143466076E-2</v>
      </c>
      <c r="AI51" s="156">
        <f t="shared" si="65"/>
        <v>3.0832476875642344E-2</v>
      </c>
      <c r="AJ51" s="156">
        <f t="shared" si="65"/>
        <v>0.44522072673721702</v>
      </c>
      <c r="AK51" s="156">
        <f t="shared" si="65"/>
        <v>1.1217566231375089</v>
      </c>
      <c r="AL51" s="156">
        <f t="shared" si="65"/>
        <v>1.8881920561062784</v>
      </c>
      <c r="AM51" s="156">
        <f t="shared" si="65"/>
        <v>1.9392415116817792</v>
      </c>
      <c r="AN51" s="156">
        <f t="shared" si="65"/>
        <v>3.3924165692767176</v>
      </c>
      <c r="AO51" s="156">
        <f t="shared" si="65"/>
        <v>1.9466859242048415</v>
      </c>
      <c r="AP51" s="156">
        <f t="shared" si="65"/>
        <v>3.5264406048848833E-2</v>
      </c>
      <c r="AQ51" s="156">
        <f t="shared" si="65"/>
        <v>0.93594762387835262</v>
      </c>
      <c r="AR51" s="156">
        <f t="shared" si="65"/>
        <v>0.77780777167224102</v>
      </c>
      <c r="AS51" s="156">
        <f t="shared" si="65"/>
        <v>2.1095992820703735</v>
      </c>
      <c r="AT51" s="156">
        <f t="shared" si="65"/>
        <v>0.71895531391122347</v>
      </c>
      <c r="AU51" s="156">
        <f t="shared" si="65"/>
        <v>0.28252744342093644</v>
      </c>
      <c r="AV51" s="156">
        <f t="shared" si="65"/>
        <v>0.19075568598679382</v>
      </c>
      <c r="AW51" s="156">
        <f t="shared" si="65"/>
        <v>0.6502636203866432</v>
      </c>
      <c r="AX51" s="156">
        <f t="shared" si="65"/>
        <v>1.5183924102205926</v>
      </c>
      <c r="AY51" s="156">
        <f t="shared" si="65"/>
        <v>0.87719926900060918</v>
      </c>
      <c r="AZ51" s="156">
        <f t="shared" si="65"/>
        <v>0.98608259507384965</v>
      </c>
      <c r="BA51" s="156">
        <f t="shared" si="65"/>
        <v>8.1605661744532071E-2</v>
      </c>
      <c r="BB51" s="156">
        <f t="shared" si="65"/>
        <v>-4.1952790226164192</v>
      </c>
      <c r="BC51" s="156">
        <f t="shared" si="65"/>
        <v>-0.47198090969404738</v>
      </c>
      <c r="BD51" s="156">
        <f t="shared" si="65"/>
        <v>3.2520393605434474</v>
      </c>
      <c r="BE51" s="156">
        <f t="shared" si="65"/>
        <v>-3.5280306153214926</v>
      </c>
      <c r="BF51" s="156">
        <f t="shared" si="65"/>
        <v>-1.0948962292098152</v>
      </c>
      <c r="BG51" s="156">
        <f t="shared" si="65"/>
        <v>0.52049072679207276</v>
      </c>
      <c r="BH51" s="156">
        <f t="shared" si="65"/>
        <v>0.86448025843624943</v>
      </c>
      <c r="BI51" s="156">
        <f t="shared" si="66"/>
        <v>0.30512464320098759</v>
      </c>
      <c r="BJ51" s="156">
        <f t="shared" si="66"/>
        <v>1.4956553648121582</v>
      </c>
      <c r="BK51" s="156">
        <f t="shared" si="66"/>
        <v>-0.11795434156954469</v>
      </c>
      <c r="BL51" s="156">
        <f t="shared" si="66"/>
        <v>-0.23983622311940173</v>
      </c>
      <c r="BM51" s="156">
        <f t="shared" si="67"/>
        <v>1.4399378163214529</v>
      </c>
      <c r="BN51" s="156">
        <f t="shared" si="68"/>
        <v>0.56654062406650618</v>
      </c>
      <c r="BO51" s="156">
        <f t="shared" si="69"/>
        <v>0.22980621779061408</v>
      </c>
      <c r="BP51" s="156">
        <f t="shared" si="70"/>
        <v>-0.474008192903695</v>
      </c>
      <c r="BQ51" s="156">
        <f t="shared" si="71"/>
        <v>0.19042313489744167</v>
      </c>
      <c r="BR51" s="156">
        <f t="shared" si="72"/>
        <v>-0.52180533164893861</v>
      </c>
      <c r="BS51" s="156">
        <f t="shared" si="73"/>
        <v>-1.3165252145634698</v>
      </c>
      <c r="BT51" s="156">
        <f t="shared" si="74"/>
        <v>0.14051106126846913</v>
      </c>
      <c r="BU51" s="156">
        <f t="shared" si="75"/>
        <v>-0.65913948163632885</v>
      </c>
      <c r="BV51" s="156">
        <f t="shared" si="76"/>
        <v>-0.69641007201570515</v>
      </c>
      <c r="BW51" s="156">
        <f t="shared" si="77"/>
        <v>1.2449759107693288</v>
      </c>
      <c r="BX51" s="156">
        <f t="shared" si="78"/>
        <v>0.94726184039327155</v>
      </c>
      <c r="BY51" s="156">
        <f t="shared" si="79"/>
        <v>-1.4346630966371838</v>
      </c>
    </row>
    <row r="52" spans="1:77">
      <c r="A52" s="170" t="s">
        <v>6</v>
      </c>
      <c r="B52" s="253"/>
      <c r="C52" s="157">
        <f t="shared" si="64"/>
        <v>0.10200471372883142</v>
      </c>
      <c r="D52" s="157">
        <f t="shared" si="64"/>
        <v>0.72586095130214501</v>
      </c>
      <c r="E52" s="157">
        <f t="shared" si="64"/>
        <v>0.40458761877482408</v>
      </c>
      <c r="F52" s="157">
        <f t="shared" si="64"/>
        <v>0.16995504578123433</v>
      </c>
      <c r="G52" s="157">
        <f t="shared" si="64"/>
        <v>1.0434093407980887</v>
      </c>
      <c r="H52" s="157">
        <f t="shared" si="64"/>
        <v>0.59095037308813902</v>
      </c>
      <c r="I52" s="157">
        <f t="shared" si="64"/>
        <v>0.24735340268606118</v>
      </c>
      <c r="J52" s="157">
        <f t="shared" si="64"/>
        <v>1.1288562423214488</v>
      </c>
      <c r="K52" s="157">
        <f t="shared" si="64"/>
        <v>1.2504472750814311</v>
      </c>
      <c r="L52" s="157">
        <f t="shared" si="64"/>
        <v>0.88562507098741761</v>
      </c>
      <c r="M52" s="157">
        <f t="shared" si="64"/>
        <v>0.59115202481104157</v>
      </c>
      <c r="N52" s="157">
        <f t="shared" si="64"/>
        <v>-5.1103946524425297</v>
      </c>
      <c r="O52" s="157">
        <f t="shared" si="64"/>
        <v>-2.321890491661017</v>
      </c>
      <c r="P52" s="157">
        <f t="shared" si="64"/>
        <v>-0.91118707306044777</v>
      </c>
      <c r="Q52" s="157">
        <f t="shared" si="64"/>
        <v>0.77964336899590514</v>
      </c>
      <c r="R52" s="157">
        <f t="shared" si="64"/>
        <v>-1.1108406374438904</v>
      </c>
      <c r="S52" s="157">
        <f t="shared" si="64"/>
        <v>-8.523416342427409E-2</v>
      </c>
      <c r="T52" s="157">
        <f t="shared" si="64"/>
        <v>0.31618916618749804</v>
      </c>
      <c r="U52" s="157">
        <f t="shared" si="64"/>
        <v>0.50530807472942874</v>
      </c>
      <c r="V52" s="157">
        <f t="shared" si="64"/>
        <v>1.1549366177788634</v>
      </c>
      <c r="W52" s="157">
        <f t="shared" si="64"/>
        <v>2.2736250212455205</v>
      </c>
      <c r="X52" s="157">
        <f t="shared" si="64"/>
        <v>3.0266578085563443</v>
      </c>
      <c r="Y52" s="157">
        <f t="shared" si="64"/>
        <v>2.4847106933479828</v>
      </c>
      <c r="Z52" s="157">
        <f t="shared" si="64"/>
        <v>-6.8349313082124233E-2</v>
      </c>
      <c r="AA52" s="157">
        <f t="shared" si="65"/>
        <v>0.84820595235317975</v>
      </c>
      <c r="AB52" s="157">
        <f t="shared" si="65"/>
        <v>0.30750732164592576</v>
      </c>
      <c r="AC52" s="157">
        <f t="shared" si="65"/>
        <v>0.94672457732034676</v>
      </c>
      <c r="AD52" s="157">
        <f t="shared" si="65"/>
        <v>1.5107000032489744</v>
      </c>
      <c r="AE52" s="157">
        <f t="shared" si="65"/>
        <v>1.5229319077096231</v>
      </c>
      <c r="AF52" s="157">
        <f t="shared" si="65"/>
        <v>2.4354754893469601</v>
      </c>
      <c r="AG52" s="157">
        <f t="shared" si="65"/>
        <v>2.8781114718614722</v>
      </c>
      <c r="AH52" s="157">
        <f t="shared" si="65"/>
        <v>1.6371346855583682</v>
      </c>
      <c r="AI52" s="157">
        <f t="shared" si="65"/>
        <v>1.3326001875990554</v>
      </c>
      <c r="AJ52" s="157">
        <f t="shared" si="65"/>
        <v>1.2576207347824699</v>
      </c>
      <c r="AK52" s="157">
        <f t="shared" si="65"/>
        <v>1.9165904863978818</v>
      </c>
      <c r="AL52" s="157">
        <f t="shared" si="65"/>
        <v>2.2053137855309148</v>
      </c>
      <c r="AM52" s="157">
        <f t="shared" si="65"/>
        <v>2.7932453698099504</v>
      </c>
      <c r="AN52" s="157">
        <f t="shared" si="65"/>
        <v>2.7438396090322961</v>
      </c>
      <c r="AO52" s="157">
        <f t="shared" si="65"/>
        <v>2.8510845582967992</v>
      </c>
      <c r="AP52" s="157">
        <f t="shared" si="65"/>
        <v>2.7219033821808658</v>
      </c>
      <c r="AQ52" s="157">
        <f t="shared" si="65"/>
        <v>2.9399799300263081</v>
      </c>
      <c r="AR52" s="157">
        <f t="shared" si="65"/>
        <v>3.1616387827690691</v>
      </c>
      <c r="AS52" s="157">
        <f t="shared" si="65"/>
        <v>2.7991316562380284</v>
      </c>
      <c r="AT52" s="157">
        <f t="shared" si="65"/>
        <v>1.6521328662641923</v>
      </c>
      <c r="AU52" s="157">
        <f t="shared" si="65"/>
        <v>2.7153191905367096</v>
      </c>
      <c r="AV52" s="157">
        <f t="shared" si="65"/>
        <v>2.7196802055821259</v>
      </c>
      <c r="AW52" s="157">
        <f t="shared" si="65"/>
        <v>2.4206624971044706</v>
      </c>
      <c r="AX52" s="157">
        <f t="shared" si="65"/>
        <v>5.3669569150740699</v>
      </c>
      <c r="AY52" s="157">
        <f t="shared" si="65"/>
        <v>3.5695887352966431</v>
      </c>
      <c r="AZ52" s="157">
        <f t="shared" si="65"/>
        <v>2.1098008331433546</v>
      </c>
      <c r="BA52" s="157">
        <f t="shared" si="65"/>
        <v>5.088392295358136</v>
      </c>
      <c r="BB52" s="157">
        <f t="shared" si="65"/>
        <v>6.5281211372013679E-3</v>
      </c>
      <c r="BC52" s="157">
        <f t="shared" si="65"/>
        <v>1.4619719278214611</v>
      </c>
      <c r="BD52" s="157">
        <f t="shared" si="65"/>
        <v>2.7618956616348522</v>
      </c>
      <c r="BE52" s="157">
        <f t="shared" si="65"/>
        <v>0.5390148586577086</v>
      </c>
      <c r="BF52" s="157">
        <f t="shared" si="65"/>
        <v>3.9060119332964667</v>
      </c>
      <c r="BG52" s="157">
        <f t="shared" si="65"/>
        <v>0.48050923340159757</v>
      </c>
      <c r="BH52" s="157">
        <f t="shared" si="65"/>
        <v>1.9728425343438709</v>
      </c>
      <c r="BI52" s="157">
        <f t="shared" si="66"/>
        <v>0.81519359723123808</v>
      </c>
      <c r="BJ52" s="157">
        <f t="shared" si="66"/>
        <v>-0.41998963929433281</v>
      </c>
      <c r="BK52" s="157">
        <f t="shared" si="66"/>
        <v>-0.63260701314684931</v>
      </c>
      <c r="BL52" s="157">
        <f t="shared" si="66"/>
        <v>-0.22568429525264769</v>
      </c>
      <c r="BM52" s="157">
        <f t="shared" si="67"/>
        <v>0.23158451096027088</v>
      </c>
      <c r="BN52" s="157">
        <f t="shared" si="68"/>
        <v>0.2887771032090255</v>
      </c>
      <c r="BO52" s="157">
        <f t="shared" si="69"/>
        <v>5.0158709073952611E-2</v>
      </c>
      <c r="BP52" s="157">
        <f t="shared" si="70"/>
        <v>2.2421803743341549E-2</v>
      </c>
      <c r="BQ52" s="157">
        <f t="shared" si="71"/>
        <v>0.17105539467441863</v>
      </c>
      <c r="BR52" s="157">
        <f t="shared" si="72"/>
        <v>1.394092421643343</v>
      </c>
      <c r="BS52" s="157">
        <f t="shared" si="73"/>
        <v>6.4663900866836613E-2</v>
      </c>
      <c r="BT52" s="157">
        <f t="shared" si="74"/>
        <v>0.833285150178391</v>
      </c>
      <c r="BU52" s="157">
        <f t="shared" si="75"/>
        <v>1.1297041491970381</v>
      </c>
      <c r="BV52" s="157">
        <f t="shared" si="76"/>
        <v>0.62831828300138892</v>
      </c>
      <c r="BW52" s="157">
        <f t="shared" si="77"/>
        <v>0.58004640371229699</v>
      </c>
      <c r="BX52" s="157">
        <f t="shared" si="78"/>
        <v>0.530565167243368</v>
      </c>
      <c r="BY52" s="157">
        <f t="shared" si="79"/>
        <v>0.75722808627810922</v>
      </c>
    </row>
    <row r="53" spans="1:77">
      <c r="A53" s="2" t="s">
        <v>7</v>
      </c>
      <c r="B53" s="254"/>
      <c r="C53" s="159">
        <f t="shared" si="64"/>
        <v>1.0692714423634164</v>
      </c>
      <c r="D53" s="159">
        <f t="shared" si="64"/>
        <v>1.0550908014439939</v>
      </c>
      <c r="E53" s="159">
        <f t="shared" si="64"/>
        <v>0.79034457402563407</v>
      </c>
      <c r="F53" s="159">
        <f t="shared" si="64"/>
        <v>1.1149622679503413</v>
      </c>
      <c r="G53" s="159">
        <f t="shared" si="64"/>
        <v>1.0182321637646976</v>
      </c>
      <c r="H53" s="159">
        <f t="shared" si="64"/>
        <v>1.1609153445993634</v>
      </c>
      <c r="I53" s="159">
        <f t="shared" si="64"/>
        <v>1.1287011884862717</v>
      </c>
      <c r="J53" s="159">
        <f t="shared" si="64"/>
        <v>0.53802509242646679</v>
      </c>
      <c r="K53" s="159">
        <f t="shared" si="64"/>
        <v>0.26065242404093014</v>
      </c>
      <c r="L53" s="159">
        <f t="shared" si="64"/>
        <v>0.23299584774728674</v>
      </c>
      <c r="M53" s="159">
        <f t="shared" si="64"/>
        <v>1.0969659878725987E-2</v>
      </c>
      <c r="N53" s="159">
        <f t="shared" si="64"/>
        <v>0.97053336187386674</v>
      </c>
      <c r="O53" s="159">
        <f t="shared" si="64"/>
        <v>0.81749703645008009</v>
      </c>
      <c r="P53" s="159">
        <f t="shared" si="64"/>
        <v>0.31745542153145828</v>
      </c>
      <c r="Q53" s="159">
        <f t="shared" si="64"/>
        <v>0.21191612253909589</v>
      </c>
      <c r="R53" s="159">
        <f t="shared" si="64"/>
        <v>1.6348409076786534</v>
      </c>
      <c r="S53" s="159">
        <f t="shared" si="64"/>
        <v>1.1025729283773475</v>
      </c>
      <c r="T53" s="159">
        <f t="shared" si="64"/>
        <v>1.1246433883977203</v>
      </c>
      <c r="U53" s="159">
        <f t="shared" si="64"/>
        <v>0.88410904675124535</v>
      </c>
      <c r="V53" s="159">
        <f t="shared" si="64"/>
        <v>1.0769165637365483</v>
      </c>
      <c r="W53" s="159">
        <f t="shared" si="64"/>
        <v>0.89621323117270602</v>
      </c>
      <c r="X53" s="159">
        <f t="shared" si="64"/>
        <v>0.89356967483333449</v>
      </c>
      <c r="Y53" s="159">
        <f t="shared" si="64"/>
        <v>0.75337255912931178</v>
      </c>
      <c r="Z53" s="159">
        <f t="shared" si="64"/>
        <v>1.071135097368126</v>
      </c>
      <c r="AA53" s="159">
        <f t="shared" si="65"/>
        <v>0.79491416518409252</v>
      </c>
      <c r="AB53" s="159">
        <f t="shared" si="65"/>
        <v>0.75909114574152559</v>
      </c>
      <c r="AC53" s="159">
        <f t="shared" si="65"/>
        <v>0.98688889231044719</v>
      </c>
      <c r="AD53" s="159">
        <f t="shared" si="65"/>
        <v>1.4347545977815366</v>
      </c>
      <c r="AE53" s="159">
        <f t="shared" si="65"/>
        <v>1.0977035680348424</v>
      </c>
      <c r="AF53" s="159">
        <f t="shared" si="65"/>
        <v>0.45399769240434329</v>
      </c>
      <c r="AG53" s="159">
        <f t="shared" si="65"/>
        <v>0.84888415106761561</v>
      </c>
      <c r="AH53" s="159">
        <f t="shared" si="65"/>
        <v>1.5291345503560707</v>
      </c>
      <c r="AI53" s="159">
        <f t="shared" si="65"/>
        <v>0.97529109607649689</v>
      </c>
      <c r="AJ53" s="159">
        <f t="shared" si="65"/>
        <v>1.0207595905481679</v>
      </c>
      <c r="AK53" s="159">
        <f t="shared" si="65"/>
        <v>0.81226265897705974</v>
      </c>
      <c r="AL53" s="159">
        <f t="shared" si="65"/>
        <v>1.3097351949384999</v>
      </c>
      <c r="AM53" s="159">
        <f t="shared" si="65"/>
        <v>1.2809576352121947</v>
      </c>
      <c r="AN53" s="159">
        <f t="shared" si="65"/>
        <v>1.1301788419901033</v>
      </c>
      <c r="AO53" s="159">
        <f t="shared" si="65"/>
        <v>1.505001584212194</v>
      </c>
      <c r="AP53" s="159">
        <f t="shared" si="65"/>
        <v>1.242799491650121</v>
      </c>
      <c r="AQ53" s="159">
        <f t="shared" si="65"/>
        <v>1.5461718014866415</v>
      </c>
      <c r="AR53" s="159">
        <f t="shared" ref="AR53:BH61" si="80">(AR13-AQ13)/AQ13*100</f>
        <v>1.3356632437297482</v>
      </c>
      <c r="AS53" s="159">
        <f t="shared" si="80"/>
        <v>0.9182136318239541</v>
      </c>
      <c r="AT53" s="159">
        <f t="shared" si="80"/>
        <v>2.1559203713319972</v>
      </c>
      <c r="AU53" s="159">
        <f t="shared" si="80"/>
        <v>1.5920015880573932</v>
      </c>
      <c r="AV53" s="159">
        <f t="shared" si="80"/>
        <v>1.4798025193116835</v>
      </c>
      <c r="AW53" s="159">
        <f t="shared" si="80"/>
        <v>1.2396512203587517</v>
      </c>
      <c r="AX53" s="159">
        <f t="shared" si="80"/>
        <v>1.7691100003604898</v>
      </c>
      <c r="AY53" s="159">
        <f t="shared" si="80"/>
        <v>1.1556139250278037</v>
      </c>
      <c r="AZ53" s="159">
        <f t="shared" si="80"/>
        <v>1.7033784336233644</v>
      </c>
      <c r="BA53" s="159">
        <f t="shared" si="80"/>
        <v>1.4725176653222878</v>
      </c>
      <c r="BB53" s="159">
        <f t="shared" si="80"/>
        <v>1.4755077203949574</v>
      </c>
      <c r="BC53" s="159">
        <f t="shared" si="80"/>
        <v>0.25647031964457634</v>
      </c>
      <c r="BD53" s="159">
        <f t="shared" si="80"/>
        <v>0.87515583433408328</v>
      </c>
      <c r="BE53" s="159">
        <f t="shared" si="80"/>
        <v>0.76656654821377723</v>
      </c>
      <c r="BF53" s="159">
        <f t="shared" si="80"/>
        <v>-8.0187529791639442E-2</v>
      </c>
      <c r="BG53" s="159">
        <f t="shared" si="80"/>
        <v>-0.26178011623920616</v>
      </c>
      <c r="BH53" s="159">
        <f t="shared" si="80"/>
        <v>0.19321266673494078</v>
      </c>
      <c r="BI53" s="159">
        <f t="shared" si="66"/>
        <v>0.37582308362002048</v>
      </c>
      <c r="BJ53" s="159">
        <f t="shared" si="66"/>
        <v>0.7756121344849588</v>
      </c>
      <c r="BK53" s="159">
        <f t="shared" si="66"/>
        <v>1.0768878874896433</v>
      </c>
      <c r="BL53" s="159">
        <f t="shared" si="66"/>
        <v>0.72565953000798566</v>
      </c>
      <c r="BM53" s="159">
        <f t="shared" si="67"/>
        <v>0.89624243024700401</v>
      </c>
      <c r="BN53" s="159">
        <f t="shared" si="68"/>
        <v>1.11831082851148</v>
      </c>
      <c r="BO53" s="159">
        <f t="shared" si="69"/>
        <v>1.0782959273934483</v>
      </c>
      <c r="BP53" s="159">
        <f t="shared" si="70"/>
        <v>1.0651091933803212</v>
      </c>
      <c r="BQ53" s="159">
        <f t="shared" si="71"/>
        <v>1.058882361862888</v>
      </c>
      <c r="BR53" s="159">
        <f t="shared" si="72"/>
        <v>0.75222848603268022</v>
      </c>
      <c r="BS53" s="159">
        <f t="shared" si="73"/>
        <v>0.52600907733483526</v>
      </c>
      <c r="BT53" s="159">
        <f t="shared" si="74"/>
        <v>0.49431919989501971</v>
      </c>
      <c r="BU53" s="159">
        <f t="shared" si="75"/>
        <v>0.65763864046683462</v>
      </c>
      <c r="BV53" s="159">
        <f t="shared" si="76"/>
        <v>0.48727765781585258</v>
      </c>
      <c r="BW53" s="159">
        <f t="shared" si="77"/>
        <v>0.55542166495130174</v>
      </c>
      <c r="BX53" s="159">
        <f t="shared" si="78"/>
        <v>0.31849218033893739</v>
      </c>
      <c r="BY53" s="159">
        <f t="shared" si="79"/>
        <v>0.38288319733884235</v>
      </c>
    </row>
    <row r="54" spans="1:77">
      <c r="A54" s="3" t="s">
        <v>8</v>
      </c>
      <c r="B54" s="252"/>
      <c r="C54" s="156">
        <f t="shared" si="64"/>
        <v>1.926897646323839</v>
      </c>
      <c r="D54" s="156">
        <f t="shared" si="64"/>
        <v>2.092171505298992</v>
      </c>
      <c r="E54" s="156">
        <f t="shared" si="64"/>
        <v>1.5377237361743838</v>
      </c>
      <c r="F54" s="156">
        <f t="shared" si="64"/>
        <v>-0.15882711193892851</v>
      </c>
      <c r="G54" s="156">
        <f t="shared" si="64"/>
        <v>0.62541144514800762</v>
      </c>
      <c r="H54" s="156">
        <f t="shared" si="64"/>
        <v>0.83360850268890296</v>
      </c>
      <c r="I54" s="156">
        <f t="shared" si="64"/>
        <v>1.0845182212206841</v>
      </c>
      <c r="J54" s="156">
        <f t="shared" si="64"/>
        <v>0.28543734885720096</v>
      </c>
      <c r="K54" s="156">
        <f t="shared" si="64"/>
        <v>-0.65270370623319074</v>
      </c>
      <c r="L54" s="156">
        <f t="shared" si="64"/>
        <v>-0.59897938553706986</v>
      </c>
      <c r="M54" s="156">
        <f t="shared" si="64"/>
        <v>-1.8887437293562281</v>
      </c>
      <c r="N54" s="156">
        <f t="shared" si="64"/>
        <v>2.3848090332512979</v>
      </c>
      <c r="O54" s="156">
        <f t="shared" si="64"/>
        <v>0.85517484197508087</v>
      </c>
      <c r="P54" s="156">
        <f t="shared" si="64"/>
        <v>0.37876878541956205</v>
      </c>
      <c r="Q54" s="156">
        <f t="shared" si="64"/>
        <v>2.7977646577759925E-2</v>
      </c>
      <c r="R54" s="156">
        <f t="shared" si="64"/>
        <v>3.3396540348260082</v>
      </c>
      <c r="S54" s="156">
        <f t="shared" si="64"/>
        <v>2.3216446525944323</v>
      </c>
      <c r="T54" s="156">
        <f t="shared" si="64"/>
        <v>2.5888848193817062</v>
      </c>
      <c r="U54" s="156">
        <f t="shared" si="64"/>
        <v>2.3582691481273348</v>
      </c>
      <c r="V54" s="156">
        <f t="shared" si="64"/>
        <v>2.0284507007091825</v>
      </c>
      <c r="W54" s="156">
        <f t="shared" si="64"/>
        <v>1.8972865616128554</v>
      </c>
      <c r="X54" s="156">
        <f t="shared" si="64"/>
        <v>1.2953569950759474</v>
      </c>
      <c r="Y54" s="156">
        <f t="shared" si="64"/>
        <v>0.61513946662741903</v>
      </c>
      <c r="Z54" s="156">
        <f t="shared" si="64"/>
        <v>0.18715629745700582</v>
      </c>
      <c r="AA54" s="156">
        <f t="shared" ref="AA54:AQ61" si="81">(AA14-Z14)/Z14*100</f>
        <v>0.10466834852637798</v>
      </c>
      <c r="AB54" s="156">
        <f t="shared" si="81"/>
        <v>-1.256541129040711E-2</v>
      </c>
      <c r="AC54" s="156">
        <f t="shared" si="81"/>
        <v>0.24046015911241458</v>
      </c>
      <c r="AD54" s="156">
        <f t="shared" si="81"/>
        <v>0.75232962874596332</v>
      </c>
      <c r="AE54" s="156">
        <f t="shared" si="81"/>
        <v>0.82730611335988713</v>
      </c>
      <c r="AF54" s="156">
        <f t="shared" si="81"/>
        <v>0.59701563050713669</v>
      </c>
      <c r="AG54" s="156">
        <f t="shared" si="81"/>
        <v>1.6242350435634045</v>
      </c>
      <c r="AH54" s="156">
        <f t="shared" si="81"/>
        <v>0.13331107893599409</v>
      </c>
      <c r="AI54" s="156">
        <f t="shared" si="81"/>
        <v>0.41870283761560984</v>
      </c>
      <c r="AJ54" s="156">
        <f t="shared" si="81"/>
        <v>0.664924506387921</v>
      </c>
      <c r="AK54" s="156">
        <f t="shared" si="81"/>
        <v>0.5819608295595422</v>
      </c>
      <c r="AL54" s="156">
        <f t="shared" si="81"/>
        <v>1.3496694651909003</v>
      </c>
      <c r="AM54" s="156">
        <f t="shared" si="81"/>
        <v>1.880514071315794</v>
      </c>
      <c r="AN54" s="156">
        <f t="shared" si="81"/>
        <v>2.0824307059934455</v>
      </c>
      <c r="AO54" s="156">
        <f t="shared" si="81"/>
        <v>2.3969006252074503</v>
      </c>
      <c r="AP54" s="156">
        <f t="shared" si="81"/>
        <v>1.2320122858478997</v>
      </c>
      <c r="AQ54" s="156">
        <f t="shared" si="81"/>
        <v>1.515466074058365</v>
      </c>
      <c r="AR54" s="156">
        <f t="shared" si="80"/>
        <v>1.4292403230889792</v>
      </c>
      <c r="AS54" s="156">
        <f t="shared" si="80"/>
        <v>1.9627490620226153</v>
      </c>
      <c r="AT54" s="156">
        <f t="shared" si="80"/>
        <v>1.0938811305504921</v>
      </c>
      <c r="AU54" s="156">
        <f t="shared" si="80"/>
        <v>1.4738521078434403</v>
      </c>
      <c r="AV54" s="156">
        <f t="shared" si="80"/>
        <v>1.4392854749386184</v>
      </c>
      <c r="AW54" s="156">
        <f t="shared" si="80"/>
        <v>1.4092543276432228</v>
      </c>
      <c r="AX54" s="156">
        <f t="shared" si="80"/>
        <v>1.3440665980438957</v>
      </c>
      <c r="AY54" s="156">
        <f t="shared" si="80"/>
        <v>1.2122827194778723</v>
      </c>
      <c r="AZ54" s="156">
        <f t="shared" si="80"/>
        <v>1.1469510871322526</v>
      </c>
      <c r="BA54" s="156">
        <f t="shared" si="80"/>
        <v>0.96223226926062921</v>
      </c>
      <c r="BB54" s="156">
        <f t="shared" si="80"/>
        <v>0.83412036019441349</v>
      </c>
      <c r="BC54" s="156">
        <f t="shared" si="80"/>
        <v>-0.911900092428088</v>
      </c>
      <c r="BD54" s="156">
        <f t="shared" si="80"/>
        <v>-1.4396272865645092</v>
      </c>
      <c r="BE54" s="156">
        <f t="shared" si="80"/>
        <v>-0.10530002030743119</v>
      </c>
      <c r="BF54" s="156">
        <f t="shared" si="80"/>
        <v>-0.14537116197534164</v>
      </c>
      <c r="BG54" s="156">
        <f t="shared" si="80"/>
        <v>-0.5024760829736582</v>
      </c>
      <c r="BH54" s="156">
        <f t="shared" si="80"/>
        <v>0.44094078933628522</v>
      </c>
      <c r="BI54" s="156">
        <f t="shared" si="66"/>
        <v>0.46644403062532924</v>
      </c>
      <c r="BJ54" s="156">
        <f t="shared" si="66"/>
        <v>1.1699768454487132</v>
      </c>
      <c r="BK54" s="156">
        <f t="shared" si="66"/>
        <v>1.6830003503760489</v>
      </c>
      <c r="BL54" s="156">
        <f t="shared" si="66"/>
        <v>1.1364247869912412</v>
      </c>
      <c r="BM54" s="156">
        <f t="shared" si="67"/>
        <v>1.2184081857755928</v>
      </c>
      <c r="BN54" s="156">
        <f t="shared" si="68"/>
        <v>0.55051425560167511</v>
      </c>
      <c r="BO54" s="156">
        <f t="shared" si="69"/>
        <v>1.2356137865804249</v>
      </c>
      <c r="BP54" s="156">
        <f t="shared" si="70"/>
        <v>1.3437552080413757</v>
      </c>
      <c r="BQ54" s="156">
        <f t="shared" si="71"/>
        <v>1.1945967883754811</v>
      </c>
      <c r="BR54" s="156">
        <f t="shared" si="72"/>
        <v>0.98103163354210687</v>
      </c>
      <c r="BS54" s="156">
        <f t="shared" si="73"/>
        <v>0.72303029581598688</v>
      </c>
      <c r="BT54" s="156">
        <f t="shared" si="74"/>
        <v>0.53030723189160289</v>
      </c>
      <c r="BU54" s="156">
        <f t="shared" si="75"/>
        <v>0.43611431920573651</v>
      </c>
      <c r="BV54" s="156">
        <f t="shared" si="76"/>
        <v>0.51203652140620748</v>
      </c>
      <c r="BW54" s="156">
        <f t="shared" si="77"/>
        <v>0.7588472663984247</v>
      </c>
      <c r="BX54" s="156">
        <f t="shared" si="78"/>
        <v>0.33128082015740651</v>
      </c>
      <c r="BY54" s="156">
        <f t="shared" si="79"/>
        <v>0.57799245531443844</v>
      </c>
    </row>
    <row r="55" spans="1:77">
      <c r="A55" s="3" t="s">
        <v>9</v>
      </c>
      <c r="B55" s="252"/>
      <c r="C55" s="156">
        <f t="shared" si="64"/>
        <v>2.7037174159885131</v>
      </c>
      <c r="D55" s="156">
        <f t="shared" si="64"/>
        <v>2.5018396796366349</v>
      </c>
      <c r="E55" s="156">
        <f t="shared" si="64"/>
        <v>2.1266965688954684</v>
      </c>
      <c r="F55" s="156">
        <f t="shared" si="64"/>
        <v>0.53391193610768606</v>
      </c>
      <c r="G55" s="156">
        <f t="shared" si="64"/>
        <v>1.3338391619093672</v>
      </c>
      <c r="H55" s="156">
        <f t="shared" si="64"/>
        <v>1.5860199880349066</v>
      </c>
      <c r="I55" s="156">
        <f t="shared" si="64"/>
        <v>0.62030212801301743</v>
      </c>
      <c r="J55" s="156">
        <f t="shared" si="64"/>
        <v>2.5134537596066848</v>
      </c>
      <c r="K55" s="156">
        <f t="shared" si="64"/>
        <v>2.0862697174941669</v>
      </c>
      <c r="L55" s="156">
        <f t="shared" si="64"/>
        <v>2.2557641982762231</v>
      </c>
      <c r="M55" s="156">
        <f t="shared" si="64"/>
        <v>2.330512878631529</v>
      </c>
      <c r="N55" s="156">
        <f t="shared" si="64"/>
        <v>1.4236076674648708</v>
      </c>
      <c r="O55" s="156">
        <f t="shared" si="64"/>
        <v>0.8328194309964152</v>
      </c>
      <c r="P55" s="156">
        <f t="shared" si="64"/>
        <v>-0.47142303203924751</v>
      </c>
      <c r="Q55" s="156">
        <f t="shared" si="64"/>
        <v>0.90245824482021364</v>
      </c>
      <c r="R55" s="156">
        <f t="shared" si="64"/>
        <v>1.1870534868896121</v>
      </c>
      <c r="S55" s="156">
        <f t="shared" si="64"/>
        <v>2.2576953329558438</v>
      </c>
      <c r="T55" s="156">
        <f t="shared" si="64"/>
        <v>2.1559587940765299</v>
      </c>
      <c r="U55" s="156">
        <f t="shared" si="64"/>
        <v>1.9266070421536126</v>
      </c>
      <c r="V55" s="156">
        <f t="shared" si="64"/>
        <v>2.3631497745285528</v>
      </c>
      <c r="W55" s="156">
        <f t="shared" si="64"/>
        <v>2.2274569929457635</v>
      </c>
      <c r="X55" s="156">
        <f t="shared" si="64"/>
        <v>1.4724797751302328</v>
      </c>
      <c r="Y55" s="156">
        <f t="shared" si="64"/>
        <v>0.85035678278828941</v>
      </c>
      <c r="Z55" s="156">
        <f t="shared" si="64"/>
        <v>1.0155448451789326</v>
      </c>
      <c r="AA55" s="156">
        <f t="shared" si="81"/>
        <v>1.5052388831583929</v>
      </c>
      <c r="AB55" s="156">
        <f t="shared" si="81"/>
        <v>2.1192082301559405</v>
      </c>
      <c r="AC55" s="156">
        <f t="shared" si="81"/>
        <v>2.5300180275762156</v>
      </c>
      <c r="AD55" s="156">
        <f t="shared" si="81"/>
        <v>2.4300626304801618</v>
      </c>
      <c r="AE55" s="156">
        <f t="shared" si="81"/>
        <v>2.282732757215066</v>
      </c>
      <c r="AF55" s="156">
        <f t="shared" si="81"/>
        <v>1.7109801886504499</v>
      </c>
      <c r="AG55" s="156">
        <f t="shared" si="81"/>
        <v>1.5529778191282742</v>
      </c>
      <c r="AH55" s="156">
        <f t="shared" si="81"/>
        <v>1.7986585996568512</v>
      </c>
      <c r="AI55" s="156">
        <f t="shared" si="81"/>
        <v>1.1556078836166577</v>
      </c>
      <c r="AJ55" s="156">
        <f t="shared" si="81"/>
        <v>1.0586987890335389</v>
      </c>
      <c r="AK55" s="156">
        <f t="shared" si="81"/>
        <v>1.7173510038259774</v>
      </c>
      <c r="AL55" s="156">
        <f t="shared" si="81"/>
        <v>0.93918195777946667</v>
      </c>
      <c r="AM55" s="156">
        <f t="shared" si="81"/>
        <v>0.97039637964549419</v>
      </c>
      <c r="AN55" s="156">
        <f t="shared" si="81"/>
        <v>1.4039386376088148</v>
      </c>
      <c r="AO55" s="156">
        <f t="shared" si="81"/>
        <v>1.3094603822573747</v>
      </c>
      <c r="AP55" s="156">
        <f t="shared" si="81"/>
        <v>1.1624372250122113</v>
      </c>
      <c r="AQ55" s="156">
        <f t="shared" si="81"/>
        <v>1.4730621980421841</v>
      </c>
      <c r="AR55" s="156">
        <f t="shared" si="80"/>
        <v>1.3526718196196874</v>
      </c>
      <c r="AS55" s="156">
        <f t="shared" si="80"/>
        <v>1.282170394618966</v>
      </c>
      <c r="AT55" s="156">
        <f t="shared" si="80"/>
        <v>1.4052936822060018</v>
      </c>
      <c r="AU55" s="156">
        <f t="shared" si="80"/>
        <v>1.2498093746100845</v>
      </c>
      <c r="AV55" s="156">
        <f t="shared" si="80"/>
        <v>0.98517783178721807</v>
      </c>
      <c r="AW55" s="156">
        <f t="shared" si="80"/>
        <v>0.74099685432259466</v>
      </c>
      <c r="AX55" s="156">
        <f t="shared" si="80"/>
        <v>2.2820110769396424</v>
      </c>
      <c r="AY55" s="156">
        <f t="shared" si="80"/>
        <v>2.3705818880437932</v>
      </c>
      <c r="AZ55" s="156">
        <f t="shared" si="80"/>
        <v>1.5000867659440456</v>
      </c>
      <c r="BA55" s="156">
        <f t="shared" si="80"/>
        <v>1.0935570682285896</v>
      </c>
      <c r="BB55" s="156">
        <f t="shared" si="80"/>
        <v>0.6876270530077937</v>
      </c>
      <c r="BC55" s="156">
        <f t="shared" si="80"/>
        <v>0.77150368817002402</v>
      </c>
      <c r="BD55" s="156">
        <f t="shared" si="80"/>
        <v>0.81782312244947664</v>
      </c>
      <c r="BE55" s="156">
        <f t="shared" si="80"/>
        <v>0.44010655818516364</v>
      </c>
      <c r="BF55" s="156">
        <f t="shared" si="80"/>
        <v>-0.41300992847471851</v>
      </c>
      <c r="BG55" s="156">
        <f t="shared" si="80"/>
        <v>-9.2934235549133687E-2</v>
      </c>
      <c r="BH55" s="156">
        <f t="shared" si="80"/>
        <v>0.57363439039808695</v>
      </c>
      <c r="BI55" s="156">
        <f t="shared" si="66"/>
        <v>0.70458045812469505</v>
      </c>
      <c r="BJ55" s="156">
        <f t="shared" si="66"/>
        <v>0.22029404887155421</v>
      </c>
      <c r="BK55" s="156">
        <f t="shared" si="66"/>
        <v>0.71089500667514527</v>
      </c>
      <c r="BL55" s="156">
        <f t="shared" si="66"/>
        <v>0.57349040904310966</v>
      </c>
      <c r="BM55" s="156">
        <f t="shared" si="67"/>
        <v>0.69284403152236385</v>
      </c>
      <c r="BN55" s="156">
        <f t="shared" si="68"/>
        <v>0.93067256501175188</v>
      </c>
      <c r="BO55" s="156">
        <f t="shared" si="69"/>
        <v>1.0024585095370826</v>
      </c>
      <c r="BP55" s="156">
        <f t="shared" si="70"/>
        <v>0.49865593526461161</v>
      </c>
      <c r="BQ55" s="156">
        <f t="shared" si="71"/>
        <v>0.66538543843413311</v>
      </c>
      <c r="BR55" s="156">
        <f t="shared" si="72"/>
        <v>0.65995491790905969</v>
      </c>
      <c r="BS55" s="156">
        <f t="shared" si="73"/>
        <v>0.59170632178289062</v>
      </c>
      <c r="BT55" s="156">
        <f t="shared" si="74"/>
        <v>0.33798932990688862</v>
      </c>
      <c r="BU55" s="156">
        <f t="shared" si="75"/>
        <v>0.50184236057188991</v>
      </c>
      <c r="BV55" s="156">
        <f t="shared" si="76"/>
        <v>0.524292683313622</v>
      </c>
      <c r="BW55" s="156">
        <f t="shared" si="77"/>
        <v>0.37383069428941684</v>
      </c>
      <c r="BX55" s="156">
        <f t="shared" si="78"/>
        <v>0.64107635692775877</v>
      </c>
      <c r="BY55" s="156">
        <f t="shared" si="79"/>
        <v>0.38820408032131731</v>
      </c>
    </row>
    <row r="56" spans="1:77">
      <c r="A56" s="3" t="s">
        <v>10</v>
      </c>
      <c r="B56" s="252"/>
      <c r="C56" s="156">
        <f t="shared" si="64"/>
        <v>0.61474651607024078</v>
      </c>
      <c r="D56" s="156">
        <f t="shared" si="64"/>
        <v>0.82112798506454965</v>
      </c>
      <c r="E56" s="156">
        <f t="shared" si="64"/>
        <v>0.55266818991906985</v>
      </c>
      <c r="F56" s="156">
        <f t="shared" si="64"/>
        <v>2.075582278509708</v>
      </c>
      <c r="G56" s="156">
        <f t="shared" ref="G56:G61" si="82">(G16-F16)/F16*100</f>
        <v>2.3674894982772487</v>
      </c>
      <c r="H56" s="156">
        <f t="shared" ref="H56:H61" si="83">(H16-G16)/G16*100</f>
        <v>2.3866699285230322</v>
      </c>
      <c r="I56" s="156">
        <f t="shared" ref="I56:I61" si="84">(I16-H16)/H16*100</f>
        <v>2.3061885109110851</v>
      </c>
      <c r="J56" s="156">
        <f t="shared" ref="J56:J61" si="85">(J16-I16)/I16*100</f>
        <v>0.49874162377140324</v>
      </c>
      <c r="K56" s="156">
        <f t="shared" ref="K56:K61" si="86">(K16-J16)/J16*100</f>
        <v>0.54032300866032035</v>
      </c>
      <c r="L56" s="156">
        <f t="shared" ref="L56:L61" si="87">(L16-K16)/K16*100</f>
        <v>0.30950549335093341</v>
      </c>
      <c r="M56" s="156">
        <f t="shared" ref="M56:M61" si="88">(M16-L16)/L16*100</f>
        <v>0.4052695256936294</v>
      </c>
      <c r="N56" s="156">
        <f t="shared" ref="N56:N61" si="89">(N16-M16)/M16*100</f>
        <v>0.25657100635677904</v>
      </c>
      <c r="O56" s="156">
        <f t="shared" ref="O56:O61" si="90">(O16-N16)/N16*100</f>
        <v>1.4088488927463907</v>
      </c>
      <c r="P56" s="156">
        <f t="shared" ref="P56:P61" si="91">(P16-O16)/O16*100</f>
        <v>0.73320263250226059</v>
      </c>
      <c r="Q56" s="156">
        <f t="shared" ref="Q56:Q61" si="92">(Q16-P16)/P16*100</f>
        <v>3.9302473024892141E-2</v>
      </c>
      <c r="R56" s="156">
        <f t="shared" ref="R56:R61" si="93">(R16-Q16)/Q16*100</f>
        <v>2.7400097447733507</v>
      </c>
      <c r="S56" s="156">
        <f t="shared" ref="S56:S61" si="94">(S16-R16)/R16*100</f>
        <v>1.1037662057649988</v>
      </c>
      <c r="T56" s="156">
        <f t="shared" ref="T56:T61" si="95">(T16-S16)/S16*100</f>
        <v>1.1083558941295388</v>
      </c>
      <c r="U56" s="156">
        <f t="shared" ref="U56:U61" si="96">(U16-T16)/T16*100</f>
        <v>0.64277965312975927</v>
      </c>
      <c r="V56" s="156">
        <f t="shared" ref="V56:V61" si="97">(V16-U16)/U16*100</f>
        <v>0.51699638842604734</v>
      </c>
      <c r="W56" s="156">
        <f t="shared" ref="W56:W61" si="98">(W16-V16)/V16*100</f>
        <v>0.37480123627937656</v>
      </c>
      <c r="X56" s="156">
        <f t="shared" ref="X56:X61" si="99">(X16-W16)/W16*100</f>
        <v>1.2093593912866343</v>
      </c>
      <c r="Y56" s="156">
        <f t="shared" ref="Y56:Y61" si="100">(Y16-X16)/X16*100</f>
        <v>1.7145149804072062</v>
      </c>
      <c r="Z56" s="156">
        <f t="shared" ref="Z56:Z61" si="101">(Z16-Y16)/Y16*100</f>
        <v>2.7676342076998486</v>
      </c>
      <c r="AA56" s="156">
        <f t="shared" si="81"/>
        <v>2.2499757877776703</v>
      </c>
      <c r="AB56" s="156">
        <f t="shared" si="81"/>
        <v>1.9687948025780426</v>
      </c>
      <c r="AC56" s="156">
        <f t="shared" si="81"/>
        <v>1.9800550493810454</v>
      </c>
      <c r="AD56" s="156">
        <f t="shared" si="81"/>
        <v>2.2719603861194089</v>
      </c>
      <c r="AE56" s="156">
        <f t="shared" si="81"/>
        <v>1.3084013780316495</v>
      </c>
      <c r="AF56" s="156">
        <f t="shared" si="81"/>
        <v>-0.36243611414140203</v>
      </c>
      <c r="AG56" s="156">
        <f t="shared" si="81"/>
        <v>0.28153875770020531</v>
      </c>
      <c r="AH56" s="156">
        <f t="shared" si="81"/>
        <v>2.3767626756676772</v>
      </c>
      <c r="AI56" s="156">
        <f t="shared" si="81"/>
        <v>1.3563082788713579</v>
      </c>
      <c r="AJ56" s="156">
        <f t="shared" si="81"/>
        <v>1.5088972909223353</v>
      </c>
      <c r="AK56" s="156">
        <f t="shared" si="81"/>
        <v>0.869479375493591</v>
      </c>
      <c r="AL56" s="156">
        <f t="shared" si="81"/>
        <v>2.8257285463702546</v>
      </c>
      <c r="AM56" s="156">
        <f t="shared" si="81"/>
        <v>1.9302786146507891</v>
      </c>
      <c r="AN56" s="156">
        <f t="shared" si="81"/>
        <v>1.0048627022833871</v>
      </c>
      <c r="AO56" s="156">
        <f t="shared" si="81"/>
        <v>1.4467864203325227</v>
      </c>
      <c r="AP56" s="156">
        <f t="shared" si="81"/>
        <v>1.0073498228261513</v>
      </c>
      <c r="AQ56" s="156">
        <f t="shared" si="81"/>
        <v>1.9102173553222892</v>
      </c>
      <c r="AR56" s="156">
        <f t="shared" si="80"/>
        <v>1.833552894340706</v>
      </c>
      <c r="AS56" s="156">
        <f t="shared" si="80"/>
        <v>0.66303973122649651</v>
      </c>
      <c r="AT56" s="156">
        <f t="shared" si="80"/>
        <v>3.8623185204548935</v>
      </c>
      <c r="AU56" s="156">
        <f t="shared" si="80"/>
        <v>2.5933198587729622</v>
      </c>
      <c r="AV56" s="156">
        <f t="shared" si="80"/>
        <v>2.5121806001926452</v>
      </c>
      <c r="AW56" s="156">
        <f t="shared" si="80"/>
        <v>1.462950349088963</v>
      </c>
      <c r="AX56" s="156">
        <f t="shared" si="80"/>
        <v>1.8590391018590391</v>
      </c>
      <c r="AY56" s="156">
        <f t="shared" si="80"/>
        <v>1.2228204901874247</v>
      </c>
      <c r="AZ56" s="156">
        <f t="shared" si="80"/>
        <v>2.6672402667240269</v>
      </c>
      <c r="BA56" s="156">
        <f t="shared" si="80"/>
        <v>2.1811881019926274</v>
      </c>
      <c r="BB56" s="156">
        <f t="shared" si="80"/>
        <v>2.197802197802198</v>
      </c>
      <c r="BC56" s="156">
        <f t="shared" si="80"/>
        <v>0.53221197382048491</v>
      </c>
      <c r="BD56" s="156">
        <f t="shared" si="80"/>
        <v>1.9120768282717686</v>
      </c>
      <c r="BE56" s="156">
        <f t="shared" si="80"/>
        <v>1.4668250897745645</v>
      </c>
      <c r="BF56" s="156">
        <f t="shared" si="80"/>
        <v>-0.52820042041133242</v>
      </c>
      <c r="BG56" s="156">
        <f t="shared" si="80"/>
        <v>-1.1132152989693269</v>
      </c>
      <c r="BH56" s="156">
        <f t="shared" si="80"/>
        <v>0.15645763580078284</v>
      </c>
      <c r="BI56" s="156">
        <f t="shared" si="66"/>
        <v>0.49501671595373653</v>
      </c>
      <c r="BJ56" s="156">
        <f t="shared" si="66"/>
        <v>0.83688326023797721</v>
      </c>
      <c r="BK56" s="156">
        <f t="shared" si="66"/>
        <v>0.95030342750403207</v>
      </c>
      <c r="BL56" s="156">
        <f t="shared" si="66"/>
        <v>0.49063548681598279</v>
      </c>
      <c r="BM56" s="156">
        <f t="shared" si="67"/>
        <v>0.73390507542999117</v>
      </c>
      <c r="BN56" s="156">
        <f t="shared" si="68"/>
        <v>1.6628508966122422</v>
      </c>
      <c r="BO56" s="156">
        <f t="shared" si="69"/>
        <v>1.1926422797345859</v>
      </c>
      <c r="BP56" s="156">
        <f t="shared" si="70"/>
        <v>1.5022784007410841</v>
      </c>
      <c r="BQ56" s="156">
        <f t="shared" si="71"/>
        <v>1.1856235542639066</v>
      </c>
      <c r="BR56" s="156">
        <f t="shared" si="72"/>
        <v>1.0726191742360316</v>
      </c>
      <c r="BS56" s="156">
        <f t="shared" si="73"/>
        <v>0.48760107009543885</v>
      </c>
      <c r="BT56" s="156">
        <f t="shared" si="74"/>
        <v>0.28371304190977609</v>
      </c>
      <c r="BU56" s="156">
        <f t="shared" si="75"/>
        <v>0.56700847752499062</v>
      </c>
      <c r="BV56" s="156">
        <f t="shared" si="76"/>
        <v>0.80536013602906331</v>
      </c>
      <c r="BW56" s="156">
        <f t="shared" si="77"/>
        <v>0.870007357455164</v>
      </c>
      <c r="BX56" s="156">
        <f t="shared" si="78"/>
        <v>0.29152758129670542</v>
      </c>
      <c r="BY56" s="156">
        <f t="shared" si="79"/>
        <v>0.37684193947367201</v>
      </c>
    </row>
    <row r="57" spans="1:77">
      <c r="A57" s="3" t="s">
        <v>11</v>
      </c>
      <c r="B57" s="252"/>
      <c r="C57" s="156">
        <f t="shared" ref="C57:F61" si="102">(C17-B17)/B17*100</f>
        <v>1.6715443128373471</v>
      </c>
      <c r="D57" s="156">
        <f t="shared" si="102"/>
        <v>0.836157625994006</v>
      </c>
      <c r="E57" s="156">
        <f t="shared" si="102"/>
        <v>0.45148390420539453</v>
      </c>
      <c r="F57" s="156">
        <f t="shared" si="102"/>
        <v>2.8102599564783683</v>
      </c>
      <c r="G57" s="156">
        <f t="shared" si="82"/>
        <v>-1.5475829806573882</v>
      </c>
      <c r="H57" s="156">
        <f t="shared" si="83"/>
        <v>-0.53135240783673832</v>
      </c>
      <c r="I57" s="156">
        <f t="shared" si="84"/>
        <v>0.49206451952388203</v>
      </c>
      <c r="J57" s="156">
        <f t="shared" si="85"/>
        <v>-0.16885442323930397</v>
      </c>
      <c r="K57" s="156">
        <f t="shared" si="86"/>
        <v>0.27068045304697413</v>
      </c>
      <c r="L57" s="156">
        <f t="shared" si="87"/>
        <v>0.40303058060890279</v>
      </c>
      <c r="M57" s="156">
        <f t="shared" si="88"/>
        <v>0.1010064320841163</v>
      </c>
      <c r="N57" s="156">
        <f t="shared" si="89"/>
        <v>2.9237072497105325</v>
      </c>
      <c r="O57" s="156">
        <f t="shared" si="90"/>
        <v>2.0889309692768041</v>
      </c>
      <c r="P57" s="156">
        <f t="shared" si="91"/>
        <v>1.8370240286042177</v>
      </c>
      <c r="Q57" s="156">
        <f t="shared" si="92"/>
        <v>1.282550868635504</v>
      </c>
      <c r="R57" s="156">
        <f t="shared" si="93"/>
        <v>0.38127838313768875</v>
      </c>
      <c r="S57" s="156">
        <f t="shared" si="94"/>
        <v>0.62871586773082155</v>
      </c>
      <c r="T57" s="156">
        <f t="shared" si="95"/>
        <v>0.78252373020192345</v>
      </c>
      <c r="U57" s="156">
        <f t="shared" si="96"/>
        <v>0.75712698917858445</v>
      </c>
      <c r="V57" s="156">
        <f t="shared" si="97"/>
        <v>1.6597202493280436</v>
      </c>
      <c r="W57" s="156">
        <f t="shared" si="98"/>
        <v>1.2578821257154971</v>
      </c>
      <c r="X57" s="156">
        <f t="shared" si="99"/>
        <v>1.4582617114400884</v>
      </c>
      <c r="Y57" s="156">
        <f t="shared" si="100"/>
        <v>1.1231829700110307</v>
      </c>
      <c r="Z57" s="156">
        <f t="shared" si="101"/>
        <v>9.9414269530894231E-2</v>
      </c>
      <c r="AA57" s="156">
        <f t="shared" si="81"/>
        <v>4.0305591681662312E-2</v>
      </c>
      <c r="AB57" s="156">
        <f t="shared" si="81"/>
        <v>0.25600943527970188</v>
      </c>
      <c r="AC57" s="156">
        <f t="shared" si="81"/>
        <v>0.40680125368765757</v>
      </c>
      <c r="AD57" s="156">
        <f t="shared" si="81"/>
        <v>0.47779204113587481</v>
      </c>
      <c r="AE57" s="156">
        <f t="shared" si="81"/>
        <v>0.85204347816502535</v>
      </c>
      <c r="AF57" s="156">
        <f t="shared" si="81"/>
        <v>1.0435940822433358</v>
      </c>
      <c r="AG57" s="156">
        <f t="shared" si="81"/>
        <v>1.4189552052839587</v>
      </c>
      <c r="AH57" s="156">
        <f t="shared" si="81"/>
        <v>1.8567207018353042</v>
      </c>
      <c r="AI57" s="156">
        <f t="shared" si="81"/>
        <v>1.5351703516427415</v>
      </c>
      <c r="AJ57" s="156">
        <f t="shared" si="81"/>
        <v>1.1001508367850217</v>
      </c>
      <c r="AK57" s="156">
        <f t="shared" si="81"/>
        <v>0.370620345043989</v>
      </c>
      <c r="AL57" s="156">
        <f t="shared" si="81"/>
        <v>0.21942760068895548</v>
      </c>
      <c r="AM57" s="156">
        <f t="shared" si="81"/>
        <v>-0.22836425275449668</v>
      </c>
      <c r="AN57" s="156">
        <f t="shared" si="81"/>
        <v>0.59699379409613251</v>
      </c>
      <c r="AO57" s="156">
        <f t="shared" si="81"/>
        <v>0.74826421467442294</v>
      </c>
      <c r="AP57" s="156">
        <f t="shared" si="81"/>
        <v>0.98769528066866563</v>
      </c>
      <c r="AQ57" s="156">
        <f t="shared" si="81"/>
        <v>1.4224710073550051</v>
      </c>
      <c r="AR57" s="156">
        <f t="shared" si="80"/>
        <v>1.2411170382948411</v>
      </c>
      <c r="AS57" s="156">
        <f t="shared" si="80"/>
        <v>1.0451697440984393</v>
      </c>
      <c r="AT57" s="156">
        <f t="shared" si="80"/>
        <v>1.7971403252886624</v>
      </c>
      <c r="AU57" s="156">
        <f t="shared" si="80"/>
        <v>1.1579809004092769</v>
      </c>
      <c r="AV57" s="156">
        <f t="shared" si="80"/>
        <v>1.0379129534125973</v>
      </c>
      <c r="AW57" s="156">
        <f t="shared" si="80"/>
        <v>0.73146249786434303</v>
      </c>
      <c r="AX57" s="156">
        <f t="shared" si="80"/>
        <v>1.6325146025250974</v>
      </c>
      <c r="AY57" s="156">
        <f t="shared" si="80"/>
        <v>1.5386605196457852</v>
      </c>
      <c r="AZ57" s="156">
        <f t="shared" si="80"/>
        <v>1.6777307347154693</v>
      </c>
      <c r="BA57" s="156">
        <f t="shared" si="80"/>
        <v>1.8226050550911668</v>
      </c>
      <c r="BB57" s="156">
        <f t="shared" si="80"/>
        <v>0.50246345106991996</v>
      </c>
      <c r="BC57" s="156">
        <f t="shared" si="80"/>
        <v>0.38206430231060046</v>
      </c>
      <c r="BD57" s="156">
        <f t="shared" si="80"/>
        <v>0.78580747126860695</v>
      </c>
      <c r="BE57" s="156">
        <f t="shared" si="80"/>
        <v>0.48498285239200467</v>
      </c>
      <c r="BF57" s="156">
        <f t="shared" si="80"/>
        <v>-0.65936091510539363</v>
      </c>
      <c r="BG57" s="156">
        <f t="shared" si="80"/>
        <v>-0.34790465741865573</v>
      </c>
      <c r="BH57" s="156">
        <f t="shared" si="80"/>
        <v>-1.029770526314266</v>
      </c>
      <c r="BI57" s="156">
        <f t="shared" si="66"/>
        <v>-1.0743202728379415</v>
      </c>
      <c r="BJ57" s="156">
        <f t="shared" si="66"/>
        <v>0.58525842579949539</v>
      </c>
      <c r="BK57" s="156">
        <f t="shared" si="66"/>
        <v>1.0237873083369364</v>
      </c>
      <c r="BL57" s="156">
        <f t="shared" si="66"/>
        <v>0.71864763965919154</v>
      </c>
      <c r="BM57" s="156">
        <f t="shared" si="67"/>
        <v>0.56827813155533879</v>
      </c>
      <c r="BN57" s="156">
        <f t="shared" si="68"/>
        <v>0.45014317271176796</v>
      </c>
      <c r="BO57" s="156">
        <f t="shared" si="69"/>
        <v>0.58631886627388186</v>
      </c>
      <c r="BP57" s="156">
        <f t="shared" si="70"/>
        <v>0.45595972948776337</v>
      </c>
      <c r="BQ57" s="156">
        <f t="shared" si="71"/>
        <v>0.55750722261459296</v>
      </c>
      <c r="BR57" s="156">
        <f t="shared" si="72"/>
        <v>0.41987161622194763</v>
      </c>
      <c r="BS57" s="156">
        <f t="shared" si="73"/>
        <v>0.53812112081268471</v>
      </c>
      <c r="BT57" s="156">
        <f t="shared" si="74"/>
        <v>0.58246452080578137</v>
      </c>
      <c r="BU57" s="156">
        <f t="shared" si="75"/>
        <v>0.59283559210410985</v>
      </c>
      <c r="BV57" s="156">
        <f t="shared" si="76"/>
        <v>0.30323124030107607</v>
      </c>
      <c r="BW57" s="156">
        <f t="shared" si="77"/>
        <v>0.39569325786339427</v>
      </c>
      <c r="BX57" s="156">
        <f t="shared" si="78"/>
        <v>0.38806201456195361</v>
      </c>
      <c r="BY57" s="156">
        <f t="shared" si="79"/>
        <v>0.32506901094444285</v>
      </c>
    </row>
    <row r="58" spans="1:77">
      <c r="A58" s="170" t="s">
        <v>12</v>
      </c>
      <c r="B58" s="253"/>
      <c r="C58" s="157">
        <f t="shared" si="102"/>
        <v>9.0145451257909015E-2</v>
      </c>
      <c r="D58" s="157">
        <f t="shared" si="102"/>
        <v>7.1737232278089119E-2</v>
      </c>
      <c r="E58" s="157">
        <f t="shared" si="102"/>
        <v>7.0639298734902489E-2</v>
      </c>
      <c r="F58" s="157">
        <f t="shared" si="102"/>
        <v>0.79245791104946262</v>
      </c>
      <c r="G58" s="157">
        <f t="shared" si="82"/>
        <v>0.78853593259677857</v>
      </c>
      <c r="H58" s="157">
        <f t="shared" si="83"/>
        <v>0.62285653402291719</v>
      </c>
      <c r="I58" s="157">
        <f t="shared" si="84"/>
        <v>0.44329089008064038</v>
      </c>
      <c r="J58" s="157">
        <f t="shared" si="85"/>
        <v>0.17697126182146514</v>
      </c>
      <c r="K58" s="157">
        <f t="shared" si="86"/>
        <v>-0.14285242298984743</v>
      </c>
      <c r="L58" s="157">
        <f t="shared" si="87"/>
        <v>-0.18633023811231592</v>
      </c>
      <c r="M58" s="157">
        <f t="shared" si="88"/>
        <v>-0.10762034034760824</v>
      </c>
      <c r="N58" s="157">
        <f t="shared" si="89"/>
        <v>-0.1443712877268519</v>
      </c>
      <c r="O58" s="157">
        <f t="shared" si="90"/>
        <v>-0.25157779416896875</v>
      </c>
      <c r="P58" s="157">
        <f t="shared" si="91"/>
        <v>-0.32398003319257462</v>
      </c>
      <c r="Q58" s="157">
        <f t="shared" si="92"/>
        <v>-0.18463112988851416</v>
      </c>
      <c r="R58" s="157">
        <f t="shared" si="93"/>
        <v>-6.6724116388499233E-2</v>
      </c>
      <c r="S58" s="157">
        <f t="shared" si="94"/>
        <v>-0.17736232829302936</v>
      </c>
      <c r="T58" s="157">
        <f t="shared" si="95"/>
        <v>-0.34657435014081195</v>
      </c>
      <c r="U58" s="157">
        <f t="shared" si="96"/>
        <v>-0.47839140243057043</v>
      </c>
      <c r="V58" s="157">
        <f t="shared" si="97"/>
        <v>5.2652067999810336E-2</v>
      </c>
      <c r="W58" s="157">
        <f t="shared" si="98"/>
        <v>-0.18063012336015058</v>
      </c>
      <c r="X58" s="157">
        <f t="shared" si="99"/>
        <v>-0.32799822578511384</v>
      </c>
      <c r="Y58" s="157">
        <f t="shared" si="100"/>
        <v>-0.42185236365344103</v>
      </c>
      <c r="Z58" s="157">
        <f t="shared" si="101"/>
        <v>0.28738953628883962</v>
      </c>
      <c r="AA58" s="157">
        <f t="shared" si="81"/>
        <v>-0.4311586800152975</v>
      </c>
      <c r="AB58" s="157">
        <f t="shared" si="81"/>
        <v>-0.61612770838375652</v>
      </c>
      <c r="AC58" s="157">
        <f t="shared" si="81"/>
        <v>-0.26735561473261793</v>
      </c>
      <c r="AD58" s="157">
        <f t="shared" si="81"/>
        <v>0.75909587964879865</v>
      </c>
      <c r="AE58" s="157">
        <f t="shared" si="81"/>
        <v>0.44148947379512354</v>
      </c>
      <c r="AF58" s="157">
        <f t="shared" si="81"/>
        <v>0.3787044322056124</v>
      </c>
      <c r="AG58" s="157">
        <f t="shared" si="81"/>
        <v>0.22678343749346822</v>
      </c>
      <c r="AH58" s="157">
        <f t="shared" si="81"/>
        <v>1.3612712845270742</v>
      </c>
      <c r="AI58" s="157">
        <f t="shared" si="81"/>
        <v>0.61260074993441926</v>
      </c>
      <c r="AJ58" s="157">
        <f t="shared" si="81"/>
        <v>0.6282974111488282</v>
      </c>
      <c r="AK58" s="157">
        <f t="shared" si="81"/>
        <v>0.54512109003896625</v>
      </c>
      <c r="AL58" s="157">
        <f t="shared" si="81"/>
        <v>-5.2043858319438127E-2</v>
      </c>
      <c r="AM58" s="157">
        <f t="shared" si="81"/>
        <v>0.70118853225618916</v>
      </c>
      <c r="AN58" s="157">
        <f t="shared" si="81"/>
        <v>0.4909786439350583</v>
      </c>
      <c r="AO58" s="157">
        <f t="shared" si="81"/>
        <v>1.2204504126451252</v>
      </c>
      <c r="AP58" s="157">
        <f t="shared" si="81"/>
        <v>1.746070133010877</v>
      </c>
      <c r="AQ58" s="157">
        <f t="shared" si="81"/>
        <v>1.1661253206359556</v>
      </c>
      <c r="AR58" s="157">
        <f t="shared" si="80"/>
        <v>0.57634179273943598</v>
      </c>
      <c r="AS58" s="157">
        <f t="shared" si="80"/>
        <v>7.6278087021855586E-3</v>
      </c>
      <c r="AT58" s="157">
        <f t="shared" si="80"/>
        <v>1.3825302181196273</v>
      </c>
      <c r="AU58" s="157">
        <f t="shared" si="80"/>
        <v>0.65122840014106032</v>
      </c>
      <c r="AV58" s="157">
        <f t="shared" si="80"/>
        <v>0.50032701111837796</v>
      </c>
      <c r="AW58" s="157">
        <f t="shared" si="80"/>
        <v>1.2973490570861475</v>
      </c>
      <c r="AX58" s="157">
        <f t="shared" si="80"/>
        <v>1.752461890034049</v>
      </c>
      <c r="AY58" s="157">
        <f t="shared" si="80"/>
        <v>-4.5097658980522323E-4</v>
      </c>
      <c r="AZ58" s="157">
        <f t="shared" si="80"/>
        <v>0.90511409759177419</v>
      </c>
      <c r="BA58" s="157">
        <f t="shared" si="80"/>
        <v>0.96582300544811772</v>
      </c>
      <c r="BB58" s="157">
        <f t="shared" si="80"/>
        <v>1.9401703348265666</v>
      </c>
      <c r="BC58" s="157">
        <f t="shared" si="80"/>
        <v>0.53106721495846565</v>
      </c>
      <c r="BD58" s="157">
        <f t="shared" si="80"/>
        <v>1.5022849590089584</v>
      </c>
      <c r="BE58" s="157">
        <f t="shared" si="80"/>
        <v>0.7978995029618029</v>
      </c>
      <c r="BF58" s="157">
        <f t="shared" si="80"/>
        <v>1.1871641047507673</v>
      </c>
      <c r="BG58" s="157">
        <f t="shared" si="80"/>
        <v>1.2328990024157309</v>
      </c>
      <c r="BH58" s="157">
        <f t="shared" si="80"/>
        <v>0.28767608826462904</v>
      </c>
      <c r="BI58" s="157">
        <f t="shared" si="66"/>
        <v>0.48945473673828349</v>
      </c>
      <c r="BJ58" s="157">
        <f t="shared" si="66"/>
        <v>0.78193053414198255</v>
      </c>
      <c r="BK58" s="157">
        <f t="shared" si="66"/>
        <v>0.9986406151723578</v>
      </c>
      <c r="BL58" s="157">
        <f t="shared" si="66"/>
        <v>0.82524427873489326</v>
      </c>
      <c r="BM58" s="157">
        <f t="shared" si="67"/>
        <v>1.1257222554293684</v>
      </c>
      <c r="BN58" s="157">
        <f t="shared" si="68"/>
        <v>1.1880602896266377</v>
      </c>
      <c r="BO58" s="157">
        <f t="shared" si="69"/>
        <v>1.0078274076093305</v>
      </c>
      <c r="BP58" s="157">
        <f t="shared" si="70"/>
        <v>0.75565391050898689</v>
      </c>
      <c r="BQ58" s="157">
        <f t="shared" si="71"/>
        <v>1.198447986898193</v>
      </c>
      <c r="BR58" s="157">
        <f t="shared" si="72"/>
        <v>0.23669981472378721</v>
      </c>
      <c r="BS58" s="157">
        <f t="shared" si="73"/>
        <v>0.35836074478679425</v>
      </c>
      <c r="BT58" s="157">
        <f t="shared" si="74"/>
        <v>0.86225690294159663</v>
      </c>
      <c r="BU58" s="157">
        <f t="shared" si="75"/>
        <v>1.1306551390027577</v>
      </c>
      <c r="BV58" s="157">
        <f t="shared" si="76"/>
        <v>1.6950776419259031E-2</v>
      </c>
      <c r="BW58" s="157">
        <f t="shared" si="77"/>
        <v>5.8212364600987401E-2</v>
      </c>
      <c r="BX58" s="157">
        <f t="shared" si="78"/>
        <v>0.10862440993011217</v>
      </c>
      <c r="BY58" s="157">
        <f t="shared" si="79"/>
        <v>0.23246148017640589</v>
      </c>
    </row>
    <row r="59" spans="1:77">
      <c r="A59" s="2" t="s">
        <v>13</v>
      </c>
      <c r="B59" s="254"/>
      <c r="C59" s="159">
        <f t="shared" si="102"/>
        <v>0.30040637404134746</v>
      </c>
      <c r="D59" s="159">
        <f t="shared" si="102"/>
        <v>0.5534497760794086</v>
      </c>
      <c r="E59" s="159">
        <f t="shared" si="102"/>
        <v>0.27358999878524654</v>
      </c>
      <c r="F59" s="159">
        <f t="shared" si="102"/>
        <v>1.5156192058277176</v>
      </c>
      <c r="G59" s="159">
        <f t="shared" si="82"/>
        <v>1.0408120287379057</v>
      </c>
      <c r="H59" s="159">
        <f t="shared" si="83"/>
        <v>1.2233018207388333</v>
      </c>
      <c r="I59" s="159">
        <f t="shared" si="84"/>
        <v>1.0554818507262638</v>
      </c>
      <c r="J59" s="159">
        <f t="shared" si="85"/>
        <v>0.26825953110800815</v>
      </c>
      <c r="K59" s="159">
        <f t="shared" si="86"/>
        <v>0.68340031394593115</v>
      </c>
      <c r="L59" s="159">
        <f t="shared" si="87"/>
        <v>0.14682367361431953</v>
      </c>
      <c r="M59" s="159">
        <f t="shared" si="88"/>
        <v>-0.10546751066732234</v>
      </c>
      <c r="N59" s="159">
        <f t="shared" si="89"/>
        <v>0.4471896774420665</v>
      </c>
      <c r="O59" s="159">
        <f t="shared" si="90"/>
        <v>0.25422881132710079</v>
      </c>
      <c r="P59" s="159">
        <f t="shared" si="91"/>
        <v>-0.19074570126958851</v>
      </c>
      <c r="Q59" s="159">
        <f t="shared" si="92"/>
        <v>8.9882213761080992E-2</v>
      </c>
      <c r="R59" s="159">
        <f t="shared" si="93"/>
        <v>1.0379320632609623</v>
      </c>
      <c r="S59" s="159">
        <f t="shared" si="94"/>
        <v>0.84375180021535068</v>
      </c>
      <c r="T59" s="159">
        <f t="shared" si="95"/>
        <v>1.0993428833704226</v>
      </c>
      <c r="U59" s="159">
        <f t="shared" si="96"/>
        <v>1.1118617426400936</v>
      </c>
      <c r="V59" s="159">
        <f t="shared" si="97"/>
        <v>1.2099662469041026</v>
      </c>
      <c r="W59" s="159">
        <f t="shared" si="98"/>
        <v>0.95129866533486485</v>
      </c>
      <c r="X59" s="159">
        <f t="shared" si="99"/>
        <v>0.98512602020589068</v>
      </c>
      <c r="Y59" s="159">
        <f t="shared" si="100"/>
        <v>0.87806474032846327</v>
      </c>
      <c r="Z59" s="159">
        <f t="shared" si="101"/>
        <v>0.73000218899011249</v>
      </c>
      <c r="AA59" s="159">
        <f t="shared" si="81"/>
        <v>0.52337489728814857</v>
      </c>
      <c r="AB59" s="159">
        <f t="shared" si="81"/>
        <v>0.22448817256508266</v>
      </c>
      <c r="AC59" s="159">
        <f t="shared" si="81"/>
        <v>0.74654203059480351</v>
      </c>
      <c r="AD59" s="159">
        <f t="shared" si="81"/>
        <v>1.2889102590319492</v>
      </c>
      <c r="AE59" s="159">
        <f t="shared" si="81"/>
        <v>1.2932938329189643</v>
      </c>
      <c r="AF59" s="159">
        <f t="shared" si="81"/>
        <v>0.73228867267555431</v>
      </c>
      <c r="AG59" s="159">
        <f t="shared" si="81"/>
        <v>0.76187805878136361</v>
      </c>
      <c r="AH59" s="159">
        <f t="shared" si="81"/>
        <v>0.90755579982607393</v>
      </c>
      <c r="AI59" s="159">
        <f t="shared" si="81"/>
        <v>0.50106699953387546</v>
      </c>
      <c r="AJ59" s="159">
        <f t="shared" si="81"/>
        <v>0.55298424332831331</v>
      </c>
      <c r="AK59" s="159">
        <f t="shared" si="81"/>
        <v>0.5294046848619457</v>
      </c>
      <c r="AL59" s="159">
        <f t="shared" si="81"/>
        <v>1.5556787874241886</v>
      </c>
      <c r="AM59" s="159">
        <f t="shared" si="81"/>
        <v>1.331450507512403</v>
      </c>
      <c r="AN59" s="159">
        <f t="shared" si="81"/>
        <v>1.6054046035213141</v>
      </c>
      <c r="AO59" s="159">
        <f t="shared" si="81"/>
        <v>1.0498506081835437</v>
      </c>
      <c r="AP59" s="159">
        <f t="shared" si="81"/>
        <v>1.1157980800078138</v>
      </c>
      <c r="AQ59" s="159">
        <f t="shared" si="81"/>
        <v>1.7622270422560593</v>
      </c>
      <c r="AR59" s="159">
        <f t="shared" si="80"/>
        <v>1.3617533433681244</v>
      </c>
      <c r="AS59" s="159">
        <f t="shared" si="80"/>
        <v>0.68562291258833452</v>
      </c>
      <c r="AT59" s="159">
        <f t="shared" si="80"/>
        <v>1.5390406500745235</v>
      </c>
      <c r="AU59" s="159">
        <f t="shared" si="80"/>
        <v>1.5310639567234214</v>
      </c>
      <c r="AV59" s="159">
        <f t="shared" si="80"/>
        <v>1.4944834001298331</v>
      </c>
      <c r="AW59" s="159">
        <f t="shared" si="80"/>
        <v>1.376776954393107</v>
      </c>
      <c r="AX59" s="159">
        <f t="shared" si="80"/>
        <v>1.678780449465276</v>
      </c>
      <c r="AY59" s="159">
        <f t="shared" si="80"/>
        <v>0.85026600913200023</v>
      </c>
      <c r="AZ59" s="159">
        <f t="shared" si="80"/>
        <v>1.2345255958762344</v>
      </c>
      <c r="BA59" s="159">
        <f t="shared" si="80"/>
        <v>1.5275109507320979</v>
      </c>
      <c r="BB59" s="159">
        <f t="shared" si="80"/>
        <v>0.73606809715474519</v>
      </c>
      <c r="BC59" s="159">
        <f t="shared" si="80"/>
        <v>1.183901484682178</v>
      </c>
      <c r="BD59" s="159">
        <f t="shared" si="80"/>
        <v>0.42631324046516206</v>
      </c>
      <c r="BE59" s="159">
        <f t="shared" si="80"/>
        <v>-0.36197592450470573</v>
      </c>
      <c r="BF59" s="159">
        <f t="shared" si="80"/>
        <v>-1.5595555560738166</v>
      </c>
      <c r="BG59" s="159">
        <f t="shared" si="80"/>
        <v>-0.54296669917409601</v>
      </c>
      <c r="BH59" s="159">
        <f t="shared" si="80"/>
        <v>0.40823264442802776</v>
      </c>
      <c r="BI59" s="159">
        <f t="shared" si="66"/>
        <v>0.7670635790291469</v>
      </c>
      <c r="BJ59" s="159">
        <f t="shared" si="66"/>
        <v>1.1145009942377386</v>
      </c>
      <c r="BK59" s="159">
        <f t="shared" si="66"/>
        <v>0.74970938545088395</v>
      </c>
      <c r="BL59" s="159">
        <f t="shared" si="66"/>
        <v>0.87748133891559255</v>
      </c>
      <c r="BM59" s="159">
        <f t="shared" si="67"/>
        <v>1.1376972012794992</v>
      </c>
      <c r="BN59" s="159">
        <f t="shared" si="68"/>
        <v>1.1728728379425162</v>
      </c>
      <c r="BO59" s="159">
        <f t="shared" si="69"/>
        <v>0.44341332647513176</v>
      </c>
      <c r="BP59" s="159">
        <f t="shared" si="70"/>
        <v>0.38035831925352137</v>
      </c>
      <c r="BQ59" s="159">
        <f t="shared" si="71"/>
        <v>0.87396888854489574</v>
      </c>
      <c r="BR59" s="159">
        <f t="shared" si="72"/>
        <v>0.65189945319388676</v>
      </c>
      <c r="BS59" s="159">
        <f t="shared" si="73"/>
        <v>0.66187776221500128</v>
      </c>
      <c r="BT59" s="159">
        <f t="shared" si="74"/>
        <v>0.31839501486866545</v>
      </c>
      <c r="BU59" s="159">
        <f t="shared" si="75"/>
        <v>0.61472139747702048</v>
      </c>
      <c r="BV59" s="159">
        <f t="shared" si="76"/>
        <v>0.14594384066200533</v>
      </c>
      <c r="BW59" s="159">
        <f t="shared" si="77"/>
        <v>0.80539719077343841</v>
      </c>
      <c r="BX59" s="159">
        <f t="shared" si="78"/>
        <v>0.13824209925086198</v>
      </c>
      <c r="BY59" s="159">
        <f t="shared" si="79"/>
        <v>1.0045414644344255</v>
      </c>
    </row>
    <row r="60" spans="1:77">
      <c r="A60" s="3" t="s">
        <v>14</v>
      </c>
      <c r="B60" s="252"/>
      <c r="C60" s="156">
        <f t="shared" si="102"/>
        <v>1.2634899721427666E-2</v>
      </c>
      <c r="D60" s="156">
        <f t="shared" si="102"/>
        <v>0.87607209685585319</v>
      </c>
      <c r="E60" s="156">
        <f t="shared" si="102"/>
        <v>0.40451868728573448</v>
      </c>
      <c r="F60" s="156">
        <f t="shared" si="102"/>
        <v>0.97016848012705958</v>
      </c>
      <c r="G60" s="156">
        <f t="shared" si="82"/>
        <v>2.9804300295871022</v>
      </c>
      <c r="H60" s="156">
        <f t="shared" si="83"/>
        <v>1.0861441354125911</v>
      </c>
      <c r="I60" s="156">
        <f t="shared" si="84"/>
        <v>1.2209756701048302</v>
      </c>
      <c r="J60" s="156">
        <f t="shared" si="85"/>
        <v>0.34278233249965245</v>
      </c>
      <c r="K60" s="156">
        <f t="shared" si="86"/>
        <v>0.31528886090199187</v>
      </c>
      <c r="L60" s="156">
        <f t="shared" si="87"/>
        <v>0.19206558188958264</v>
      </c>
      <c r="M60" s="156">
        <f t="shared" si="88"/>
        <v>0.15643417781084412</v>
      </c>
      <c r="N60" s="156">
        <f t="shared" si="89"/>
        <v>-0.53168202172963197</v>
      </c>
      <c r="O60" s="156">
        <f t="shared" si="90"/>
        <v>-0.90118278183074774</v>
      </c>
      <c r="P60" s="156">
        <f t="shared" si="91"/>
        <v>-0.46216012183262223</v>
      </c>
      <c r="Q60" s="156">
        <f t="shared" si="92"/>
        <v>1.993949680572156E-2</v>
      </c>
      <c r="R60" s="156">
        <f t="shared" si="93"/>
        <v>-0.54403286295155628</v>
      </c>
      <c r="S60" s="156">
        <f t="shared" si="94"/>
        <v>-8.5170223201568016E-2</v>
      </c>
      <c r="T60" s="156">
        <f t="shared" si="95"/>
        <v>0.69290497859867484</v>
      </c>
      <c r="U60" s="156">
        <f t="shared" si="96"/>
        <v>0.66282866269825547</v>
      </c>
      <c r="V60" s="156">
        <f t="shared" si="97"/>
        <v>1.6085178226771815E-2</v>
      </c>
      <c r="W60" s="156">
        <f t="shared" si="98"/>
        <v>0.24969612637494354</v>
      </c>
      <c r="X60" s="156">
        <f t="shared" si="99"/>
        <v>0.78468498789454211</v>
      </c>
      <c r="Y60" s="156">
        <f t="shared" si="100"/>
        <v>0.6091419235037574</v>
      </c>
      <c r="Z60" s="156">
        <f t="shared" si="101"/>
        <v>-2.7511028708172982E-2</v>
      </c>
      <c r="AA60" s="156">
        <f t="shared" si="81"/>
        <v>0.18582064459113307</v>
      </c>
      <c r="AB60" s="156">
        <f t="shared" si="81"/>
        <v>0.44172296896139812</v>
      </c>
      <c r="AC60" s="156">
        <f t="shared" si="81"/>
        <v>0.75220576043703813</v>
      </c>
      <c r="AD60" s="156">
        <f t="shared" si="81"/>
        <v>0.70351737863887553</v>
      </c>
      <c r="AE60" s="156">
        <f t="shared" si="81"/>
        <v>0.5355230274901821</v>
      </c>
      <c r="AF60" s="156">
        <f t="shared" si="81"/>
        <v>1.547089408233276</v>
      </c>
      <c r="AG60" s="156">
        <f t="shared" si="81"/>
        <v>-0.10227175254194792</v>
      </c>
      <c r="AH60" s="156">
        <f t="shared" si="81"/>
        <v>1.0733015415912603</v>
      </c>
      <c r="AI60" s="156">
        <f t="shared" si="81"/>
        <v>0.38359243793578912</v>
      </c>
      <c r="AJ60" s="156">
        <f t="shared" si="81"/>
        <v>0.4576405796346687</v>
      </c>
      <c r="AK60" s="156">
        <f t="shared" si="81"/>
        <v>0.97008106689476858</v>
      </c>
      <c r="AL60" s="156">
        <f t="shared" si="81"/>
        <v>1.1687011436713004</v>
      </c>
      <c r="AM60" s="156">
        <f t="shared" si="81"/>
        <v>1.9430963935674184</v>
      </c>
      <c r="AN60" s="156">
        <f t="shared" si="81"/>
        <v>1.8793015470012071</v>
      </c>
      <c r="AO60" s="156">
        <f t="shared" si="81"/>
        <v>1.2161155157038321</v>
      </c>
      <c r="AP60" s="156">
        <f t="shared" si="81"/>
        <v>0.20529965179924545</v>
      </c>
      <c r="AQ60" s="156">
        <f t="shared" si="81"/>
        <v>2.0614793687653883</v>
      </c>
      <c r="AR60" s="156">
        <f t="shared" si="80"/>
        <v>1.3789866625377711</v>
      </c>
      <c r="AS60" s="156">
        <f t="shared" si="80"/>
        <v>0.53547750944986849</v>
      </c>
      <c r="AT60" s="156">
        <f t="shared" si="80"/>
        <v>1.3661436767491755</v>
      </c>
      <c r="AU60" s="156">
        <f t="shared" si="80"/>
        <v>2.5878267623894136</v>
      </c>
      <c r="AV60" s="156">
        <f t="shared" si="80"/>
        <v>0.85847901124596371</v>
      </c>
      <c r="AW60" s="156">
        <f t="shared" si="80"/>
        <v>3.0287808701604089</v>
      </c>
      <c r="AX60" s="156">
        <f t="shared" si="80"/>
        <v>0.85400939731796055</v>
      </c>
      <c r="AY60" s="156">
        <f t="shared" si="80"/>
        <v>0.13865057399212719</v>
      </c>
      <c r="AZ60" s="156">
        <f t="shared" si="80"/>
        <v>1.2668166192759835</v>
      </c>
      <c r="BA60" s="156">
        <f t="shared" si="80"/>
        <v>0.95603796911342553</v>
      </c>
      <c r="BB60" s="156">
        <f t="shared" si="80"/>
        <v>0.76433319323152604</v>
      </c>
      <c r="BC60" s="156">
        <f t="shared" si="80"/>
        <v>0.33523868376332461</v>
      </c>
      <c r="BD60" s="156">
        <f t="shared" si="80"/>
        <v>0.58047330900580474</v>
      </c>
      <c r="BE60" s="156">
        <f t="shared" si="80"/>
        <v>-0.92207049986732792</v>
      </c>
      <c r="BF60" s="156">
        <f t="shared" si="80"/>
        <v>-1.9787294311539156</v>
      </c>
      <c r="BG60" s="156">
        <f t="shared" si="80"/>
        <v>-1.9256737230917964</v>
      </c>
      <c r="BH60" s="156">
        <f t="shared" si="80"/>
        <v>0.54056081175197424</v>
      </c>
      <c r="BI60" s="156">
        <f t="shared" si="66"/>
        <v>1.6204234095498944</v>
      </c>
      <c r="BJ60" s="156">
        <f t="shared" si="66"/>
        <v>1.2783941942655788</v>
      </c>
      <c r="BK60" s="156">
        <f t="shared" si="66"/>
        <v>0.67410145692895529</v>
      </c>
      <c r="BL60" s="156">
        <f t="shared" si="66"/>
        <v>1.1787213033818811</v>
      </c>
      <c r="BM60" s="156">
        <f t="shared" si="67"/>
        <v>0.94439361593981908</v>
      </c>
      <c r="BN60" s="156">
        <f t="shared" si="68"/>
        <v>1.8680953483922296</v>
      </c>
      <c r="BO60" s="156">
        <f t="shared" si="69"/>
        <v>0.98167151076576309</v>
      </c>
      <c r="BP60" s="156">
        <f t="shared" si="70"/>
        <v>0.97457585636386779</v>
      </c>
      <c r="BQ60" s="156">
        <f t="shared" si="71"/>
        <v>1.4523595995831009</v>
      </c>
      <c r="BR60" s="156">
        <f t="shared" si="72"/>
        <v>0.19638667628690612</v>
      </c>
      <c r="BS60" s="156">
        <f t="shared" si="73"/>
        <v>0.55748431032180534</v>
      </c>
      <c r="BT60" s="156">
        <f t="shared" si="74"/>
        <v>0.34193141453374498</v>
      </c>
      <c r="BU60" s="156">
        <f t="shared" si="75"/>
        <v>0.3057916079817754</v>
      </c>
      <c r="BV60" s="156">
        <f t="shared" si="76"/>
        <v>0.57673550740002544</v>
      </c>
      <c r="BW60" s="156">
        <f t="shared" si="77"/>
        <v>0.7683190210491303</v>
      </c>
      <c r="BX60" s="156">
        <f t="shared" si="78"/>
        <v>0.51094177867248114</v>
      </c>
      <c r="BY60" s="156">
        <f t="shared" si="79"/>
        <v>0.45607608052101839</v>
      </c>
    </row>
    <row r="61" spans="1:77" ht="13.5" thickBot="1">
      <c r="A61" s="105" t="s">
        <v>283</v>
      </c>
      <c r="B61" s="255"/>
      <c r="C61" s="158">
        <f t="shared" si="102"/>
        <v>0.26681393746179505</v>
      </c>
      <c r="D61" s="158">
        <f t="shared" si="102"/>
        <v>0.59101498678808317</v>
      </c>
      <c r="E61" s="158">
        <f t="shared" si="102"/>
        <v>0.28887815842270781</v>
      </c>
      <c r="F61" s="158">
        <f t="shared" si="102"/>
        <v>1.4518550814069835</v>
      </c>
      <c r="G61" s="158">
        <f t="shared" si="82"/>
        <v>1.2664801279486917</v>
      </c>
      <c r="H61" s="158">
        <f t="shared" si="83"/>
        <v>1.2070738917556036</v>
      </c>
      <c r="I61" s="158">
        <f t="shared" si="84"/>
        <v>1.0750389973809045</v>
      </c>
      <c r="J61" s="158">
        <f t="shared" si="85"/>
        <v>0.27707894018267853</v>
      </c>
      <c r="K61" s="158">
        <f t="shared" si="86"/>
        <v>0.63980757974648528</v>
      </c>
      <c r="L61" s="158">
        <f t="shared" si="87"/>
        <v>0.15216406423912984</v>
      </c>
      <c r="M61" s="158">
        <f t="shared" si="88"/>
        <v>-7.4540111432992648E-2</v>
      </c>
      <c r="N61" s="158">
        <f t="shared" si="89"/>
        <v>0.33132966435387728</v>
      </c>
      <c r="O61" s="158">
        <f t="shared" si="90"/>
        <v>0.11864971723709369</v>
      </c>
      <c r="P61" s="158">
        <f t="shared" si="91"/>
        <v>-0.22226978067033465</v>
      </c>
      <c r="Q61" s="158">
        <f t="shared" si="92"/>
        <v>8.1778080303601744E-2</v>
      </c>
      <c r="R61" s="158">
        <f t="shared" si="93"/>
        <v>0.85474596562020588</v>
      </c>
      <c r="S61" s="158">
        <f t="shared" si="94"/>
        <v>0.73767768321495231</v>
      </c>
      <c r="T61" s="158">
        <f t="shared" si="95"/>
        <v>1.053310613824193</v>
      </c>
      <c r="U61" s="158">
        <f t="shared" si="96"/>
        <v>1.0611866157973291</v>
      </c>
      <c r="V61" s="158">
        <f t="shared" si="97"/>
        <v>1.0757632202211558</v>
      </c>
      <c r="W61" s="158">
        <f t="shared" si="98"/>
        <v>0.87325903222287338</v>
      </c>
      <c r="X61" s="158">
        <f t="shared" si="99"/>
        <v>0.96296867569518296</v>
      </c>
      <c r="Y61" s="158">
        <f t="shared" si="100"/>
        <v>0.84838971065071445</v>
      </c>
      <c r="Z61" s="158">
        <f t="shared" si="101"/>
        <v>0.64661060897428002</v>
      </c>
      <c r="AA61" s="158">
        <f t="shared" si="81"/>
        <v>0.48646380291528774</v>
      </c>
      <c r="AB61" s="158">
        <f t="shared" si="81"/>
        <v>0.24817142945355455</v>
      </c>
      <c r="AC61" s="158">
        <f t="shared" si="81"/>
        <v>0.74716069090971904</v>
      </c>
      <c r="AD61" s="158">
        <f t="shared" si="81"/>
        <v>1.2249634449172211</v>
      </c>
      <c r="AE61" s="158">
        <f t="shared" si="81"/>
        <v>1.2109433108539298</v>
      </c>
      <c r="AF61" s="158">
        <f t="shared" si="81"/>
        <v>0.82024598876727206</v>
      </c>
      <c r="AG61" s="158">
        <f t="shared" si="81"/>
        <v>0.66792101946743487</v>
      </c>
      <c r="AH61" s="158">
        <f t="shared" si="81"/>
        <v>0.92543907980240214</v>
      </c>
      <c r="AI61" s="158">
        <f t="shared" si="81"/>
        <v>0.4883734104936685</v>
      </c>
      <c r="AJ61" s="158">
        <f t="shared" si="81"/>
        <v>0.54269272731033646</v>
      </c>
      <c r="AK61" s="158">
        <f t="shared" si="81"/>
        <v>0.57693161408175597</v>
      </c>
      <c r="AL61" s="158">
        <f t="shared" si="81"/>
        <v>1.5137801231013281</v>
      </c>
      <c r="AM61" s="158">
        <f t="shared" si="81"/>
        <v>1.3974492309938524</v>
      </c>
      <c r="AN61" s="158">
        <f t="shared" si="81"/>
        <v>1.6351180790347315</v>
      </c>
      <c r="AO61" s="158">
        <f t="shared" si="81"/>
        <v>1.0679310494391605</v>
      </c>
      <c r="AP61" s="158">
        <f t="shared" si="81"/>
        <v>1.016640956172608</v>
      </c>
      <c r="AQ61" s="158">
        <f t="shared" si="81"/>
        <v>1.7945551305910978</v>
      </c>
      <c r="AR61" s="158">
        <f t="shared" si="80"/>
        <v>1.3636199324897216</v>
      </c>
      <c r="AS61" s="158">
        <f t="shared" si="80"/>
        <v>0.66935777754421588</v>
      </c>
      <c r="AT61" s="158">
        <f t="shared" si="80"/>
        <v>1.5203357638529329</v>
      </c>
      <c r="AU61" s="158">
        <f t="shared" si="80"/>
        <v>1.6452163650888176</v>
      </c>
      <c r="AV61" s="158">
        <f t="shared" si="80"/>
        <v>1.425144562498956</v>
      </c>
      <c r="AW61" s="158">
        <f t="shared" si="80"/>
        <v>1.5558764224621968</v>
      </c>
      <c r="AX61" s="158">
        <f t="shared" si="80"/>
        <v>1.5880673229301467</v>
      </c>
      <c r="AY61" s="158">
        <f t="shared" si="80"/>
        <v>0.77256394507515647</v>
      </c>
      <c r="AZ61" s="158">
        <f t="shared" si="80"/>
        <v>1.2380293081265026</v>
      </c>
      <c r="BA61" s="158">
        <f t="shared" si="80"/>
        <v>1.4654860896887802</v>
      </c>
      <c r="BB61" s="158">
        <f t="shared" si="80"/>
        <v>0.73912044849540681</v>
      </c>
      <c r="BC61" s="158">
        <f t="shared" si="80"/>
        <v>1.092231343018379</v>
      </c>
      <c r="BD61" s="158">
        <f t="shared" si="80"/>
        <v>0.44284048056925268</v>
      </c>
      <c r="BE61" s="158">
        <f t="shared" si="80"/>
        <v>-0.42210499595988382</v>
      </c>
      <c r="BF61" s="158">
        <f t="shared" si="80"/>
        <v>-1.60433011529835</v>
      </c>
      <c r="BG61" s="158">
        <f t="shared" si="80"/>
        <v>-0.69010021796462451</v>
      </c>
      <c r="BH61" s="158">
        <f t="shared" si="80"/>
        <v>0.42213846239889385</v>
      </c>
      <c r="BI61" s="158">
        <f t="shared" si="66"/>
        <v>0.85684537242589098</v>
      </c>
      <c r="BJ61" s="158">
        <f t="shared" si="66"/>
        <v>1.1318747069313584</v>
      </c>
      <c r="BK61" s="158">
        <f>(BK21-BJ21)/BJ21*100</f>
        <v>0.74168285627062436</v>
      </c>
      <c r="BL61" s="158">
        <f>(BL21-BK21)/BK21*100</f>
        <v>0.90943948648363138</v>
      </c>
      <c r="BM61" s="158">
        <f t="shared" si="67"/>
        <v>1.1171351559598748</v>
      </c>
      <c r="BN61" s="158">
        <f t="shared" si="68"/>
        <v>1.2466985552138421</v>
      </c>
      <c r="BO61" s="158">
        <f t="shared" si="69"/>
        <v>0.50092179563068573</v>
      </c>
      <c r="BP61" s="158">
        <f t="shared" si="70"/>
        <v>0.44414927954944999</v>
      </c>
      <c r="BQ61" s="158">
        <f t="shared" si="71"/>
        <v>0.93638868919849916</v>
      </c>
      <c r="BR61" s="158">
        <f t="shared" si="72"/>
        <v>0.60248932041599912</v>
      </c>
      <c r="BS61" s="158">
        <f t="shared" si="73"/>
        <v>0.6505997632854803</v>
      </c>
      <c r="BT61" s="158">
        <f t="shared" si="74"/>
        <v>0.3209353841561603</v>
      </c>
      <c r="BU61" s="158">
        <f t="shared" si="75"/>
        <v>0.58137050230115661</v>
      </c>
      <c r="BV61" s="158">
        <f t="shared" si="76"/>
        <v>0.19232306289097753</v>
      </c>
      <c r="BW61" s="158">
        <f t="shared" si="77"/>
        <v>0.80139002282713223</v>
      </c>
      <c r="BX61" s="158">
        <f t="shared" si="78"/>
        <v>0.1785078470253787</v>
      </c>
      <c r="BY61" s="158">
        <f t="shared" si="79"/>
        <v>0.94508969897561368</v>
      </c>
    </row>
    <row r="63" spans="1:77" ht="18">
      <c r="A63" s="407" t="s">
        <v>168</v>
      </c>
      <c r="B63" s="407"/>
      <c r="C63" s="407"/>
      <c r="D63" s="407"/>
      <c r="E63" s="407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8"/>
      <c r="AA63" s="408"/>
      <c r="AB63" s="408"/>
      <c r="AC63" s="408"/>
      <c r="AD63" s="408"/>
      <c r="AE63" s="408"/>
      <c r="AF63" s="408"/>
      <c r="AG63" s="408"/>
      <c r="AH63" s="408"/>
      <c r="AI63" s="408"/>
      <c r="AJ63" s="408"/>
      <c r="AK63" s="408"/>
      <c r="AL63" s="408"/>
      <c r="AM63" s="408"/>
      <c r="AN63" s="408"/>
      <c r="AO63" s="408"/>
      <c r="AP63" s="408"/>
      <c r="AQ63" s="408"/>
      <c r="AR63" s="408"/>
      <c r="AS63" s="408"/>
      <c r="AT63" s="408"/>
      <c r="AU63" s="408"/>
      <c r="AV63" s="408"/>
      <c r="AW63" s="408"/>
      <c r="AX63" s="408"/>
      <c r="AY63" s="408"/>
      <c r="AZ63" s="408"/>
      <c r="BA63" s="408"/>
      <c r="BB63" s="408"/>
      <c r="BC63" s="408"/>
      <c r="BD63" s="408"/>
      <c r="BE63" s="408"/>
      <c r="BF63" s="408"/>
      <c r="BG63" s="408"/>
      <c r="BH63" s="408"/>
    </row>
    <row r="64" spans="1:77" ht="13.5" thickBot="1">
      <c r="A64" s="1" t="s">
        <v>172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77" ht="13.5" thickBot="1">
      <c r="A65" s="144" t="s">
        <v>167</v>
      </c>
      <c r="B65" s="249" t="s">
        <v>285</v>
      </c>
      <c r="C65" s="248" t="s">
        <v>286</v>
      </c>
      <c r="D65" s="248" t="s">
        <v>287</v>
      </c>
      <c r="E65" s="248" t="s">
        <v>288</v>
      </c>
      <c r="F65" s="248" t="s">
        <v>284</v>
      </c>
      <c r="G65" s="248" t="s">
        <v>289</v>
      </c>
      <c r="H65" s="248" t="s">
        <v>290</v>
      </c>
      <c r="I65" s="248" t="s">
        <v>291</v>
      </c>
      <c r="J65" s="248" t="s">
        <v>292</v>
      </c>
      <c r="K65" s="248" t="s">
        <v>293</v>
      </c>
      <c r="L65" s="248" t="s">
        <v>294</v>
      </c>
      <c r="M65" s="248" t="s">
        <v>295</v>
      </c>
      <c r="N65" s="248" t="s">
        <v>296</v>
      </c>
      <c r="O65" s="248" t="s">
        <v>297</v>
      </c>
      <c r="P65" s="248" t="s">
        <v>298</v>
      </c>
      <c r="Q65" s="248" t="s">
        <v>299</v>
      </c>
      <c r="R65" s="248" t="s">
        <v>300</v>
      </c>
      <c r="S65" s="248" t="s">
        <v>301</v>
      </c>
      <c r="T65" s="248" t="s">
        <v>302</v>
      </c>
      <c r="U65" s="248" t="s">
        <v>303</v>
      </c>
      <c r="V65" s="248" t="s">
        <v>332</v>
      </c>
      <c r="W65" s="248" t="s">
        <v>333</v>
      </c>
      <c r="X65" s="248" t="s">
        <v>334</v>
      </c>
      <c r="Y65" s="248" t="s">
        <v>335</v>
      </c>
      <c r="Z65" s="248" t="s">
        <v>304</v>
      </c>
      <c r="AA65" s="248" t="s">
        <v>305</v>
      </c>
      <c r="AB65" s="248" t="s">
        <v>306</v>
      </c>
      <c r="AC65" s="248" t="s">
        <v>307</v>
      </c>
      <c r="AD65" s="248" t="s">
        <v>308</v>
      </c>
      <c r="AE65" s="248" t="s">
        <v>309</v>
      </c>
      <c r="AF65" s="248" t="s">
        <v>310</v>
      </c>
      <c r="AG65" s="248" t="s">
        <v>311</v>
      </c>
      <c r="AH65" s="248" t="s">
        <v>312</v>
      </c>
      <c r="AI65" s="248" t="s">
        <v>313</v>
      </c>
      <c r="AJ65" s="248" t="s">
        <v>314</v>
      </c>
      <c r="AK65" s="248" t="s">
        <v>315</v>
      </c>
      <c r="AL65" s="248" t="s">
        <v>316</v>
      </c>
      <c r="AM65" s="248" t="s">
        <v>317</v>
      </c>
      <c r="AN65" s="248" t="s">
        <v>318</v>
      </c>
      <c r="AO65" s="248" t="s">
        <v>319</v>
      </c>
      <c r="AP65" s="248" t="s">
        <v>320</v>
      </c>
      <c r="AQ65" s="248" t="s">
        <v>321</v>
      </c>
      <c r="AR65" s="248" t="s">
        <v>322</v>
      </c>
      <c r="AS65" s="248" t="s">
        <v>323</v>
      </c>
      <c r="AT65" s="248" t="s">
        <v>324</v>
      </c>
      <c r="AU65" s="248" t="s">
        <v>325</v>
      </c>
      <c r="AV65" s="248" t="s">
        <v>326</v>
      </c>
      <c r="AW65" s="248" t="s">
        <v>327</v>
      </c>
      <c r="AX65" s="248" t="s">
        <v>328</v>
      </c>
      <c r="AY65" s="248" t="s">
        <v>329</v>
      </c>
      <c r="AZ65" s="248" t="s">
        <v>330</v>
      </c>
      <c r="BA65" s="248" t="s">
        <v>331</v>
      </c>
      <c r="BB65" s="248" t="s">
        <v>227</v>
      </c>
      <c r="BC65" s="248" t="s">
        <v>228</v>
      </c>
      <c r="BD65" s="248" t="s">
        <v>229</v>
      </c>
      <c r="BE65" s="248" t="s">
        <v>230</v>
      </c>
      <c r="BF65" s="248" t="s">
        <v>224</v>
      </c>
      <c r="BG65" s="248" t="s">
        <v>225</v>
      </c>
      <c r="BH65" s="248" t="s">
        <v>226</v>
      </c>
      <c r="BI65" s="248" t="s">
        <v>346</v>
      </c>
      <c r="BJ65" s="248" t="str">
        <f>BJ45</f>
        <v>2010q1</v>
      </c>
      <c r="BK65" s="248" t="str">
        <f>BK45</f>
        <v>2010q2</v>
      </c>
      <c r="BL65" s="248" t="str">
        <f>BL45</f>
        <v>2010q3</v>
      </c>
      <c r="BM65" s="248" t="str">
        <f t="shared" ref="BM65" si="103">BM45</f>
        <v>2010q4</v>
      </c>
      <c r="BN65" s="248" t="str">
        <f t="shared" ref="BN65:BQ65" si="104">BN45</f>
        <v>2011q1</v>
      </c>
      <c r="BO65" s="248" t="str">
        <f t="shared" si="104"/>
        <v>2011q2</v>
      </c>
      <c r="BP65" s="248" t="str">
        <f t="shared" si="104"/>
        <v>2011q3</v>
      </c>
      <c r="BQ65" s="248" t="str">
        <f t="shared" si="104"/>
        <v>2011q4</v>
      </c>
      <c r="BR65" s="248" t="str">
        <f t="shared" ref="BR65" si="105">BR45</f>
        <v>2012q1</v>
      </c>
      <c r="BS65" s="248" t="str">
        <f t="shared" ref="BS65:BX65" si="106">BS45</f>
        <v>2012q2</v>
      </c>
      <c r="BT65" s="248" t="str">
        <f t="shared" si="106"/>
        <v>2012q3</v>
      </c>
      <c r="BU65" s="248" t="str">
        <f t="shared" si="106"/>
        <v>2012q4</v>
      </c>
      <c r="BV65" s="248" t="str">
        <f t="shared" si="106"/>
        <v>2013q1</v>
      </c>
      <c r="BW65" s="248" t="str">
        <f t="shared" si="106"/>
        <v>2013q2</v>
      </c>
      <c r="BX65" s="248" t="str">
        <f t="shared" si="106"/>
        <v>2013q3</v>
      </c>
      <c r="BY65" s="248" t="str">
        <f t="shared" ref="BY65" si="107">BY45</f>
        <v>2013q4</v>
      </c>
    </row>
    <row r="66" spans="1:77" ht="13.5" thickTop="1">
      <c r="A66" s="145" t="s">
        <v>0</v>
      </c>
      <c r="B66" s="251"/>
      <c r="C66" s="154">
        <f t="shared" ref="C66:BB70" si="108">(C26-B26)/B26*100</f>
        <v>-11.020601028104451</v>
      </c>
      <c r="D66" s="154">
        <f t="shared" si="108"/>
        <v>-6.3097723571409396</v>
      </c>
      <c r="E66" s="154">
        <f t="shared" si="108"/>
        <v>-0.19499052139489809</v>
      </c>
      <c r="F66" s="154">
        <f t="shared" si="108"/>
        <v>22.209209647995205</v>
      </c>
      <c r="G66" s="154">
        <f t="shared" si="108"/>
        <v>8.6095475294891486</v>
      </c>
      <c r="H66" s="154">
        <f t="shared" si="108"/>
        <v>3.6760386288589504</v>
      </c>
      <c r="I66" s="154">
        <f t="shared" si="108"/>
        <v>0.81661368836180215</v>
      </c>
      <c r="J66" s="154">
        <f t="shared" si="108"/>
        <v>-4.5047446439028178</v>
      </c>
      <c r="K66" s="154">
        <f t="shared" si="108"/>
        <v>0.68211155373935928</v>
      </c>
      <c r="L66" s="154">
        <f t="shared" si="108"/>
        <v>0.14185066256827206</v>
      </c>
      <c r="M66" s="154">
        <f t="shared" si="108"/>
        <v>-0.45824138027243355</v>
      </c>
      <c r="N66" s="154">
        <f t="shared" si="108"/>
        <v>1.449653515044973</v>
      </c>
      <c r="O66" s="154">
        <f t="shared" si="108"/>
        <v>-1.8065569111086581</v>
      </c>
      <c r="P66" s="154">
        <f t="shared" si="108"/>
        <v>-0.52294370375193355</v>
      </c>
      <c r="Q66" s="154">
        <f t="shared" si="108"/>
        <v>1.2419608838016485</v>
      </c>
      <c r="R66" s="154">
        <f t="shared" si="108"/>
        <v>-13.830887302049216</v>
      </c>
      <c r="S66" s="154">
        <f t="shared" si="108"/>
        <v>0.65300909482636349</v>
      </c>
      <c r="T66" s="154">
        <f t="shared" si="108"/>
        <v>1.1986034845516726</v>
      </c>
      <c r="U66" s="154">
        <f t="shared" si="108"/>
        <v>1.8640168357633078</v>
      </c>
      <c r="V66" s="154">
        <f t="shared" si="108"/>
        <v>-0.4179322580110954</v>
      </c>
      <c r="W66" s="154">
        <f t="shared" si="108"/>
        <v>0.39501526454798336</v>
      </c>
      <c r="X66" s="154">
        <f t="shared" si="108"/>
        <v>-0.16568258670586866</v>
      </c>
      <c r="Y66" s="154">
        <f t="shared" si="108"/>
        <v>-0.87788861486470271</v>
      </c>
      <c r="Z66" s="154">
        <f t="shared" si="108"/>
        <v>-0.70887550430490054</v>
      </c>
      <c r="AA66" s="154">
        <f t="shared" si="108"/>
        <v>-0.28664536240489991</v>
      </c>
      <c r="AB66" s="154">
        <f t="shared" si="108"/>
        <v>-0.38770938719676579</v>
      </c>
      <c r="AC66" s="154">
        <f t="shared" si="108"/>
        <v>-0.26291246127176127</v>
      </c>
      <c r="AD66" s="154">
        <f t="shared" si="108"/>
        <v>-2.5350239873499598</v>
      </c>
      <c r="AE66" s="154">
        <f t="shared" si="108"/>
        <v>2.6206546758617963</v>
      </c>
      <c r="AF66" s="154">
        <f t="shared" si="108"/>
        <v>1.7946387804637687</v>
      </c>
      <c r="AG66" s="154">
        <f t="shared" si="108"/>
        <v>1.1556001872811754</v>
      </c>
      <c r="AH66" s="154">
        <f t="shared" si="108"/>
        <v>4.1670837547949455</v>
      </c>
      <c r="AI66" s="154">
        <f t="shared" si="108"/>
        <v>-0.3529641864750207</v>
      </c>
      <c r="AJ66" s="154">
        <f t="shared" si="108"/>
        <v>-1.7641458096551119</v>
      </c>
      <c r="AK66" s="154">
        <f t="shared" si="108"/>
        <v>-0.33688163026018741</v>
      </c>
      <c r="AL66" s="154">
        <f t="shared" si="108"/>
        <v>0.26468251597088882</v>
      </c>
      <c r="AM66" s="154">
        <f t="shared" si="108"/>
        <v>0.34733035038431775</v>
      </c>
      <c r="AN66" s="154">
        <f t="shared" si="108"/>
        <v>2.3193313368669726</v>
      </c>
      <c r="AO66" s="154">
        <f t="shared" si="108"/>
        <v>1.2279664258884344</v>
      </c>
      <c r="AP66" s="154">
        <f t="shared" si="108"/>
        <v>-7.7137339103928007</v>
      </c>
      <c r="AQ66" s="154">
        <f t="shared" si="108"/>
        <v>-0.34218607591819444</v>
      </c>
      <c r="AR66" s="154">
        <f t="shared" si="108"/>
        <v>-2.6047925503978945E-2</v>
      </c>
      <c r="AS66" s="154">
        <f t="shared" si="108"/>
        <v>0.10831829932057033</v>
      </c>
      <c r="AT66" s="154">
        <f t="shared" si="108"/>
        <v>1.4810904087526153</v>
      </c>
      <c r="AU66" s="154">
        <f t="shared" si="108"/>
        <v>-2.08993565672677</v>
      </c>
      <c r="AV66" s="154">
        <f t="shared" si="108"/>
        <v>-0.91242212394915712</v>
      </c>
      <c r="AW66" s="154">
        <f t="shared" si="108"/>
        <v>0.28594547741595333</v>
      </c>
      <c r="AX66" s="154">
        <f t="shared" si="108"/>
        <v>2.8155887188348045</v>
      </c>
      <c r="AY66" s="154">
        <f t="shared" si="108"/>
        <v>0.97220375997552488</v>
      </c>
      <c r="AZ66" s="154">
        <f t="shared" si="108"/>
        <v>0.74632179902888163</v>
      </c>
      <c r="BA66" s="154">
        <f t="shared" si="108"/>
        <v>2.0211855246519193</v>
      </c>
      <c r="BB66" s="154">
        <f t="shared" si="108"/>
        <v>1.8184715676633008</v>
      </c>
      <c r="BC66" s="154">
        <f t="shared" ref="BC66:BL81" si="109">(BC26-BB26)/BB26*100</f>
        <v>2.9344912146738742</v>
      </c>
      <c r="BD66" s="154">
        <f t="shared" si="109"/>
        <v>4.3540129154611034</v>
      </c>
      <c r="BE66" s="154">
        <f t="shared" si="109"/>
        <v>1.7936683206109014</v>
      </c>
      <c r="BF66" s="154">
        <f t="shared" si="109"/>
        <v>-3.8116495118200548</v>
      </c>
      <c r="BG66" s="154">
        <f t="shared" si="109"/>
        <v>-2.7708145031880349</v>
      </c>
      <c r="BH66" s="154">
        <f t="shared" si="109"/>
        <v>-2.9466679370848996</v>
      </c>
      <c r="BI66" s="154">
        <f t="shared" si="109"/>
        <v>-1.5977740653241626</v>
      </c>
      <c r="BJ66" s="154">
        <f t="shared" si="109"/>
        <v>4.0793983640547689</v>
      </c>
      <c r="BK66" s="154">
        <f t="shared" si="109"/>
        <v>0.65548554380469637</v>
      </c>
      <c r="BL66" s="154">
        <f t="shared" si="109"/>
        <v>4.2665595641840737</v>
      </c>
      <c r="BM66" s="154">
        <f t="shared" ref="BM66:BM81" si="110">(BM26-BL26)/BL26*100</f>
        <v>2.5232604647666652</v>
      </c>
      <c r="BN66" s="154">
        <f t="shared" ref="BN66:BN81" si="111">(BN26-BM26)/BM26*100</f>
        <v>-0.7721380808962649</v>
      </c>
      <c r="BO66" s="154">
        <f t="shared" ref="BO66:BO81" si="112">(BO26-BN26)/BN26*100</f>
        <v>-1.9540677337405061</v>
      </c>
      <c r="BP66" s="154">
        <f t="shared" ref="BP66:BP81" si="113">(BP26-BO26)/BO26*100</f>
        <v>-2.228479203969806</v>
      </c>
      <c r="BQ66" s="154">
        <f t="shared" ref="BQ66:BQ81" si="114">(BQ26-BP26)/BP26*100</f>
        <v>-0.87777557120110816</v>
      </c>
      <c r="BR66" s="154">
        <f t="shared" ref="BR66:BR81" si="115">(BR26-BQ26)/BQ26*100</f>
        <v>1.7041839967071173</v>
      </c>
      <c r="BS66" s="154">
        <f t="shared" ref="BS66:BS81" si="116">(BS26-BR26)/BR26*100</f>
        <v>2.983132428415749</v>
      </c>
      <c r="BT66" s="154">
        <f t="shared" ref="BT66:BT81" si="117">(BT26-BS26)/BS26*100</f>
        <v>0.80327945793759481</v>
      </c>
      <c r="BU66" s="154">
        <f t="shared" ref="BU66:BU81" si="118">(BU26-BT26)/BT26*100</f>
        <v>1.4211440755388278</v>
      </c>
      <c r="BV66" s="154">
        <f t="shared" ref="BV66:BV81" si="119">(BV26-BU26)/BU26*100</f>
        <v>0.30062470008644004</v>
      </c>
      <c r="BW66" s="154">
        <f t="shared" ref="BW66:BW81" si="120">(BW26-BV26)/BV26*100</f>
        <v>-0.8951792823448429</v>
      </c>
      <c r="BX66" s="154">
        <f t="shared" ref="BX66:BX81" si="121">(BX26-BW26)/BW26*100</f>
        <v>1.2788125134993091</v>
      </c>
      <c r="BY66" s="154">
        <f t="shared" ref="BY66:BY81" si="122">(BY26-BX26)/BX26*100</f>
        <v>2.0288830581438324</v>
      </c>
    </row>
    <row r="67" spans="1:77">
      <c r="A67" s="146" t="s">
        <v>1</v>
      </c>
      <c r="B67" s="252"/>
      <c r="C67" s="156">
        <f t="shared" si="108"/>
        <v>-15.445704661738732</v>
      </c>
      <c r="D67" s="156">
        <f t="shared" si="108"/>
        <v>-9.5586178745020298</v>
      </c>
      <c r="E67" s="156">
        <f t="shared" si="108"/>
        <v>5.9342716726288713E-2</v>
      </c>
      <c r="F67" s="156">
        <f t="shared" si="108"/>
        <v>10.771985539647149</v>
      </c>
      <c r="G67" s="156">
        <f t="shared" si="108"/>
        <v>16.041032897064042</v>
      </c>
      <c r="H67" s="156">
        <f t="shared" si="108"/>
        <v>5.9198653855533339</v>
      </c>
      <c r="I67" s="156">
        <f t="shared" si="108"/>
        <v>1.1540631079696571</v>
      </c>
      <c r="J67" s="156">
        <f t="shared" si="108"/>
        <v>-7.0816468103645631</v>
      </c>
      <c r="K67" s="156">
        <f t="shared" si="108"/>
        <v>0.32079465392640494</v>
      </c>
      <c r="L67" s="156">
        <f t="shared" si="108"/>
        <v>-0.26551454633304089</v>
      </c>
      <c r="M67" s="156">
        <f t="shared" si="108"/>
        <v>-0.84006769621322452</v>
      </c>
      <c r="N67" s="156">
        <f t="shared" si="108"/>
        <v>3.0048335453761665</v>
      </c>
      <c r="O67" s="156">
        <f t="shared" si="108"/>
        <v>-2.3456330441082747</v>
      </c>
      <c r="P67" s="156">
        <f t="shared" si="108"/>
        <v>-0.28746597964104326</v>
      </c>
      <c r="Q67" s="156">
        <f t="shared" si="108"/>
        <v>2.2080578765267083</v>
      </c>
      <c r="R67" s="156">
        <f t="shared" si="108"/>
        <v>-5.8891495265296347</v>
      </c>
      <c r="S67" s="156">
        <f t="shared" si="108"/>
        <v>1.3210912906610279</v>
      </c>
      <c r="T67" s="156">
        <f t="shared" si="108"/>
        <v>1.748458577291685</v>
      </c>
      <c r="U67" s="156">
        <f t="shared" si="108"/>
        <v>2.5835167440624049</v>
      </c>
      <c r="V67" s="156">
        <f t="shared" si="108"/>
        <v>0.36010654363873895</v>
      </c>
      <c r="W67" s="156">
        <f t="shared" si="108"/>
        <v>0.71418280313510163</v>
      </c>
      <c r="X67" s="156">
        <f t="shared" si="108"/>
        <v>0.13203879050749254</v>
      </c>
      <c r="Y67" s="156">
        <f t="shared" si="108"/>
        <v>-1.4347962740727869</v>
      </c>
      <c r="Z67" s="156">
        <f t="shared" si="108"/>
        <v>1.0957697359972036</v>
      </c>
      <c r="AA67" s="156">
        <f t="shared" si="108"/>
        <v>-0.60868984533958181</v>
      </c>
      <c r="AB67" s="156">
        <f t="shared" si="108"/>
        <v>-0.26750161577162501</v>
      </c>
      <c r="AC67" s="156">
        <f t="shared" si="108"/>
        <v>-5.0734487527996232E-2</v>
      </c>
      <c r="AD67" s="156">
        <f t="shared" si="108"/>
        <v>1.0330301566667046</v>
      </c>
      <c r="AE67" s="156">
        <f t="shared" si="108"/>
        <v>3.315519065830022</v>
      </c>
      <c r="AF67" s="156">
        <f t="shared" si="108"/>
        <v>2.1085575412356445</v>
      </c>
      <c r="AG67" s="156">
        <f t="shared" si="108"/>
        <v>1.3088614382050323</v>
      </c>
      <c r="AH67" s="156">
        <f t="shared" si="108"/>
        <v>4.5850459866185416</v>
      </c>
      <c r="AI67" s="156">
        <f t="shared" si="108"/>
        <v>-0.86485021011251684</v>
      </c>
      <c r="AJ67" s="156">
        <f t="shared" si="108"/>
        <v>-2.8414374008641783</v>
      </c>
      <c r="AK67" s="156">
        <f t="shared" si="108"/>
        <v>-0.63332113603739482</v>
      </c>
      <c r="AL67" s="156">
        <f t="shared" si="108"/>
        <v>-9.530904667746129E-3</v>
      </c>
      <c r="AM67" s="156">
        <f t="shared" si="108"/>
        <v>0.94379490069022232</v>
      </c>
      <c r="AN67" s="156">
        <f t="shared" si="108"/>
        <v>2.1881105219090209</v>
      </c>
      <c r="AO67" s="156">
        <f t="shared" si="108"/>
        <v>2.6410662588081051</v>
      </c>
      <c r="AP67" s="156">
        <f t="shared" si="108"/>
        <v>-8.9163860600256104</v>
      </c>
      <c r="AQ67" s="156">
        <f t="shared" si="108"/>
        <v>-0.17392114040894277</v>
      </c>
      <c r="AR67" s="156">
        <f t="shared" si="108"/>
        <v>0.23839224879421786</v>
      </c>
      <c r="AS67" s="156">
        <f t="shared" si="108"/>
        <v>0.35312804167158995</v>
      </c>
      <c r="AT67" s="156">
        <f t="shared" si="108"/>
        <v>3.7090515524625478</v>
      </c>
      <c r="AU67" s="156">
        <f t="shared" si="108"/>
        <v>-3.3332194938697484</v>
      </c>
      <c r="AV67" s="156">
        <f t="shared" si="108"/>
        <v>-1.7410351527998587</v>
      </c>
      <c r="AW67" s="156">
        <f t="shared" si="108"/>
        <v>-0.22148553512486185</v>
      </c>
      <c r="AX67" s="156">
        <f t="shared" si="108"/>
        <v>2.9238989556677835</v>
      </c>
      <c r="AY67" s="156">
        <f t="shared" si="108"/>
        <v>2.2689356022689267</v>
      </c>
      <c r="AZ67" s="156">
        <f t="shared" si="108"/>
        <v>1.066259414806854</v>
      </c>
      <c r="BA67" s="156">
        <f t="shared" si="108"/>
        <v>3.2419586375531564</v>
      </c>
      <c r="BB67" s="156">
        <f t="shared" si="108"/>
        <v>4.146566273448264</v>
      </c>
      <c r="BC67" s="156">
        <f t="shared" si="109"/>
        <v>3.083245096556249</v>
      </c>
      <c r="BD67" s="156">
        <f t="shared" si="109"/>
        <v>6.4040695541588279</v>
      </c>
      <c r="BE67" s="156">
        <f t="shared" si="109"/>
        <v>2.3040593404916043</v>
      </c>
      <c r="BF67" s="156">
        <f t="shared" si="109"/>
        <v>-2.8243757087410399</v>
      </c>
      <c r="BG67" s="156">
        <f t="shared" si="109"/>
        <v>-4.2545789351172116</v>
      </c>
      <c r="BH67" s="156">
        <f t="shared" si="109"/>
        <v>-3.3794311199944125</v>
      </c>
      <c r="BI67" s="156">
        <f t="shared" si="109"/>
        <v>-2.4344606925939027</v>
      </c>
      <c r="BJ67" s="156">
        <f t="shared" si="109"/>
        <v>2.8841525729187687</v>
      </c>
      <c r="BK67" s="156">
        <f t="shared" si="109"/>
        <v>2.6003981285651427</v>
      </c>
      <c r="BL67" s="156">
        <f t="shared" si="109"/>
        <v>3.4623624118864762</v>
      </c>
      <c r="BM67" s="156">
        <f>(BM27-BL27)/BL27*100</f>
        <v>2.176947077571433</v>
      </c>
      <c r="BN67" s="156">
        <f t="shared" si="111"/>
        <v>-6.1322836094162517E-2</v>
      </c>
      <c r="BO67" s="156">
        <f t="shared" si="112"/>
        <v>-2.381310196612072</v>
      </c>
      <c r="BP67" s="156">
        <f t="shared" si="113"/>
        <v>-1.5216288161067424</v>
      </c>
      <c r="BQ67" s="156">
        <f t="shared" si="114"/>
        <v>-1.0148043987600772</v>
      </c>
      <c r="BR67" s="156">
        <f t="shared" si="115"/>
        <v>1.5615097275957386</v>
      </c>
      <c r="BS67" s="156">
        <f t="shared" si="116"/>
        <v>2.1762152023257935</v>
      </c>
      <c r="BT67" s="156">
        <f t="shared" si="117"/>
        <v>1.7399730194990477</v>
      </c>
      <c r="BU67" s="156">
        <f t="shared" si="118"/>
        <v>2.3875586119844101</v>
      </c>
      <c r="BV67" s="156">
        <f t="shared" si="119"/>
        <v>-2.9563326233823486E-2</v>
      </c>
      <c r="BW67" s="156">
        <f t="shared" si="120"/>
        <v>-0.76183394375500735</v>
      </c>
      <c r="BX67" s="156">
        <f t="shared" si="121"/>
        <v>0.88077536156003067</v>
      </c>
      <c r="BY67" s="156">
        <f t="shared" si="122"/>
        <v>1.5585440118103282</v>
      </c>
    </row>
    <row r="68" spans="1:77">
      <c r="A68" s="149" t="s">
        <v>2</v>
      </c>
      <c r="B68" s="253"/>
      <c r="C68" s="157">
        <f t="shared" si="108"/>
        <v>-1.3274609358545999</v>
      </c>
      <c r="D68" s="157">
        <f t="shared" si="108"/>
        <v>-0.21146266641515524</v>
      </c>
      <c r="E68" s="157">
        <f t="shared" si="108"/>
        <v>-0.62767375688958049</v>
      </c>
      <c r="F68" s="157">
        <f t="shared" si="108"/>
        <v>41.801254582859251</v>
      </c>
      <c r="G68" s="157">
        <f t="shared" si="108"/>
        <v>-1.3349909189686495</v>
      </c>
      <c r="H68" s="157">
        <f t="shared" si="108"/>
        <v>0.14463993247791396</v>
      </c>
      <c r="I68" s="157">
        <f t="shared" si="108"/>
        <v>0.25489894092273935</v>
      </c>
      <c r="J68" s="157">
        <f t="shared" si="108"/>
        <v>-0.17678901457509671</v>
      </c>
      <c r="K68" s="157">
        <f t="shared" si="108"/>
        <v>1.2469745336566149</v>
      </c>
      <c r="L68" s="157">
        <f t="shared" si="108"/>
        <v>0.77287728477521356</v>
      </c>
      <c r="M68" s="157">
        <f t="shared" si="108"/>
        <v>0.12712974560570173</v>
      </c>
      <c r="N68" s="157">
        <f t="shared" si="108"/>
        <v>-0.91153447240708529</v>
      </c>
      <c r="O68" s="157">
        <f t="shared" si="108"/>
        <v>-0.95574316079722366</v>
      </c>
      <c r="P68" s="157">
        <f t="shared" si="108"/>
        <v>-0.88937840695246662</v>
      </c>
      <c r="Q68" s="157">
        <f t="shared" si="108"/>
        <v>-0.27054492293702215</v>
      </c>
      <c r="R68" s="157">
        <f t="shared" si="108"/>
        <v>-26.573355360173888</v>
      </c>
      <c r="S68" s="157">
        <f t="shared" si="108"/>
        <v>-0.72088710988765015</v>
      </c>
      <c r="T68" s="157">
        <f t="shared" si="108"/>
        <v>4.4581058686525135E-2</v>
      </c>
      <c r="U68" s="157">
        <f t="shared" si="108"/>
        <v>0.32822976083257038</v>
      </c>
      <c r="V68" s="157">
        <f t="shared" si="108"/>
        <v>-2.1160036900906483</v>
      </c>
      <c r="W68" s="157">
        <f t="shared" si="108"/>
        <v>-0.31918965175104763</v>
      </c>
      <c r="X68" s="157">
        <f t="shared" si="108"/>
        <v>-0.83880370104347168</v>
      </c>
      <c r="Y68" s="157">
        <f t="shared" si="108"/>
        <v>0.39355670218248195</v>
      </c>
      <c r="Z68" s="157">
        <f t="shared" si="108"/>
        <v>-4.7539276030084965</v>
      </c>
      <c r="AA68" s="157">
        <f t="shared" si="108"/>
        <v>0.4795403513938975</v>
      </c>
      <c r="AB68" s="157">
        <f t="shared" si="108"/>
        <v>-0.67060193550978042</v>
      </c>
      <c r="AC68" s="157">
        <f t="shared" si="108"/>
        <v>-0.76427069857695162</v>
      </c>
      <c r="AD68" s="157">
        <f t="shared" si="108"/>
        <v>-11.026649523655895</v>
      </c>
      <c r="AE68" s="157">
        <f t="shared" si="108"/>
        <v>0.74279607582870555</v>
      </c>
      <c r="AF68" s="157">
        <f t="shared" si="108"/>
        <v>0.92461391590173936</v>
      </c>
      <c r="AG68" s="157">
        <f t="shared" si="108"/>
        <v>0.72585422629269691</v>
      </c>
      <c r="AH68" s="157">
        <f t="shared" si="108"/>
        <v>2.9883303707314708</v>
      </c>
      <c r="AI68" s="157">
        <f t="shared" si="108"/>
        <v>1.1130587298967658</v>
      </c>
      <c r="AJ68" s="157">
        <f t="shared" si="108"/>
        <v>1.2608249158445555</v>
      </c>
      <c r="AK68" s="157">
        <f t="shared" si="108"/>
        <v>0.46178144610493865</v>
      </c>
      <c r="AL68" s="157">
        <f t="shared" si="108"/>
        <v>0.99541116059456758</v>
      </c>
      <c r="AM68" s="157">
        <f t="shared" si="108"/>
        <v>-1.2263228426897821</v>
      </c>
      <c r="AN68" s="157">
        <f t="shared" si="108"/>
        <v>2.6731376078649434</v>
      </c>
      <c r="AO68" s="157">
        <f t="shared" si="108"/>
        <v>-2.5641282856341903</v>
      </c>
      <c r="AP68" s="157">
        <f t="shared" si="108"/>
        <v>-4.3139709144318008</v>
      </c>
      <c r="AQ68" s="157">
        <f t="shared" si="108"/>
        <v>-0.79497308288323021</v>
      </c>
      <c r="AR68" s="157">
        <f t="shared" si="108"/>
        <v>-0.74208927192858698</v>
      </c>
      <c r="AS68" s="157">
        <f t="shared" si="108"/>
        <v>-0.56111656283132583</v>
      </c>
      <c r="AT68" s="157">
        <f t="shared" si="108"/>
        <v>-4.6673067881330992</v>
      </c>
      <c r="AU68" s="157">
        <f t="shared" si="108"/>
        <v>1.6425606922584608</v>
      </c>
      <c r="AV68" s="157">
        <f t="shared" si="108"/>
        <v>1.4534023403416025</v>
      </c>
      <c r="AW68" s="157">
        <f t="shared" si="108"/>
        <v>1.6891253144477667</v>
      </c>
      <c r="AX68" s="157">
        <f t="shared" si="108"/>
        <v>2.521709852004816</v>
      </c>
      <c r="AY68" s="157">
        <f t="shared" si="108"/>
        <v>-2.5600298252446367</v>
      </c>
      <c r="AZ68" s="157">
        <f t="shared" si="108"/>
        <v>-0.16836231776242103</v>
      </c>
      <c r="BA68" s="157">
        <f t="shared" si="108"/>
        <v>-1.5121004211649651</v>
      </c>
      <c r="BB68" s="157">
        <f t="shared" si="108"/>
        <v>-5.2449940130779202</v>
      </c>
      <c r="BC68" s="157">
        <f t="shared" si="109"/>
        <v>2.4384379750140521</v>
      </c>
      <c r="BD68" s="157">
        <f t="shared" si="109"/>
        <v>-2.5253936501350274</v>
      </c>
      <c r="BE68" s="157">
        <f t="shared" si="109"/>
        <v>-7.5958328248354343E-2</v>
      </c>
      <c r="BF68" s="157">
        <f t="shared" si="109"/>
        <v>-7.514296883007658</v>
      </c>
      <c r="BG68" s="157">
        <f t="shared" si="109"/>
        <v>3.0760419661030491</v>
      </c>
      <c r="BH68" s="157">
        <f t="shared" si="109"/>
        <v>-1.3626209395898556</v>
      </c>
      <c r="BI68" s="157">
        <f t="shared" si="109"/>
        <v>1.4021388680198608</v>
      </c>
      <c r="BJ68" s="157">
        <f t="shared" si="109"/>
        <v>8.2027690545290266</v>
      </c>
      <c r="BK68" s="157">
        <f t="shared" si="109"/>
        <v>-5.7242893127197831</v>
      </c>
      <c r="BL68" s="157">
        <f t="shared" si="109"/>
        <v>7.1374527079926944</v>
      </c>
      <c r="BM68" s="157">
        <f t="shared" si="110"/>
        <v>3.7171519409796834</v>
      </c>
      <c r="BN68" s="157">
        <f t="shared" si="111"/>
        <v>-3.1862346828682733</v>
      </c>
      <c r="BO68" s="157">
        <f t="shared" si="112"/>
        <v>-0.45621606853087532</v>
      </c>
      <c r="BP68" s="157">
        <f t="shared" si="113"/>
        <v>-4.6586719841369622</v>
      </c>
      <c r="BQ68" s="157">
        <f t="shared" si="114"/>
        <v>-0.39116131591214803</v>
      </c>
      <c r="BR68" s="157">
        <f t="shared" si="115"/>
        <v>2.2076740679867437</v>
      </c>
      <c r="BS68" s="157">
        <f t="shared" si="116"/>
        <v>5.8126987918649649</v>
      </c>
      <c r="BT68" s="157">
        <f t="shared" si="117"/>
        <v>-2.3684815260912564</v>
      </c>
      <c r="BU68" s="157">
        <f t="shared" si="118"/>
        <v>-1.9889624470683833</v>
      </c>
      <c r="BV68" s="157">
        <f t="shared" si="119"/>
        <v>1.51775763050282</v>
      </c>
      <c r="BW68" s="157">
        <f t="shared" si="120"/>
        <v>-1.3792224604361192</v>
      </c>
      <c r="BX68" s="157">
        <f t="shared" si="121"/>
        <v>2.7327314161205218</v>
      </c>
      <c r="BY68" s="157">
        <f t="shared" si="122"/>
        <v>3.7159300642969808</v>
      </c>
    </row>
    <row r="69" spans="1:77">
      <c r="A69" s="145" t="s">
        <v>3</v>
      </c>
      <c r="B69" s="254"/>
      <c r="C69" s="159">
        <f t="shared" si="108"/>
        <v>1.0521262846698898</v>
      </c>
      <c r="D69" s="159">
        <f t="shared" si="108"/>
        <v>0.68404767021168789</v>
      </c>
      <c r="E69" s="159">
        <f t="shared" si="108"/>
        <v>-0.67023524212601482</v>
      </c>
      <c r="F69" s="159">
        <f t="shared" si="108"/>
        <v>1.100713805157415</v>
      </c>
      <c r="G69" s="159">
        <f t="shared" si="108"/>
        <v>0.28224701498116211</v>
      </c>
      <c r="H69" s="159">
        <f t="shared" si="108"/>
        <v>1.1191550947959126</v>
      </c>
      <c r="I69" s="159">
        <f t="shared" si="108"/>
        <v>1.1041395788164654</v>
      </c>
      <c r="J69" s="159">
        <f t="shared" si="108"/>
        <v>0.49824582363995407</v>
      </c>
      <c r="K69" s="159">
        <f t="shared" si="108"/>
        <v>1.6508331753845074</v>
      </c>
      <c r="L69" s="159">
        <f t="shared" si="108"/>
        <v>-0.2475335763730685</v>
      </c>
      <c r="M69" s="159">
        <f t="shared" si="108"/>
        <v>-0.38047069394939598</v>
      </c>
      <c r="N69" s="159">
        <f t="shared" si="108"/>
        <v>-0.97260248830513918</v>
      </c>
      <c r="O69" s="159">
        <f t="shared" si="108"/>
        <v>-0.38180098035610394</v>
      </c>
      <c r="P69" s="159">
        <f t="shared" si="108"/>
        <v>-1.2661797000659378</v>
      </c>
      <c r="Q69" s="159">
        <f t="shared" si="108"/>
        <v>-0.38309915614985507</v>
      </c>
      <c r="R69" s="159">
        <f t="shared" si="108"/>
        <v>0.18909001279115439</v>
      </c>
      <c r="S69" s="159">
        <f t="shared" si="108"/>
        <v>0.69380682399709448</v>
      </c>
      <c r="T69" s="159">
        <f t="shared" si="108"/>
        <v>1.3993224552925754</v>
      </c>
      <c r="U69" s="159">
        <f t="shared" si="108"/>
        <v>1.897109367489862</v>
      </c>
      <c r="V69" s="159">
        <f t="shared" si="108"/>
        <v>2.8315378308092174</v>
      </c>
      <c r="W69" s="159">
        <f t="shared" si="108"/>
        <v>1.5979302097525838</v>
      </c>
      <c r="X69" s="159">
        <f t="shared" si="108"/>
        <v>2.0021649278949343</v>
      </c>
      <c r="Y69" s="159">
        <f t="shared" si="108"/>
        <v>1.7043717344914313</v>
      </c>
      <c r="Z69" s="159">
        <f t="shared" si="108"/>
        <v>2.5406637938249026</v>
      </c>
      <c r="AA69" s="159">
        <f t="shared" si="108"/>
        <v>-4.3050960792285757E-2</v>
      </c>
      <c r="AB69" s="159">
        <f t="shared" si="108"/>
        <v>-0.8634319598549598</v>
      </c>
      <c r="AC69" s="159">
        <f t="shared" si="108"/>
        <v>0.72325967320601436</v>
      </c>
      <c r="AD69" s="159">
        <f t="shared" si="108"/>
        <v>-1.1114399732622495</v>
      </c>
      <c r="AE69" s="159">
        <f t="shared" si="108"/>
        <v>1.785070509295954</v>
      </c>
      <c r="AF69" s="159">
        <f t="shared" si="108"/>
        <v>1.2297570137684328</v>
      </c>
      <c r="AG69" s="159">
        <f t="shared" si="108"/>
        <v>0.38949273328097395</v>
      </c>
      <c r="AH69" s="159">
        <f t="shared" si="108"/>
        <v>-1.7038894337940411</v>
      </c>
      <c r="AI69" s="159">
        <f t="shared" si="108"/>
        <v>-0.95880322211966351</v>
      </c>
      <c r="AJ69" s="159">
        <f t="shared" si="108"/>
        <v>-0.6917995182027481</v>
      </c>
      <c r="AK69" s="159">
        <f t="shared" si="108"/>
        <v>-0.22352688478757188</v>
      </c>
      <c r="AL69" s="159">
        <f t="shared" si="108"/>
        <v>2.7175788164373755</v>
      </c>
      <c r="AM69" s="159">
        <f t="shared" si="108"/>
        <v>2.4166311012678787</v>
      </c>
      <c r="AN69" s="159">
        <f t="shared" si="108"/>
        <v>2.5027256588688531</v>
      </c>
      <c r="AO69" s="159">
        <f t="shared" si="108"/>
        <v>0.71333974763629282</v>
      </c>
      <c r="AP69" s="159">
        <f t="shared" si="108"/>
        <v>0.40567691442369036</v>
      </c>
      <c r="AQ69" s="159">
        <f t="shared" si="108"/>
        <v>3.5377499874919649</v>
      </c>
      <c r="AR69" s="159">
        <f t="shared" si="108"/>
        <v>2.2365389333590899</v>
      </c>
      <c r="AS69" s="159">
        <f t="shared" si="108"/>
        <v>0.34970070329707326</v>
      </c>
      <c r="AT69" s="159">
        <f t="shared" si="108"/>
        <v>0.79295742650755974</v>
      </c>
      <c r="AU69" s="159">
        <f t="shared" si="108"/>
        <v>1.8414482631264182</v>
      </c>
      <c r="AV69" s="159">
        <f t="shared" si="108"/>
        <v>1.8741944919071187</v>
      </c>
      <c r="AW69" s="159">
        <f t="shared" si="108"/>
        <v>1.8205769658629203</v>
      </c>
      <c r="AX69" s="159">
        <f t="shared" si="108"/>
        <v>1.8041574879838782</v>
      </c>
      <c r="AY69" s="159">
        <f t="shared" si="108"/>
        <v>0.74917274430561931</v>
      </c>
      <c r="AZ69" s="159">
        <f t="shared" si="108"/>
        <v>0.25388738746237077</v>
      </c>
      <c r="BA69" s="159">
        <f t="shared" si="108"/>
        <v>2.290393304949919</v>
      </c>
      <c r="BB69" s="159">
        <f t="shared" si="108"/>
        <v>-0.51124585911620701</v>
      </c>
      <c r="BC69" s="159">
        <f t="shared" si="109"/>
        <v>3.4542868184070055</v>
      </c>
      <c r="BD69" s="159">
        <f t="shared" si="109"/>
        <v>-0.90004230326802948</v>
      </c>
      <c r="BE69" s="159">
        <f t="shared" si="109"/>
        <v>-4.1117221598921025</v>
      </c>
      <c r="BF69" s="159">
        <f t="shared" si="109"/>
        <v>-5.0804979960693295</v>
      </c>
      <c r="BG69" s="159">
        <f t="shared" si="109"/>
        <v>-2.0661125154362736</v>
      </c>
      <c r="BH69" s="159">
        <f t="shared" si="109"/>
        <v>2.0402518798025016</v>
      </c>
      <c r="BI69" s="159">
        <f t="shared" si="109"/>
        <v>2.2812964277773631</v>
      </c>
      <c r="BJ69" s="159">
        <f t="shared" si="109"/>
        <v>1.8148902127202353</v>
      </c>
      <c r="BK69" s="159">
        <f t="shared" si="109"/>
        <v>1.4351675093465406</v>
      </c>
      <c r="BL69" s="159">
        <f t="shared" si="109"/>
        <v>-0.5292358298741483</v>
      </c>
      <c r="BM69" s="159">
        <f t="shared" si="110"/>
        <v>1.0956579924063408</v>
      </c>
      <c r="BN69" s="159">
        <f t="shared" si="111"/>
        <v>2.484364878471006</v>
      </c>
      <c r="BO69" s="159">
        <f t="shared" si="112"/>
        <v>-0.98176526693244826</v>
      </c>
      <c r="BP69" s="159">
        <f t="shared" si="113"/>
        <v>-0.16623279651880463</v>
      </c>
      <c r="BQ69" s="159">
        <f t="shared" si="114"/>
        <v>0.87415165067920264</v>
      </c>
      <c r="BR69" s="159">
        <f t="shared" si="115"/>
        <v>1.2845861068779014</v>
      </c>
      <c r="BS69" s="159">
        <f t="shared" si="116"/>
        <v>-0.30792020246054114</v>
      </c>
      <c r="BT69" s="159">
        <f t="shared" si="117"/>
        <v>0.27803826772008755</v>
      </c>
      <c r="BU69" s="159">
        <f t="shared" si="118"/>
        <v>0.95834730415888125</v>
      </c>
      <c r="BV69" s="159">
        <f t="shared" si="119"/>
        <v>-1.6435275639774913</v>
      </c>
      <c r="BW69" s="159">
        <f t="shared" si="120"/>
        <v>2.4382629439441175</v>
      </c>
      <c r="BX69" s="159">
        <f t="shared" si="121"/>
        <v>-1.2659639390686259</v>
      </c>
      <c r="BY69" s="159">
        <f t="shared" si="122"/>
        <v>2.3871173397663958</v>
      </c>
    </row>
    <row r="70" spans="1:77">
      <c r="A70" s="146" t="s">
        <v>4</v>
      </c>
      <c r="B70" s="252"/>
      <c r="C70" s="156">
        <f t="shared" si="108"/>
        <v>1.2712492465880569</v>
      </c>
      <c r="D70" s="156">
        <f t="shared" si="108"/>
        <v>0.82151156252127311</v>
      </c>
      <c r="E70" s="156">
        <f t="shared" si="108"/>
        <v>-0.72287405435910435</v>
      </c>
      <c r="F70" s="156">
        <f t="shared" si="108"/>
        <v>1.2516385180748448</v>
      </c>
      <c r="G70" s="156">
        <f t="shared" si="108"/>
        <v>-0.23321711689860508</v>
      </c>
      <c r="H70" s="156">
        <f t="shared" si="108"/>
        <v>0.60778651542169182</v>
      </c>
      <c r="I70" s="156">
        <f t="shared" si="108"/>
        <v>0.73033318647426537</v>
      </c>
      <c r="J70" s="156">
        <f t="shared" si="108"/>
        <v>0.57849819095437305</v>
      </c>
      <c r="K70" s="156">
        <f t="shared" si="108"/>
        <v>1.8662665756115784</v>
      </c>
      <c r="L70" s="156">
        <f t="shared" si="108"/>
        <v>-0.15676294675080094</v>
      </c>
      <c r="M70" s="156">
        <f t="shared" si="108"/>
        <v>-0.24174692681643956</v>
      </c>
      <c r="N70" s="156">
        <f t="shared" si="108"/>
        <v>0.18143065181777987</v>
      </c>
      <c r="O70" s="156">
        <f t="shared" si="108"/>
        <v>-7.7910475262918902E-2</v>
      </c>
      <c r="P70" s="156">
        <f t="shared" si="108"/>
        <v>-1.2789901141283357</v>
      </c>
      <c r="Q70" s="156">
        <f t="shared" si="108"/>
        <v>-0.53188340416901581</v>
      </c>
      <c r="R70" s="156">
        <f t="shared" si="108"/>
        <v>0.79686235345913881</v>
      </c>
      <c r="S70" s="156">
        <f t="shared" si="108"/>
        <v>0.73117808923527938</v>
      </c>
      <c r="T70" s="156">
        <f t="shared" si="108"/>
        <v>1.6017307161112679</v>
      </c>
      <c r="U70" s="156">
        <f t="shared" si="108"/>
        <v>2.0542042244307135</v>
      </c>
      <c r="V70" s="156">
        <f t="shared" si="108"/>
        <v>3.0305416031267791</v>
      </c>
      <c r="W70" s="156">
        <f t="shared" si="108"/>
        <v>1.6361146876562829</v>
      </c>
      <c r="X70" s="156">
        <f t="shared" si="108"/>
        <v>2.090932144003022</v>
      </c>
      <c r="Y70" s="156">
        <f t="shared" si="108"/>
        <v>1.9915743141221143</v>
      </c>
      <c r="Z70" s="156">
        <f t="shared" ref="C70:BB74" si="123">(Z30-Y30)/Y30*100</f>
        <v>0.3642924270127883</v>
      </c>
      <c r="AA70" s="156">
        <f t="shared" si="123"/>
        <v>6.9427870953424884E-4</v>
      </c>
      <c r="AB70" s="156">
        <f t="shared" si="123"/>
        <v>-1.0686437272788147</v>
      </c>
      <c r="AC70" s="156">
        <f t="shared" si="123"/>
        <v>0.83605767594421065</v>
      </c>
      <c r="AD70" s="156">
        <f t="shared" si="123"/>
        <v>0.64644642835744948</v>
      </c>
      <c r="AE70" s="156">
        <f t="shared" si="123"/>
        <v>1.7474352424610806</v>
      </c>
      <c r="AF70" s="156">
        <f t="shared" si="123"/>
        <v>1.1229541497141899</v>
      </c>
      <c r="AG70" s="156">
        <f t="shared" si="123"/>
        <v>2.4910402231704907E-2</v>
      </c>
      <c r="AH70" s="156">
        <f t="shared" si="123"/>
        <v>-0.34059009249209193</v>
      </c>
      <c r="AI70" s="156">
        <f t="shared" si="123"/>
        <v>-1.2620053442667647</v>
      </c>
      <c r="AJ70" s="156">
        <f t="shared" si="123"/>
        <v>-0.98487582540890628</v>
      </c>
      <c r="AK70" s="156">
        <f t="shared" si="123"/>
        <v>-0.56135903602776149</v>
      </c>
      <c r="AL70" s="156">
        <f t="shared" si="123"/>
        <v>2.774974799246928</v>
      </c>
      <c r="AM70" s="156">
        <f t="shared" si="123"/>
        <v>2.429320965471208</v>
      </c>
      <c r="AN70" s="156">
        <f t="shared" si="123"/>
        <v>2.3886277051095117</v>
      </c>
      <c r="AO70" s="156">
        <f t="shared" si="123"/>
        <v>0.37894057889219218</v>
      </c>
      <c r="AP70" s="156">
        <f t="shared" si="123"/>
        <v>-5.0654161874288277E-2</v>
      </c>
      <c r="AQ70" s="156">
        <f t="shared" si="123"/>
        <v>3.8752506458951967</v>
      </c>
      <c r="AR70" s="156">
        <f t="shared" si="123"/>
        <v>2.2916847928013819</v>
      </c>
      <c r="AS70" s="156">
        <f t="shared" si="123"/>
        <v>-8.2372229482460285E-2</v>
      </c>
      <c r="AT70" s="156">
        <f t="shared" si="123"/>
        <v>0.99930540054774553</v>
      </c>
      <c r="AU70" s="156">
        <f t="shared" si="123"/>
        <v>1.9110604911660705</v>
      </c>
      <c r="AV70" s="156">
        <f t="shared" si="123"/>
        <v>1.9561503020644613</v>
      </c>
      <c r="AW70" s="156">
        <f t="shared" si="123"/>
        <v>1.8737245420203528</v>
      </c>
      <c r="AX70" s="156">
        <f t="shared" si="123"/>
        <v>1.5137992462843595</v>
      </c>
      <c r="AY70" s="156">
        <f t="shared" si="123"/>
        <v>0.42591866303479092</v>
      </c>
      <c r="AZ70" s="156">
        <f t="shared" si="123"/>
        <v>-2.9410193448467632E-2</v>
      </c>
      <c r="BA70" s="156">
        <f t="shared" si="123"/>
        <v>2.1866854873442825</v>
      </c>
      <c r="BB70" s="156">
        <f t="shared" si="123"/>
        <v>-0.12729749478282865</v>
      </c>
      <c r="BC70" s="156">
        <f t="shared" si="109"/>
        <v>4.05782760163207</v>
      </c>
      <c r="BD70" s="156">
        <f t="shared" si="109"/>
        <v>-1.6963896071751945</v>
      </c>
      <c r="BE70" s="156">
        <f t="shared" si="109"/>
        <v>-4.7328019198996953</v>
      </c>
      <c r="BF70" s="156">
        <f t="shared" si="109"/>
        <v>-6.4516891749352627</v>
      </c>
      <c r="BG70" s="156">
        <f t="shared" si="109"/>
        <v>-2.6841795737649918</v>
      </c>
      <c r="BH70" s="156">
        <f t="shared" si="109"/>
        <v>2.1687449911097398</v>
      </c>
      <c r="BI70" s="156">
        <f t="shared" si="109"/>
        <v>2.694879193866512</v>
      </c>
      <c r="BJ70" s="156">
        <f t="shared" si="109"/>
        <v>2.162440148328002</v>
      </c>
      <c r="BK70" s="156">
        <f t="shared" si="109"/>
        <v>1.8786963728023001</v>
      </c>
      <c r="BL70" s="156">
        <f t="shared" si="109"/>
        <v>-0.59859154433349782</v>
      </c>
      <c r="BM70" s="156">
        <f t="shared" si="110"/>
        <v>1.1842134227708219</v>
      </c>
      <c r="BN70" s="156">
        <f t="shared" si="111"/>
        <v>2.9765204840281969</v>
      </c>
      <c r="BO70" s="156">
        <f t="shared" si="112"/>
        <v>-1.2321893248214906</v>
      </c>
      <c r="BP70" s="156">
        <f t="shared" si="113"/>
        <v>-0.16344326044941637</v>
      </c>
      <c r="BQ70" s="156">
        <f t="shared" si="114"/>
        <v>1.0339317486810624</v>
      </c>
      <c r="BR70" s="156">
        <f t="shared" si="115"/>
        <v>1.5624673064112371</v>
      </c>
      <c r="BS70" s="156">
        <f t="shared" si="116"/>
        <v>-0.26934817561590496</v>
      </c>
      <c r="BT70" s="156">
        <f t="shared" si="117"/>
        <v>0.21430586739959626</v>
      </c>
      <c r="BU70" s="156">
        <f t="shared" si="118"/>
        <v>1.0763374909752659</v>
      </c>
      <c r="BV70" s="156">
        <f t="shared" si="119"/>
        <v>-2.0314772925506306</v>
      </c>
      <c r="BW70" s="156">
        <f t="shared" si="120"/>
        <v>2.8045535887736981</v>
      </c>
      <c r="BX70" s="156">
        <f t="shared" si="121"/>
        <v>-1.7037736339610203</v>
      </c>
      <c r="BY70" s="156">
        <f t="shared" si="122"/>
        <v>2.9535190836828669</v>
      </c>
    </row>
    <row r="71" spans="1:77">
      <c r="A71" s="146" t="s">
        <v>5</v>
      </c>
      <c r="B71" s="252"/>
      <c r="C71" s="156">
        <f t="shared" si="123"/>
        <v>3.9842401018712351E-2</v>
      </c>
      <c r="D71" s="156">
        <f t="shared" si="123"/>
        <v>-0.61141512921753161</v>
      </c>
      <c r="E71" s="156">
        <f t="shared" si="123"/>
        <v>-1.2858818378805947</v>
      </c>
      <c r="F71" s="156">
        <f t="shared" si="123"/>
        <v>4.5058338538185145</v>
      </c>
      <c r="G71" s="156">
        <f t="shared" si="123"/>
        <v>4.1937797700166781</v>
      </c>
      <c r="H71" s="156">
        <f t="shared" si="123"/>
        <v>6.0245968303847173</v>
      </c>
      <c r="I71" s="156">
        <f t="shared" si="123"/>
        <v>4.9238523492905708</v>
      </c>
      <c r="J71" s="156">
        <f t="shared" si="123"/>
        <v>-2.5508731292551881</v>
      </c>
      <c r="K71" s="156">
        <f t="shared" si="123"/>
        <v>0.26274519286997261</v>
      </c>
      <c r="L71" s="156">
        <f t="shared" si="123"/>
        <v>-2.0233327757730915</v>
      </c>
      <c r="M71" s="156">
        <f t="shared" si="123"/>
        <v>-2.4529480274536857</v>
      </c>
      <c r="N71" s="156">
        <f t="shared" si="123"/>
        <v>-1.6959187212372278</v>
      </c>
      <c r="O71" s="156">
        <f t="shared" si="123"/>
        <v>-1.3412553702397028</v>
      </c>
      <c r="P71" s="156">
        <f t="shared" si="123"/>
        <v>-1.46069441105555</v>
      </c>
      <c r="Q71" s="156">
        <f t="shared" si="123"/>
        <v>-7.6343541349501415E-2</v>
      </c>
      <c r="R71" s="156">
        <f t="shared" si="123"/>
        <v>-0.21140842173719265</v>
      </c>
      <c r="S71" s="156">
        <f t="shared" si="123"/>
        <v>1.009679000877185</v>
      </c>
      <c r="T71" s="156">
        <f t="shared" si="123"/>
        <v>0.4900597537123571</v>
      </c>
      <c r="U71" s="156">
        <f t="shared" si="123"/>
        <v>1.6285513799006377</v>
      </c>
      <c r="V71" s="156">
        <f t="shared" si="123"/>
        <v>3.7291774915799545</v>
      </c>
      <c r="W71" s="156">
        <f t="shared" si="123"/>
        <v>0.7270818516201405</v>
      </c>
      <c r="X71" s="156">
        <f t="shared" si="123"/>
        <v>0.38502200648261542</v>
      </c>
      <c r="Y71" s="156">
        <f t="shared" si="123"/>
        <v>-1.5779384953421172</v>
      </c>
      <c r="Z71" s="156">
        <f t="shared" si="123"/>
        <v>1.9763671185931826</v>
      </c>
      <c r="AA71" s="156">
        <f t="shared" si="123"/>
        <v>-1.4005807076029739</v>
      </c>
      <c r="AB71" s="156">
        <f t="shared" si="123"/>
        <v>-0.17872282256997021</v>
      </c>
      <c r="AC71" s="156">
        <f t="shared" si="123"/>
        <v>-0.58636885441735309</v>
      </c>
      <c r="AD71" s="156">
        <f t="shared" si="123"/>
        <v>7.6447456148030044</v>
      </c>
      <c r="AE71" s="156">
        <f t="shared" si="123"/>
        <v>2.3268087310699772</v>
      </c>
      <c r="AF71" s="156">
        <f t="shared" si="123"/>
        <v>1.2481029392323941</v>
      </c>
      <c r="AG71" s="156">
        <f t="shared" si="123"/>
        <v>1.685010840767966</v>
      </c>
      <c r="AH71" s="156">
        <f t="shared" si="123"/>
        <v>-14.087936638142725</v>
      </c>
      <c r="AI71" s="156">
        <f t="shared" si="123"/>
        <v>3.0832476875646199E-2</v>
      </c>
      <c r="AJ71" s="156">
        <f t="shared" si="123"/>
        <v>0.44522072673722168</v>
      </c>
      <c r="AK71" s="156">
        <f t="shared" si="123"/>
        <v>1.1217566231374807</v>
      </c>
      <c r="AL71" s="156">
        <f t="shared" si="123"/>
        <v>2.3971300136149285</v>
      </c>
      <c r="AM71" s="156">
        <f t="shared" si="123"/>
        <v>1.9392415116818014</v>
      </c>
      <c r="AN71" s="156">
        <f t="shared" si="123"/>
        <v>3.3924165692766897</v>
      </c>
      <c r="AO71" s="156">
        <f t="shared" si="123"/>
        <v>1.9466859242048593</v>
      </c>
      <c r="AP71" s="156">
        <f t="shared" si="123"/>
        <v>1.1414158392175893</v>
      </c>
      <c r="AQ71" s="156">
        <f t="shared" si="123"/>
        <v>0.93594762387835473</v>
      </c>
      <c r="AR71" s="156">
        <f t="shared" si="123"/>
        <v>0.77780777167223503</v>
      </c>
      <c r="AS71" s="156">
        <f t="shared" si="123"/>
        <v>2.1095992820703575</v>
      </c>
      <c r="AT71" s="156">
        <f t="shared" si="123"/>
        <v>0.60430573144819832</v>
      </c>
      <c r="AU71" s="156">
        <f t="shared" si="123"/>
        <v>0.28252744342092068</v>
      </c>
      <c r="AV71" s="156">
        <f t="shared" si="123"/>
        <v>0.19075568598680598</v>
      </c>
      <c r="AW71" s="156">
        <f t="shared" si="123"/>
        <v>0.65026362038663876</v>
      </c>
      <c r="AX71" s="156">
        <f t="shared" si="123"/>
        <v>1.4694489646292543</v>
      </c>
      <c r="AY71" s="156">
        <f t="shared" si="123"/>
        <v>0.8771992690005973</v>
      </c>
      <c r="AZ71" s="156">
        <f t="shared" si="123"/>
        <v>0.98608259507386076</v>
      </c>
      <c r="BA71" s="156">
        <f t="shared" si="123"/>
        <v>8.160566174452781E-2</v>
      </c>
      <c r="BB71" s="156">
        <f t="shared" si="123"/>
        <v>-5.0969974222170151</v>
      </c>
      <c r="BC71" s="156">
        <f t="shared" si="109"/>
        <v>-0.47198090969405293</v>
      </c>
      <c r="BD71" s="156">
        <f t="shared" si="109"/>
        <v>3.2520393605434403</v>
      </c>
      <c r="BE71" s="156">
        <f t="shared" si="109"/>
        <v>-3.5280306153214842</v>
      </c>
      <c r="BF71" s="156">
        <f t="shared" si="109"/>
        <v>-3.6058762362335419</v>
      </c>
      <c r="BG71" s="156">
        <f t="shared" si="109"/>
        <v>0.52049072679208985</v>
      </c>
      <c r="BH71" s="156">
        <f t="shared" si="109"/>
        <v>0.86448025843624055</v>
      </c>
      <c r="BI71" s="156">
        <f t="shared" si="109"/>
        <v>0.3051246432009978</v>
      </c>
      <c r="BJ71" s="156">
        <f t="shared" si="109"/>
        <v>0.24769638850297293</v>
      </c>
      <c r="BK71" s="156">
        <f t="shared" si="109"/>
        <v>-0.11795434156954898</v>
      </c>
      <c r="BL71" s="156">
        <f t="shared" si="109"/>
        <v>-0.2398362231194115</v>
      </c>
      <c r="BM71" s="156">
        <f t="shared" si="110"/>
        <v>1.4399378163214496</v>
      </c>
      <c r="BN71" s="156">
        <f t="shared" si="111"/>
        <v>0.28502612613465311</v>
      </c>
      <c r="BO71" s="156">
        <f t="shared" si="112"/>
        <v>0.22980621779062502</v>
      </c>
      <c r="BP71" s="156">
        <f t="shared" si="113"/>
        <v>-0.47400819290369528</v>
      </c>
      <c r="BQ71" s="156">
        <f t="shared" si="114"/>
        <v>0.19042313489743815</v>
      </c>
      <c r="BR71" s="156">
        <f t="shared" si="115"/>
        <v>-2.209751215288339</v>
      </c>
      <c r="BS71" s="156">
        <f t="shared" si="116"/>
        <v>-1.3165252145634965</v>
      </c>
      <c r="BT71" s="156">
        <f t="shared" si="117"/>
        <v>0.14051106126847901</v>
      </c>
      <c r="BU71" s="156">
        <f t="shared" si="118"/>
        <v>-0.65913948163631642</v>
      </c>
      <c r="BV71" s="156">
        <f t="shared" si="119"/>
        <v>-0.97998117138667884</v>
      </c>
      <c r="BW71" s="156">
        <f t="shared" si="120"/>
        <v>1.2449759107693348</v>
      </c>
      <c r="BX71" s="156">
        <f t="shared" si="121"/>
        <v>0.94726184039327221</v>
      </c>
      <c r="BY71" s="156">
        <f t="shared" si="122"/>
        <v>-1.4346630966371794</v>
      </c>
    </row>
    <row r="72" spans="1:77">
      <c r="A72" s="149" t="s">
        <v>6</v>
      </c>
      <c r="B72" s="253"/>
      <c r="C72" s="157">
        <f t="shared" si="123"/>
        <v>0.1020047137288394</v>
      </c>
      <c r="D72" s="157">
        <f t="shared" si="123"/>
        <v>0.72586095130213701</v>
      </c>
      <c r="E72" s="157">
        <f t="shared" si="123"/>
        <v>0.40458761877484783</v>
      </c>
      <c r="F72" s="157">
        <f t="shared" si="123"/>
        <v>-3.5087029383195953</v>
      </c>
      <c r="G72" s="157">
        <f t="shared" si="123"/>
        <v>1.0434093407980884</v>
      </c>
      <c r="H72" s="157">
        <f t="shared" si="123"/>
        <v>0.59095037308814524</v>
      </c>
      <c r="I72" s="157">
        <f t="shared" si="123"/>
        <v>0.24735340268608447</v>
      </c>
      <c r="J72" s="157">
        <f t="shared" si="123"/>
        <v>3.3542917084355888</v>
      </c>
      <c r="K72" s="157">
        <f t="shared" si="123"/>
        <v>1.2504472750814293</v>
      </c>
      <c r="L72" s="157">
        <f t="shared" si="123"/>
        <v>0.88562507098743104</v>
      </c>
      <c r="M72" s="157">
        <f t="shared" si="123"/>
        <v>0.59115202481103768</v>
      </c>
      <c r="N72" s="157">
        <f t="shared" si="123"/>
        <v>-10.515130198263906</v>
      </c>
      <c r="O72" s="157">
        <f t="shared" si="123"/>
        <v>-2.3218904916610175</v>
      </c>
      <c r="P72" s="157">
        <f t="shared" si="123"/>
        <v>-0.91118707306043467</v>
      </c>
      <c r="Q72" s="157">
        <f t="shared" si="123"/>
        <v>0.77964336899588405</v>
      </c>
      <c r="R72" s="157">
        <f t="shared" si="123"/>
        <v>-5.460957259368314</v>
      </c>
      <c r="S72" s="157">
        <f t="shared" si="123"/>
        <v>-8.5234163424300957E-2</v>
      </c>
      <c r="T72" s="157">
        <f t="shared" si="123"/>
        <v>0.31618916618749404</v>
      </c>
      <c r="U72" s="157">
        <f t="shared" si="123"/>
        <v>0.50530807472944905</v>
      </c>
      <c r="V72" s="157">
        <f t="shared" si="123"/>
        <v>-0.48058988390383123</v>
      </c>
      <c r="W72" s="157">
        <f t="shared" si="123"/>
        <v>2.2736250212455076</v>
      </c>
      <c r="X72" s="157">
        <f t="shared" si="123"/>
        <v>3.0266578085563696</v>
      </c>
      <c r="Y72" s="157">
        <f t="shared" si="123"/>
        <v>2.484710693347961</v>
      </c>
      <c r="Z72" s="157">
        <f t="shared" si="123"/>
        <v>27.725708141321171</v>
      </c>
      <c r="AA72" s="157">
        <f t="shared" si="123"/>
        <v>0.84820595235317631</v>
      </c>
      <c r="AB72" s="157">
        <f t="shared" si="123"/>
        <v>0.30750732164592354</v>
      </c>
      <c r="AC72" s="157">
        <f t="shared" si="123"/>
        <v>0.94672457732035697</v>
      </c>
      <c r="AD72" s="157">
        <f t="shared" si="123"/>
        <v>-24.216128053127239</v>
      </c>
      <c r="AE72" s="157">
        <f t="shared" si="123"/>
        <v>1.5229319077096304</v>
      </c>
      <c r="AF72" s="157">
        <f t="shared" si="123"/>
        <v>2.4354754893469686</v>
      </c>
      <c r="AG72" s="157">
        <f t="shared" si="123"/>
        <v>2.8781114718614735</v>
      </c>
      <c r="AH72" s="157">
        <f t="shared" si="123"/>
        <v>-1.1354036936684986</v>
      </c>
      <c r="AI72" s="157">
        <f t="shared" si="123"/>
        <v>1.3326001875990177</v>
      </c>
      <c r="AJ72" s="157">
        <f t="shared" si="123"/>
        <v>1.257620734782493</v>
      </c>
      <c r="AK72" s="157">
        <f t="shared" si="123"/>
        <v>1.9165904863978727</v>
      </c>
      <c r="AL72" s="157">
        <f t="shared" si="123"/>
        <v>2.464803640295619</v>
      </c>
      <c r="AM72" s="157">
        <f t="shared" si="123"/>
        <v>2.7932453698099331</v>
      </c>
      <c r="AN72" s="157">
        <f t="shared" si="123"/>
        <v>2.7438396090322836</v>
      </c>
      <c r="AO72" s="157">
        <f t="shared" si="123"/>
        <v>2.8510845582968325</v>
      </c>
      <c r="AP72" s="157">
        <f t="shared" si="123"/>
        <v>4.2234625816364817</v>
      </c>
      <c r="AQ72" s="157">
        <f t="shared" si="123"/>
        <v>2.9399799300263028</v>
      </c>
      <c r="AR72" s="157">
        <f t="shared" si="123"/>
        <v>3.1616387827690531</v>
      </c>
      <c r="AS72" s="157">
        <f t="shared" si="123"/>
        <v>2.7991316562380582</v>
      </c>
      <c r="AT72" s="157">
        <f t="shared" si="123"/>
        <v>-0.96050084808754266</v>
      </c>
      <c r="AU72" s="157">
        <f t="shared" si="123"/>
        <v>2.7153191905366865</v>
      </c>
      <c r="AV72" s="157">
        <f t="shared" si="123"/>
        <v>2.7196802055821401</v>
      </c>
      <c r="AW72" s="157">
        <f t="shared" si="123"/>
        <v>2.4206624971044679</v>
      </c>
      <c r="AX72" s="157">
        <f t="shared" si="123"/>
        <v>4.8362232866396937</v>
      </c>
      <c r="AY72" s="157">
        <f t="shared" si="123"/>
        <v>3.5695887352966591</v>
      </c>
      <c r="AZ72" s="157">
        <f t="shared" si="123"/>
        <v>2.1098008331433524</v>
      </c>
      <c r="BA72" s="157">
        <f t="shared" si="123"/>
        <v>5.0883922953581289</v>
      </c>
      <c r="BB72" s="157">
        <f t="shared" si="123"/>
        <v>3.5520377221259183E-2</v>
      </c>
      <c r="BC72" s="157">
        <f t="shared" si="109"/>
        <v>1.4619719278214702</v>
      </c>
      <c r="BD72" s="157">
        <f t="shared" si="109"/>
        <v>2.7618956616348487</v>
      </c>
      <c r="BE72" s="157">
        <f t="shared" si="109"/>
        <v>0.53901485865770304</v>
      </c>
      <c r="BF72" s="157">
        <f t="shared" si="109"/>
        <v>4.499948905463337</v>
      </c>
      <c r="BG72" s="157">
        <f t="shared" si="109"/>
        <v>0.4805092334015858</v>
      </c>
      <c r="BH72" s="157">
        <f t="shared" si="109"/>
        <v>1.9728425343438865</v>
      </c>
      <c r="BI72" s="157">
        <f t="shared" si="109"/>
        <v>0.81519359723122509</v>
      </c>
      <c r="BJ72" s="157">
        <f t="shared" si="109"/>
        <v>0.4709074991339513</v>
      </c>
      <c r="BK72" s="157">
        <f t="shared" si="109"/>
        <v>-0.63260701314682488</v>
      </c>
      <c r="BL72" s="157">
        <f t="shared" si="109"/>
        <v>-0.22568429525266692</v>
      </c>
      <c r="BM72" s="157">
        <f t="shared" si="110"/>
        <v>0.23158451096027033</v>
      </c>
      <c r="BN72" s="157">
        <f t="shared" si="111"/>
        <v>0.42543758657226977</v>
      </c>
      <c r="BO72" s="157">
        <f t="shared" si="112"/>
        <v>5.0158709073983142E-2</v>
      </c>
      <c r="BP72" s="157">
        <f t="shared" si="113"/>
        <v>2.2421803743337736E-2</v>
      </c>
      <c r="BQ72" s="157">
        <f t="shared" si="114"/>
        <v>0.1710553946743868</v>
      </c>
      <c r="BR72" s="157">
        <f t="shared" si="115"/>
        <v>1.6026940392486577</v>
      </c>
      <c r="BS72" s="157">
        <f t="shared" si="116"/>
        <v>6.4663900866817059E-2</v>
      </c>
      <c r="BT72" s="157">
        <f t="shared" si="117"/>
        <v>0.83328515017840799</v>
      </c>
      <c r="BU72" s="157">
        <f t="shared" si="118"/>
        <v>1.1297041491970607</v>
      </c>
      <c r="BV72" s="157">
        <f t="shared" si="119"/>
        <v>0.76497370356039684</v>
      </c>
      <c r="BW72" s="157">
        <f t="shared" si="120"/>
        <v>0.5800464037123001</v>
      </c>
      <c r="BX72" s="157">
        <f t="shared" si="121"/>
        <v>0.53056516724336256</v>
      </c>
      <c r="BY72" s="157">
        <f t="shared" si="122"/>
        <v>0.75722808627810512</v>
      </c>
    </row>
    <row r="73" spans="1:77">
      <c r="A73" s="145" t="s">
        <v>7</v>
      </c>
      <c r="B73" s="254"/>
      <c r="C73" s="159">
        <f t="shared" si="123"/>
        <v>1.222027007298351</v>
      </c>
      <c r="D73" s="159">
        <f t="shared" si="123"/>
        <v>1.1890921267726311</v>
      </c>
      <c r="E73" s="159">
        <f t="shared" si="123"/>
        <v>0.90601050439596209</v>
      </c>
      <c r="F73" s="159">
        <f t="shared" si="123"/>
        <v>0.96457924511945337</v>
      </c>
      <c r="G73" s="159">
        <f t="shared" si="123"/>
        <v>0.98946474560970221</v>
      </c>
      <c r="H73" s="159">
        <f t="shared" si="123"/>
        <v>1.1562286139060685</v>
      </c>
      <c r="I73" s="159">
        <f t="shared" si="123"/>
        <v>1.0837908446095614</v>
      </c>
      <c r="J73" s="159">
        <f t="shared" si="123"/>
        <v>-0.59745637841086496</v>
      </c>
      <c r="K73" s="159">
        <f t="shared" si="123"/>
        <v>0.36247797758309486</v>
      </c>
      <c r="L73" s="159">
        <f t="shared" si="123"/>
        <v>0.35560512855973675</v>
      </c>
      <c r="M73" s="159">
        <f t="shared" si="123"/>
        <v>0.12437677448205693</v>
      </c>
      <c r="N73" s="159">
        <f t="shared" si="123"/>
        <v>1.5186878433503821</v>
      </c>
      <c r="O73" s="159">
        <f t="shared" si="123"/>
        <v>0.84109130753885419</v>
      </c>
      <c r="P73" s="159">
        <f t="shared" si="123"/>
        <v>0.28878440529720079</v>
      </c>
      <c r="Q73" s="159">
        <f t="shared" si="123"/>
        <v>0.27268373971206322</v>
      </c>
      <c r="R73" s="159">
        <f t="shared" si="123"/>
        <v>0.82283990616222946</v>
      </c>
      <c r="S73" s="159">
        <f t="shared" si="123"/>
        <v>1.2145129029358199</v>
      </c>
      <c r="T73" s="159">
        <f t="shared" si="123"/>
        <v>1.2391730660867681</v>
      </c>
      <c r="U73" s="159">
        <f t="shared" si="123"/>
        <v>1.0025786274969057</v>
      </c>
      <c r="V73" s="159">
        <f t="shared" si="123"/>
        <v>0.53250235091384746</v>
      </c>
      <c r="W73" s="159">
        <f t="shared" si="123"/>
        <v>1.026744059559886</v>
      </c>
      <c r="X73" s="159">
        <f t="shared" si="123"/>
        <v>0.95964476503471141</v>
      </c>
      <c r="Y73" s="159">
        <f t="shared" si="123"/>
        <v>0.76676873836278203</v>
      </c>
      <c r="Z73" s="159">
        <f t="shared" si="123"/>
        <v>1.8423524211913405</v>
      </c>
      <c r="AA73" s="159">
        <f t="shared" si="123"/>
        <v>0.79153217327594794</v>
      </c>
      <c r="AB73" s="159">
        <f t="shared" si="123"/>
        <v>0.80162268988163021</v>
      </c>
      <c r="AC73" s="159">
        <f t="shared" si="123"/>
        <v>1.0443002416948408</v>
      </c>
      <c r="AD73" s="159">
        <f t="shared" si="123"/>
        <v>1.1723343095875187</v>
      </c>
      <c r="AE73" s="159">
        <f t="shared" si="123"/>
        <v>1.1637701461768284</v>
      </c>
      <c r="AF73" s="159">
        <f t="shared" si="123"/>
        <v>0.5657199553775446</v>
      </c>
      <c r="AG73" s="159">
        <f t="shared" si="123"/>
        <v>0.94554619023204922</v>
      </c>
      <c r="AH73" s="159">
        <f t="shared" si="123"/>
        <v>1.8772495765225616</v>
      </c>
      <c r="AI73" s="159">
        <f t="shared" si="123"/>
        <v>0.97179159128929749</v>
      </c>
      <c r="AJ73" s="159">
        <f t="shared" si="123"/>
        <v>1.0069256380329163</v>
      </c>
      <c r="AK73" s="159">
        <f t="shared" si="123"/>
        <v>0.86171664541528914</v>
      </c>
      <c r="AL73" s="159">
        <f t="shared" si="123"/>
        <v>1.1183542284987207</v>
      </c>
      <c r="AM73" s="159">
        <f t="shared" si="123"/>
        <v>1.2561732586354937</v>
      </c>
      <c r="AN73" s="159">
        <f t="shared" si="123"/>
        <v>1.1843344330530736</v>
      </c>
      <c r="AO73" s="159">
        <f t="shared" si="123"/>
        <v>1.5179348787454143</v>
      </c>
      <c r="AP73" s="159">
        <f t="shared" si="123"/>
        <v>2.4939743196909494</v>
      </c>
      <c r="AQ73" s="159">
        <f t="shared" si="123"/>
        <v>1.5405185461072375</v>
      </c>
      <c r="AR73" s="159">
        <f t="shared" si="123"/>
        <v>1.3436889687465001</v>
      </c>
      <c r="AS73" s="159">
        <f t="shared" si="123"/>
        <v>0.9902283436989191</v>
      </c>
      <c r="AT73" s="159">
        <f t="shared" si="123"/>
        <v>1.6456463116970914</v>
      </c>
      <c r="AU73" s="159">
        <f t="shared" si="123"/>
        <v>1.5580261996322806</v>
      </c>
      <c r="AV73" s="159">
        <f t="shared" si="123"/>
        <v>1.4380686375654606</v>
      </c>
      <c r="AW73" s="159">
        <f t="shared" si="123"/>
        <v>1.2030120479461577</v>
      </c>
      <c r="AX73" s="159">
        <f t="shared" si="123"/>
        <v>1.9495092009643709</v>
      </c>
      <c r="AY73" s="159">
        <f t="shared" si="123"/>
        <v>1.2551571175787914</v>
      </c>
      <c r="AZ73" s="159">
        <f t="shared" si="123"/>
        <v>1.6657835133936802</v>
      </c>
      <c r="BA73" s="159">
        <f t="shared" si="123"/>
        <v>1.4289736578843881</v>
      </c>
      <c r="BB73" s="159">
        <f t="shared" si="123"/>
        <v>1.4906202589600526</v>
      </c>
      <c r="BC73" s="159">
        <f t="shared" si="109"/>
        <v>0.2467661745653475</v>
      </c>
      <c r="BD73" s="159">
        <f t="shared" si="109"/>
        <v>0.77264819630772974</v>
      </c>
      <c r="BE73" s="159">
        <f t="shared" si="109"/>
        <v>0.70283626574129432</v>
      </c>
      <c r="BF73" s="159">
        <f t="shared" si="109"/>
        <v>0.55767874116217153</v>
      </c>
      <c r="BG73" s="159">
        <f t="shared" si="109"/>
        <v>-0.26437461412898794</v>
      </c>
      <c r="BH73" s="159">
        <f t="shared" si="109"/>
        <v>0.21349545517699312</v>
      </c>
      <c r="BI73" s="159">
        <f t="shared" si="109"/>
        <v>0.382744747095767</v>
      </c>
      <c r="BJ73" s="159">
        <f t="shared" si="109"/>
        <v>1.1543439256059032</v>
      </c>
      <c r="BK73" s="159">
        <f t="shared" si="109"/>
        <v>1.0744554803459636</v>
      </c>
      <c r="BL73" s="159">
        <f t="shared" si="109"/>
        <v>0.73139338014055011</v>
      </c>
      <c r="BM73" s="159">
        <f t="shared" si="110"/>
        <v>0.88968764567423542</v>
      </c>
      <c r="BN73" s="159">
        <f t="shared" si="111"/>
        <v>1.2153277381005223</v>
      </c>
      <c r="BO73" s="159">
        <f t="shared" si="112"/>
        <v>1.0727887989347464</v>
      </c>
      <c r="BP73" s="159">
        <f t="shared" si="113"/>
        <v>1.0278809247031473</v>
      </c>
      <c r="BQ73" s="159">
        <f t="shared" si="114"/>
        <v>1.0287963154538011</v>
      </c>
      <c r="BR73" s="159">
        <f t="shared" si="115"/>
        <v>0.66253484235922222</v>
      </c>
      <c r="BS73" s="159">
        <f t="shared" si="116"/>
        <v>0.5400384844808771</v>
      </c>
      <c r="BT73" s="159">
        <f t="shared" si="117"/>
        <v>0.4850577151432573</v>
      </c>
      <c r="BU73" s="159">
        <f t="shared" si="118"/>
        <v>0.63460578828471448</v>
      </c>
      <c r="BV73" s="159">
        <f t="shared" si="119"/>
        <v>0.63467558065140395</v>
      </c>
      <c r="BW73" s="159">
        <f t="shared" si="120"/>
        <v>0.55016210116970388</v>
      </c>
      <c r="BX73" s="159">
        <f t="shared" si="121"/>
        <v>0.34385468864587404</v>
      </c>
      <c r="BY73" s="159">
        <f t="shared" si="122"/>
        <v>0.39163191862712066</v>
      </c>
    </row>
    <row r="74" spans="1:77">
      <c r="A74" s="152" t="s">
        <v>8</v>
      </c>
      <c r="B74" s="252"/>
      <c r="C74" s="156">
        <f t="shared" si="123"/>
        <v>1.9268976463238427</v>
      </c>
      <c r="D74" s="156">
        <f t="shared" si="123"/>
        <v>2.0921715052989875</v>
      </c>
      <c r="E74" s="156">
        <f t="shared" si="123"/>
        <v>1.5377237361743732</v>
      </c>
      <c r="F74" s="156">
        <f t="shared" si="123"/>
        <v>-1.5577391296727692</v>
      </c>
      <c r="G74" s="156">
        <f t="shared" si="123"/>
        <v>0.62541144514801761</v>
      </c>
      <c r="H74" s="156">
        <f t="shared" si="123"/>
        <v>0.83360850268889131</v>
      </c>
      <c r="I74" s="156">
        <f t="shared" si="123"/>
        <v>1.084518221220691</v>
      </c>
      <c r="J74" s="156">
        <f t="shared" si="123"/>
        <v>0.43948815993533807</v>
      </c>
      <c r="K74" s="156">
        <f t="shared" si="123"/>
        <v>-0.65270370623318463</v>
      </c>
      <c r="L74" s="156">
        <f t="shared" si="123"/>
        <v>-0.59897938553706132</v>
      </c>
      <c r="M74" s="156">
        <f t="shared" si="123"/>
        <v>-1.8887437293562439</v>
      </c>
      <c r="N74" s="156">
        <f t="shared" si="123"/>
        <v>1.9612631778812986</v>
      </c>
      <c r="O74" s="156">
        <f t="shared" si="123"/>
        <v>0.85517484197504667</v>
      </c>
      <c r="P74" s="156">
        <f t="shared" si="123"/>
        <v>0.37876878541957537</v>
      </c>
      <c r="Q74" s="156">
        <f t="shared" si="123"/>
        <v>2.7977646577780155E-2</v>
      </c>
      <c r="R74" s="156">
        <f t="shared" si="123"/>
        <v>2.9107734479153877</v>
      </c>
      <c r="S74" s="156">
        <f t="shared" si="123"/>
        <v>2.3216446525944332</v>
      </c>
      <c r="T74" s="156">
        <f t="shared" si="123"/>
        <v>2.5888848193816938</v>
      </c>
      <c r="U74" s="156">
        <f t="shared" si="123"/>
        <v>2.358269148127321</v>
      </c>
      <c r="V74" s="156">
        <f t="shared" si="123"/>
        <v>2.1645921984447472</v>
      </c>
      <c r="W74" s="156">
        <f t="shared" si="123"/>
        <v>1.8972865616128627</v>
      </c>
      <c r="X74" s="156">
        <f t="shared" si="123"/>
        <v>1.2953569950759647</v>
      </c>
      <c r="Y74" s="156">
        <f t="shared" si="123"/>
        <v>0.6151394666274137</v>
      </c>
      <c r="Z74" s="156">
        <f t="shared" si="123"/>
        <v>5.9997274637595366</v>
      </c>
      <c r="AA74" s="156">
        <f t="shared" si="123"/>
        <v>0.10466834852640108</v>
      </c>
      <c r="AB74" s="156">
        <f t="shared" si="123"/>
        <v>-1.256541129039462E-2</v>
      </c>
      <c r="AC74" s="156">
        <f t="shared" si="123"/>
        <v>0.24046015911238636</v>
      </c>
      <c r="AD74" s="156">
        <f t="shared" si="123"/>
        <v>0.89963559827927109</v>
      </c>
      <c r="AE74" s="156">
        <f t="shared" si="123"/>
        <v>0.82730611335986703</v>
      </c>
      <c r="AF74" s="156">
        <f t="shared" si="123"/>
        <v>0.59701563050714224</v>
      </c>
      <c r="AG74" s="156">
        <f t="shared" si="123"/>
        <v>1.6242350435634163</v>
      </c>
      <c r="AH74" s="156">
        <f t="shared" si="123"/>
        <v>0.91626703716783453</v>
      </c>
      <c r="AI74" s="156">
        <f t="shared" si="123"/>
        <v>0.41870283761560489</v>
      </c>
      <c r="AJ74" s="156">
        <f t="shared" si="123"/>
        <v>0.6649245063879089</v>
      </c>
      <c r="AK74" s="156">
        <f t="shared" si="123"/>
        <v>0.58196082955956396</v>
      </c>
      <c r="AL74" s="156">
        <f t="shared" si="123"/>
        <v>1.3871206606045998</v>
      </c>
      <c r="AM74" s="156">
        <f t="shared" si="123"/>
        <v>1.8805140713157875</v>
      </c>
      <c r="AN74" s="156">
        <f t="shared" si="123"/>
        <v>2.0824307059934455</v>
      </c>
      <c r="AO74" s="156">
        <f t="shared" si="123"/>
        <v>2.3969006252074556</v>
      </c>
      <c r="AP74" s="156">
        <f t="shared" si="123"/>
        <v>0.68458054786571232</v>
      </c>
      <c r="AQ74" s="156">
        <f t="shared" si="123"/>
        <v>1.5154660740583752</v>
      </c>
      <c r="AR74" s="156">
        <f t="shared" si="123"/>
        <v>1.4292403230889565</v>
      </c>
      <c r="AS74" s="156">
        <f t="shared" si="123"/>
        <v>1.9627490620226247</v>
      </c>
      <c r="AT74" s="156">
        <f t="shared" si="123"/>
        <v>1.5157973960565934</v>
      </c>
      <c r="AU74" s="156">
        <f t="shared" si="123"/>
        <v>1.4738521078434403</v>
      </c>
      <c r="AV74" s="156">
        <f t="shared" si="123"/>
        <v>1.4392854749386226</v>
      </c>
      <c r="AW74" s="156">
        <f t="shared" ref="AW74:AW81" si="124">(AW34-AV34)/AV34*100</f>
        <v>1.4092543276432263</v>
      </c>
      <c r="AX74" s="156">
        <f t="shared" ref="AX74:AX81" si="125">(AX34-AW34)/AW34*100</f>
        <v>1.6162375895570185</v>
      </c>
      <c r="AY74" s="156">
        <f t="shared" ref="AY74:AY81" si="126">(AY34-AX34)/AX34*100</f>
        <v>1.2122827194778425</v>
      </c>
      <c r="AZ74" s="156">
        <f t="shared" ref="AZ74:AZ81" si="127">(AZ34-AY34)/AY34*100</f>
        <v>1.1469510871322601</v>
      </c>
      <c r="BA74" s="156">
        <f t="shared" ref="BA74:BA81" si="128">(BA34-AZ34)/AZ34*100</f>
        <v>0.96223226926064542</v>
      </c>
      <c r="BB74" s="156">
        <f t="shared" ref="BB74:BB81" si="129">(BB34-BA34)/BA34*100</f>
        <v>0.90790618834124781</v>
      </c>
      <c r="BC74" s="156">
        <f t="shared" si="109"/>
        <v>-0.91190009242811421</v>
      </c>
      <c r="BD74" s="156">
        <f t="shared" si="109"/>
        <v>-1.4396272865645143</v>
      </c>
      <c r="BE74" s="156">
        <f t="shared" si="109"/>
        <v>-0.10530002030742028</v>
      </c>
      <c r="BF74" s="156">
        <f t="shared" si="109"/>
        <v>1.1494555565146785</v>
      </c>
      <c r="BG74" s="156">
        <f t="shared" si="109"/>
        <v>-0.50247608297366797</v>
      </c>
      <c r="BH74" s="156">
        <f t="shared" si="109"/>
        <v>0.44094078933626951</v>
      </c>
      <c r="BI74" s="156">
        <f t="shared" si="109"/>
        <v>0.46644403062534207</v>
      </c>
      <c r="BJ74" s="156">
        <f t="shared" si="109"/>
        <v>1.523522564066204</v>
      </c>
      <c r="BK74" s="156">
        <f t="shared" si="109"/>
        <v>1.6830003503760615</v>
      </c>
      <c r="BL74" s="156">
        <f t="shared" si="109"/>
        <v>1.136424786991248</v>
      </c>
      <c r="BM74" s="156">
        <f t="shared" si="110"/>
        <v>1.2184081857755984</v>
      </c>
      <c r="BN74" s="156">
        <f t="shared" si="111"/>
        <v>1.1931564066702591</v>
      </c>
      <c r="BO74" s="156">
        <f t="shared" si="112"/>
        <v>1.2356137865804029</v>
      </c>
      <c r="BP74" s="156">
        <f t="shared" si="113"/>
        <v>1.3437552080413853</v>
      </c>
      <c r="BQ74" s="156">
        <f t="shared" si="114"/>
        <v>1.1945967883754847</v>
      </c>
      <c r="BR74" s="156">
        <f t="shared" si="115"/>
        <v>0.90331160141273059</v>
      </c>
      <c r="BS74" s="156">
        <f t="shared" si="116"/>
        <v>0.7230302958159881</v>
      </c>
      <c r="BT74" s="156">
        <f t="shared" si="117"/>
        <v>0.53030723189161377</v>
      </c>
      <c r="BU74" s="156">
        <f t="shared" si="118"/>
        <v>0.43611431920572874</v>
      </c>
      <c r="BV74" s="156">
        <f t="shared" si="119"/>
        <v>1.1508447782594891</v>
      </c>
      <c r="BW74" s="156">
        <f t="shared" si="120"/>
        <v>0.75884726639842104</v>
      </c>
      <c r="BX74" s="156">
        <f t="shared" si="121"/>
        <v>0.33128082015740495</v>
      </c>
      <c r="BY74" s="156">
        <f t="shared" si="122"/>
        <v>0.5779924553144471</v>
      </c>
    </row>
    <row r="75" spans="1:77">
      <c r="A75" s="152" t="s">
        <v>9</v>
      </c>
      <c r="B75" s="252"/>
      <c r="C75" s="156">
        <f t="shared" ref="C75:Z81" si="130">(C35-B35)/B35*100</f>
        <v>2.7037174159885038</v>
      </c>
      <c r="D75" s="156">
        <f t="shared" si="130"/>
        <v>2.5018396796366336</v>
      </c>
      <c r="E75" s="156">
        <f t="shared" si="130"/>
        <v>2.1266965688954782</v>
      </c>
      <c r="F75" s="156">
        <f t="shared" si="130"/>
        <v>-1.0132334076163385</v>
      </c>
      <c r="G75" s="156">
        <f t="shared" si="130"/>
        <v>1.3338391619093757</v>
      </c>
      <c r="H75" s="156">
        <f t="shared" si="130"/>
        <v>1.5860199880349115</v>
      </c>
      <c r="I75" s="156">
        <f t="shared" si="130"/>
        <v>0.62030212801300311</v>
      </c>
      <c r="J75" s="156">
        <f t="shared" si="130"/>
        <v>0.56977941378972929</v>
      </c>
      <c r="K75" s="156">
        <f t="shared" si="130"/>
        <v>2.0862697174941744</v>
      </c>
      <c r="L75" s="156">
        <f t="shared" si="130"/>
        <v>2.2557641982762267</v>
      </c>
      <c r="M75" s="156">
        <f t="shared" si="130"/>
        <v>2.3305128786315201</v>
      </c>
      <c r="N75" s="156">
        <f t="shared" si="130"/>
        <v>0.48978676855002745</v>
      </c>
      <c r="O75" s="156">
        <f t="shared" si="130"/>
        <v>0.8328194309964031</v>
      </c>
      <c r="P75" s="156">
        <f t="shared" si="130"/>
        <v>-0.47142303203923003</v>
      </c>
      <c r="Q75" s="156">
        <f t="shared" si="130"/>
        <v>0.90245824482021297</v>
      </c>
      <c r="R75" s="156">
        <f t="shared" si="130"/>
        <v>-0.39854108474606093</v>
      </c>
      <c r="S75" s="156">
        <f t="shared" si="130"/>
        <v>2.2576953329558389</v>
      </c>
      <c r="T75" s="156">
        <f t="shared" si="130"/>
        <v>2.1559587940765401</v>
      </c>
      <c r="U75" s="156">
        <f t="shared" si="130"/>
        <v>1.9266070421536112</v>
      </c>
      <c r="V75" s="156">
        <f t="shared" si="130"/>
        <v>0.61877175445785781</v>
      </c>
      <c r="W75" s="156">
        <f t="shared" si="130"/>
        <v>2.2274569929457702</v>
      </c>
      <c r="X75" s="156">
        <f t="shared" si="130"/>
        <v>1.4724797751302341</v>
      </c>
      <c r="Y75" s="156">
        <f t="shared" si="130"/>
        <v>0.85035678278828597</v>
      </c>
      <c r="Z75" s="156">
        <f t="shared" si="130"/>
        <v>-0.49749594707739875</v>
      </c>
      <c r="AA75" s="156">
        <f t="shared" ref="AA75:AA81" si="131">(AA35-Z35)/Z35*100</f>
        <v>1.5052388831583923</v>
      </c>
      <c r="AB75" s="156">
        <f t="shared" ref="AB75:AB81" si="132">(AB35-AA35)/AA35*100</f>
        <v>2.1192082301559751</v>
      </c>
      <c r="AC75" s="156">
        <f t="shared" ref="AC75:AC81" si="133">(AC35-AB35)/AB35*100</f>
        <v>2.5300180275762134</v>
      </c>
      <c r="AD75" s="156">
        <f t="shared" ref="AD75:AD81" si="134">(AD35-AC35)/AC35*100</f>
        <v>2.7637983624877926</v>
      </c>
      <c r="AE75" s="156">
        <f t="shared" ref="AE75:AE81" si="135">(AE35-AD35)/AD35*100</f>
        <v>2.2827327572150611</v>
      </c>
      <c r="AF75" s="156">
        <f t="shared" ref="AF75:AF81" si="136">(AF35-AE35)/AE35*100</f>
        <v>1.7109801886504339</v>
      </c>
      <c r="AG75" s="156">
        <f t="shared" ref="AG75:AG81" si="137">(AG35-AF35)/AF35*100</f>
        <v>1.5529778191282786</v>
      </c>
      <c r="AH75" s="156">
        <f t="shared" ref="AH75:AH81" si="138">(AH35-AG35)/AG35*100</f>
        <v>2.414347039432045</v>
      </c>
      <c r="AI75" s="156">
        <f t="shared" ref="AI75:AI81" si="139">(AI35-AH35)/AH35*100</f>
        <v>1.155607883616645</v>
      </c>
      <c r="AJ75" s="156">
        <f t="shared" ref="AJ75:AJ81" si="140">(AJ35-AI35)/AI35*100</f>
        <v>1.0586987890335509</v>
      </c>
      <c r="AK75" s="156">
        <f t="shared" ref="AK75:AK81" si="141">(AK35-AJ35)/AJ35*100</f>
        <v>1.7173510038259672</v>
      </c>
      <c r="AL75" s="156">
        <f t="shared" ref="AL75:AL81" si="142">(AL35-AK35)/AK35*100</f>
        <v>0.54617794455797974</v>
      </c>
      <c r="AM75" s="156">
        <f t="shared" ref="AM75:AM81" si="143">(AM35-AL35)/AL35*100</f>
        <v>0.97039637964551084</v>
      </c>
      <c r="AN75" s="156">
        <f t="shared" ref="AN75:AN81" si="144">(AN35-AM35)/AM35*100</f>
        <v>1.4039386376087946</v>
      </c>
      <c r="AO75" s="156">
        <f t="shared" ref="AO75:AO81" si="145">(AO35-AN35)/AN35*100</f>
        <v>1.3094603822573772</v>
      </c>
      <c r="AP75" s="156">
        <f t="shared" ref="AP75:AP81" si="146">(AP35-AO35)/AO35*100</f>
        <v>1.7593197919168722</v>
      </c>
      <c r="AQ75" s="156">
        <f t="shared" ref="AQ75:AQ81" si="147">(AQ35-AP35)/AP35*100</f>
        <v>1.4730621980421681</v>
      </c>
      <c r="AR75" s="156">
        <f t="shared" ref="AR75:AR81" si="148">(AR35-AQ35)/AQ35*100</f>
        <v>1.3526718196197065</v>
      </c>
      <c r="AS75" s="156">
        <f t="shared" ref="AS75:AS81" si="149">(AS35-AR35)/AR35*100</f>
        <v>1.2821703946189666</v>
      </c>
      <c r="AT75" s="156">
        <f t="shared" ref="AT75:AT81" si="150">(AT35-AS35)/AS35*100</f>
        <v>1.4866685889365161</v>
      </c>
      <c r="AU75" s="156">
        <f t="shared" ref="AU75:AU81" si="151">(AU35-AT35)/AT35*100</f>
        <v>1.2498093746100956</v>
      </c>
      <c r="AV75" s="156">
        <f t="shared" ref="AV75:AV81" si="152">(AV35-AU35)/AU35*100</f>
        <v>0.98517783178722118</v>
      </c>
      <c r="AW75" s="156">
        <f t="shared" si="124"/>
        <v>0.74099685432257889</v>
      </c>
      <c r="AX75" s="156">
        <f t="shared" si="125"/>
        <v>2.7888246200137097</v>
      </c>
      <c r="AY75" s="156">
        <f t="shared" si="126"/>
        <v>2.3705818880438057</v>
      </c>
      <c r="AZ75" s="156">
        <f t="shared" si="127"/>
        <v>1.5000867659440202</v>
      </c>
      <c r="BA75" s="156">
        <f t="shared" si="128"/>
        <v>1.0935570682286164</v>
      </c>
      <c r="BB75" s="156">
        <f t="shared" si="129"/>
        <v>0.88190007166566509</v>
      </c>
      <c r="BC75" s="156">
        <f t="shared" si="109"/>
        <v>0.77150368817002768</v>
      </c>
      <c r="BD75" s="156">
        <f t="shared" si="109"/>
        <v>0.8178231224494884</v>
      </c>
      <c r="BE75" s="156">
        <f t="shared" si="109"/>
        <v>0.44010655818514516</v>
      </c>
      <c r="BF75" s="156">
        <f t="shared" si="109"/>
        <v>0.26129651596592823</v>
      </c>
      <c r="BG75" s="156">
        <f t="shared" si="109"/>
        <v>-9.2934235549140834E-2</v>
      </c>
      <c r="BH75" s="156">
        <f t="shared" si="109"/>
        <v>0.57363439039808617</v>
      </c>
      <c r="BI75" s="156">
        <f t="shared" si="109"/>
        <v>0.70458045812467718</v>
      </c>
      <c r="BJ75" s="156">
        <f t="shared" si="109"/>
        <v>0.86305665970026824</v>
      </c>
      <c r="BK75" s="156">
        <f t="shared" si="109"/>
        <v>0.71089500667512651</v>
      </c>
      <c r="BL75" s="156">
        <f t="shared" si="109"/>
        <v>0.57349040904312842</v>
      </c>
      <c r="BM75" s="156">
        <f t="shared" si="110"/>
        <v>0.69284403152235374</v>
      </c>
      <c r="BN75" s="156">
        <f t="shared" si="111"/>
        <v>0.71924569964481366</v>
      </c>
      <c r="BO75" s="156">
        <f t="shared" si="112"/>
        <v>1.0024585095371026</v>
      </c>
      <c r="BP75" s="156">
        <f t="shared" si="113"/>
        <v>0.49865593526460772</v>
      </c>
      <c r="BQ75" s="156">
        <f t="shared" si="114"/>
        <v>0.6653854384341451</v>
      </c>
      <c r="BR75" s="156">
        <f t="shared" si="115"/>
        <v>0.80403331766122288</v>
      </c>
      <c r="BS75" s="156">
        <f t="shared" si="116"/>
        <v>0.59170632178289773</v>
      </c>
      <c r="BT75" s="156">
        <f t="shared" si="117"/>
        <v>0.33798932990687214</v>
      </c>
      <c r="BU75" s="156">
        <f t="shared" si="118"/>
        <v>0.50184236057187925</v>
      </c>
      <c r="BV75" s="156">
        <f t="shared" si="119"/>
        <v>0.31357666336695489</v>
      </c>
      <c r="BW75" s="156">
        <f t="shared" si="120"/>
        <v>0.37383069428942689</v>
      </c>
      <c r="BX75" s="156">
        <f t="shared" si="121"/>
        <v>0.64107635692776754</v>
      </c>
      <c r="BY75" s="156">
        <f t="shared" si="122"/>
        <v>0.38820408032130993</v>
      </c>
    </row>
    <row r="76" spans="1:77">
      <c r="A76" s="152" t="s">
        <v>10</v>
      </c>
      <c r="B76" s="252"/>
      <c r="C76" s="156">
        <f t="shared" si="130"/>
        <v>0.61474651607021191</v>
      </c>
      <c r="D76" s="156">
        <f t="shared" si="130"/>
        <v>0.82112798506455664</v>
      </c>
      <c r="E76" s="156">
        <f t="shared" si="130"/>
        <v>0.55266818991907307</v>
      </c>
      <c r="F76" s="156">
        <f t="shared" si="130"/>
        <v>2.1330037489404883</v>
      </c>
      <c r="G76" s="156">
        <f t="shared" si="130"/>
        <v>2.3674894982772186</v>
      </c>
      <c r="H76" s="156">
        <f t="shared" si="130"/>
        <v>2.3866699285230433</v>
      </c>
      <c r="I76" s="156">
        <f t="shared" si="130"/>
        <v>2.3061885109110913</v>
      </c>
      <c r="J76" s="156">
        <f t="shared" si="130"/>
        <v>5.1161809670355093E-2</v>
      </c>
      <c r="K76" s="156">
        <f t="shared" si="130"/>
        <v>0.540323008660337</v>
      </c>
      <c r="L76" s="156">
        <f t="shared" si="130"/>
        <v>0.30950549335094335</v>
      </c>
      <c r="M76" s="156">
        <f t="shared" si="130"/>
        <v>0.40526952569361724</v>
      </c>
      <c r="N76" s="156">
        <f t="shared" si="130"/>
        <v>0.37889181860060439</v>
      </c>
      <c r="O76" s="156">
        <f t="shared" si="130"/>
        <v>1.4088488927463751</v>
      </c>
      <c r="P76" s="156">
        <f t="shared" si="130"/>
        <v>0.73320263250226725</v>
      </c>
      <c r="Q76" s="156">
        <f t="shared" si="130"/>
        <v>3.9302473024883648E-2</v>
      </c>
      <c r="R76" s="156">
        <f t="shared" si="130"/>
        <v>3.688892834662584</v>
      </c>
      <c r="S76" s="156">
        <f t="shared" si="130"/>
        <v>1.1037662057649984</v>
      </c>
      <c r="T76" s="156">
        <f t="shared" si="130"/>
        <v>1.1083558941295553</v>
      </c>
      <c r="U76" s="156">
        <f t="shared" si="130"/>
        <v>0.64277965312975449</v>
      </c>
      <c r="V76" s="156">
        <f t="shared" si="130"/>
        <v>-1.4186195397192232</v>
      </c>
      <c r="W76" s="156">
        <f t="shared" si="130"/>
        <v>0.37480123627937861</v>
      </c>
      <c r="X76" s="156">
        <f t="shared" si="130"/>
        <v>1.2093593912866312</v>
      </c>
      <c r="Y76" s="156">
        <f t="shared" si="130"/>
        <v>1.7145149804072206</v>
      </c>
      <c r="Z76" s="156">
        <f t="shared" si="130"/>
        <v>0.42335472148156988</v>
      </c>
      <c r="AA76" s="156">
        <f t="shared" si="131"/>
        <v>2.2499757877776716</v>
      </c>
      <c r="AB76" s="156">
        <f t="shared" si="132"/>
        <v>1.9687948025780371</v>
      </c>
      <c r="AC76" s="156">
        <f t="shared" si="133"/>
        <v>1.9800550493810569</v>
      </c>
      <c r="AD76" s="156">
        <f t="shared" si="134"/>
        <v>1.0964437507182465</v>
      </c>
      <c r="AE76" s="156">
        <f t="shared" si="135"/>
        <v>1.3084013780316399</v>
      </c>
      <c r="AF76" s="156">
        <f t="shared" si="136"/>
        <v>-0.36243611414142551</v>
      </c>
      <c r="AG76" s="156">
        <f t="shared" si="137"/>
        <v>0.28153875770022468</v>
      </c>
      <c r="AH76" s="156">
        <f t="shared" si="138"/>
        <v>3.1488562952563934</v>
      </c>
      <c r="AI76" s="156">
        <f t="shared" si="139"/>
        <v>1.3563082788713523</v>
      </c>
      <c r="AJ76" s="156">
        <f t="shared" si="140"/>
        <v>1.5088972909223575</v>
      </c>
      <c r="AK76" s="156">
        <f t="shared" si="141"/>
        <v>0.86947937549357934</v>
      </c>
      <c r="AL76" s="156">
        <f t="shared" si="142"/>
        <v>2.9895390158051329</v>
      </c>
      <c r="AM76" s="156">
        <f t="shared" si="143"/>
        <v>1.9302786146508113</v>
      </c>
      <c r="AN76" s="156">
        <f t="shared" si="144"/>
        <v>1.0048627022833574</v>
      </c>
      <c r="AO76" s="156">
        <f t="shared" si="145"/>
        <v>1.4467864203325398</v>
      </c>
      <c r="AP76" s="156">
        <f t="shared" si="146"/>
        <v>5.6575599191500094</v>
      </c>
      <c r="AQ76" s="156">
        <f t="shared" si="147"/>
        <v>1.9102173553222925</v>
      </c>
      <c r="AR76" s="156">
        <f t="shared" si="148"/>
        <v>1.833552894340722</v>
      </c>
      <c r="AS76" s="156">
        <f t="shared" si="149"/>
        <v>0.66303973122647197</v>
      </c>
      <c r="AT76" s="156">
        <f t="shared" si="150"/>
        <v>2.0158343251142954</v>
      </c>
      <c r="AU76" s="156">
        <f t="shared" si="151"/>
        <v>2.5933198587729804</v>
      </c>
      <c r="AV76" s="156">
        <f t="shared" si="152"/>
        <v>2.5121806001926212</v>
      </c>
      <c r="AW76" s="156">
        <f t="shared" si="124"/>
        <v>1.4629503490889735</v>
      </c>
      <c r="AX76" s="156">
        <f t="shared" si="125"/>
        <v>1.7552290054464876</v>
      </c>
      <c r="AY76" s="156">
        <f t="shared" si="126"/>
        <v>1.2228204901874211</v>
      </c>
      <c r="AZ76" s="156">
        <f t="shared" si="127"/>
        <v>2.6672402667240291</v>
      </c>
      <c r="BA76" s="156">
        <f t="shared" si="128"/>
        <v>2.1811881019926274</v>
      </c>
      <c r="BB76" s="156">
        <f t="shared" si="129"/>
        <v>2.2169154296878726</v>
      </c>
      <c r="BC76" s="156">
        <f t="shared" si="109"/>
        <v>0.5322119738204758</v>
      </c>
      <c r="BD76" s="156">
        <f t="shared" si="109"/>
        <v>1.9120768282717697</v>
      </c>
      <c r="BE76" s="156">
        <f t="shared" si="109"/>
        <v>1.4668250897745663</v>
      </c>
      <c r="BF76" s="156">
        <f t="shared" si="109"/>
        <v>8.4945506480016406E-2</v>
      </c>
      <c r="BG76" s="156">
        <f t="shared" si="109"/>
        <v>-1.1132152989693314</v>
      </c>
      <c r="BH76" s="156">
        <f t="shared" si="109"/>
        <v>0.15645763580077399</v>
      </c>
      <c r="BI76" s="156">
        <f t="shared" si="109"/>
        <v>0.49501671595374502</v>
      </c>
      <c r="BJ76" s="156">
        <f t="shared" si="109"/>
        <v>1.1143112305963714</v>
      </c>
      <c r="BK76" s="156">
        <f t="shared" si="109"/>
        <v>0.95030342750403274</v>
      </c>
      <c r="BL76" s="156">
        <f t="shared" si="109"/>
        <v>0.4906354868159864</v>
      </c>
      <c r="BM76" s="156">
        <f t="shared" si="110"/>
        <v>0.73390507542998262</v>
      </c>
      <c r="BN76" s="156">
        <f t="shared" si="111"/>
        <v>1.7495813591619385</v>
      </c>
      <c r="BO76" s="156">
        <f t="shared" si="112"/>
        <v>1.1926422797345828</v>
      </c>
      <c r="BP76" s="156">
        <f t="shared" si="113"/>
        <v>1.5022784007410861</v>
      </c>
      <c r="BQ76" s="156">
        <f t="shared" si="114"/>
        <v>1.1856235542638911</v>
      </c>
      <c r="BR76" s="156">
        <f t="shared" si="115"/>
        <v>0.72706889670460373</v>
      </c>
      <c r="BS76" s="156">
        <f t="shared" si="116"/>
        <v>0.48760107009545167</v>
      </c>
      <c r="BT76" s="156">
        <f t="shared" si="117"/>
        <v>0.28371304190975721</v>
      </c>
      <c r="BU76" s="156">
        <f t="shared" si="118"/>
        <v>0.56700847752500205</v>
      </c>
      <c r="BV76" s="156">
        <f t="shared" si="119"/>
        <v>0.89158052558364254</v>
      </c>
      <c r="BW76" s="156">
        <f t="shared" si="120"/>
        <v>0.87000735745515845</v>
      </c>
      <c r="BX76" s="156">
        <f t="shared" si="121"/>
        <v>0.29152758129671219</v>
      </c>
      <c r="BY76" s="156">
        <f t="shared" si="122"/>
        <v>0.37684193947365313</v>
      </c>
    </row>
    <row r="77" spans="1:77">
      <c r="A77" s="152" t="s">
        <v>11</v>
      </c>
      <c r="B77" s="252"/>
      <c r="C77" s="156">
        <f t="shared" si="130"/>
        <v>1.6715443128373568</v>
      </c>
      <c r="D77" s="156">
        <f t="shared" si="130"/>
        <v>0.83615762599399934</v>
      </c>
      <c r="E77" s="156">
        <f t="shared" si="130"/>
        <v>0.45148390420539858</v>
      </c>
      <c r="F77" s="156">
        <f t="shared" si="130"/>
        <v>2.751348064072515</v>
      </c>
      <c r="G77" s="156">
        <f t="shared" si="130"/>
        <v>-1.547582980657392</v>
      </c>
      <c r="H77" s="156">
        <f t="shared" si="130"/>
        <v>-0.53135240783672411</v>
      </c>
      <c r="I77" s="156">
        <f t="shared" si="130"/>
        <v>0.49206451952387414</v>
      </c>
      <c r="J77" s="156">
        <f t="shared" si="130"/>
        <v>-0.23807797297291472</v>
      </c>
      <c r="K77" s="156">
        <f t="shared" si="130"/>
        <v>0.27068045304698113</v>
      </c>
      <c r="L77" s="156">
        <f t="shared" si="130"/>
        <v>0.40303058060889391</v>
      </c>
      <c r="M77" s="156">
        <f t="shared" si="130"/>
        <v>0.10100643208412032</v>
      </c>
      <c r="N77" s="156">
        <f t="shared" si="130"/>
        <v>2.9326664436278662</v>
      </c>
      <c r="O77" s="156">
        <f t="shared" si="130"/>
        <v>2.0889309692768046</v>
      </c>
      <c r="P77" s="156">
        <f t="shared" si="130"/>
        <v>1.8370240286042026</v>
      </c>
      <c r="Q77" s="156">
        <f t="shared" si="130"/>
        <v>1.2825508686355045</v>
      </c>
      <c r="R77" s="156">
        <f t="shared" si="130"/>
        <v>0.21375989569918558</v>
      </c>
      <c r="S77" s="156">
        <f t="shared" si="130"/>
        <v>0.6287158677308069</v>
      </c>
      <c r="T77" s="156">
        <f t="shared" si="130"/>
        <v>0.78252373020192967</v>
      </c>
      <c r="U77" s="156">
        <f t="shared" si="130"/>
        <v>0.7571269891786051</v>
      </c>
      <c r="V77" s="156">
        <f t="shared" si="130"/>
        <v>1.5523388798873075</v>
      </c>
      <c r="W77" s="156">
        <f t="shared" si="130"/>
        <v>1.2578821257155053</v>
      </c>
      <c r="X77" s="156">
        <f t="shared" si="130"/>
        <v>1.4582617114400933</v>
      </c>
      <c r="Y77" s="156">
        <f t="shared" si="130"/>
        <v>1.1231829700110212</v>
      </c>
      <c r="Z77" s="156">
        <f t="shared" si="130"/>
        <v>0.18077038227753761</v>
      </c>
      <c r="AA77" s="156">
        <f t="shared" si="131"/>
        <v>4.0305591681669313E-2</v>
      </c>
      <c r="AB77" s="156">
        <f t="shared" si="132"/>
        <v>0.25600943527970554</v>
      </c>
      <c r="AC77" s="156">
        <f t="shared" si="133"/>
        <v>0.40680125368766762</v>
      </c>
      <c r="AD77" s="156">
        <f t="shared" si="134"/>
        <v>0.42651227205606784</v>
      </c>
      <c r="AE77" s="156">
        <f t="shared" si="135"/>
        <v>0.85204347816503234</v>
      </c>
      <c r="AF77" s="156">
        <f t="shared" si="136"/>
        <v>1.0435940822433414</v>
      </c>
      <c r="AG77" s="156">
        <f t="shared" si="137"/>
        <v>1.418955205283936</v>
      </c>
      <c r="AH77" s="156">
        <f t="shared" si="138"/>
        <v>1.8697292366529696</v>
      </c>
      <c r="AI77" s="156">
        <f t="shared" si="139"/>
        <v>1.535170351642724</v>
      </c>
      <c r="AJ77" s="156">
        <f t="shared" si="140"/>
        <v>1.1001508367850112</v>
      </c>
      <c r="AK77" s="156">
        <f t="shared" si="141"/>
        <v>0.37062034504400043</v>
      </c>
      <c r="AL77" s="156">
        <f t="shared" si="142"/>
        <v>0.24064902200305552</v>
      </c>
      <c r="AM77" s="156">
        <f t="shared" si="143"/>
        <v>-0.22836425275449887</v>
      </c>
      <c r="AN77" s="156">
        <f t="shared" si="144"/>
        <v>0.59699379409613473</v>
      </c>
      <c r="AO77" s="156">
        <f t="shared" si="145"/>
        <v>0.74826421467442528</v>
      </c>
      <c r="AP77" s="156">
        <f t="shared" si="146"/>
        <v>0.5791248409766655</v>
      </c>
      <c r="AQ77" s="156">
        <f t="shared" si="147"/>
        <v>1.4224710073550146</v>
      </c>
      <c r="AR77" s="156">
        <f t="shared" si="148"/>
        <v>1.2411170382948349</v>
      </c>
      <c r="AS77" s="156">
        <f t="shared" si="149"/>
        <v>1.0451697440984298</v>
      </c>
      <c r="AT77" s="156">
        <f t="shared" si="150"/>
        <v>1.8788700255486643</v>
      </c>
      <c r="AU77" s="156">
        <f t="shared" si="151"/>
        <v>1.1579809004092576</v>
      </c>
      <c r="AV77" s="156">
        <f t="shared" si="152"/>
        <v>1.0379129534125979</v>
      </c>
      <c r="AW77" s="156">
        <f t="shared" si="124"/>
        <v>0.73146249786435336</v>
      </c>
      <c r="AX77" s="156">
        <f t="shared" si="125"/>
        <v>1.5830317774843388</v>
      </c>
      <c r="AY77" s="156">
        <f t="shared" si="126"/>
        <v>1.5386605196457752</v>
      </c>
      <c r="AZ77" s="156">
        <f t="shared" si="127"/>
        <v>1.6777307347154853</v>
      </c>
      <c r="BA77" s="156">
        <f t="shared" si="128"/>
        <v>1.8226050550911512</v>
      </c>
      <c r="BB77" s="156">
        <f t="shared" si="129"/>
        <v>0.35001282819695806</v>
      </c>
      <c r="BC77" s="156">
        <f t="shared" si="109"/>
        <v>0.3820643023106039</v>
      </c>
      <c r="BD77" s="156">
        <f t="shared" si="109"/>
        <v>0.78580747126860229</v>
      </c>
      <c r="BE77" s="156">
        <f t="shared" si="109"/>
        <v>0.48498285239200178</v>
      </c>
      <c r="BF77" s="156">
        <f t="shared" si="109"/>
        <v>0.17405009733291177</v>
      </c>
      <c r="BG77" s="156">
        <f t="shared" si="109"/>
        <v>-0.34790465741861631</v>
      </c>
      <c r="BH77" s="156">
        <f t="shared" si="109"/>
        <v>-1.0297705263142913</v>
      </c>
      <c r="BI77" s="156">
        <f t="shared" si="109"/>
        <v>-1.0743202728379486</v>
      </c>
      <c r="BJ77" s="156">
        <f t="shared" si="109"/>
        <v>0.81924717172043737</v>
      </c>
      <c r="BK77" s="156">
        <f t="shared" si="109"/>
        <v>1.0237873083369535</v>
      </c>
      <c r="BL77" s="156">
        <f t="shared" si="109"/>
        <v>0.71864763965917144</v>
      </c>
      <c r="BM77" s="156">
        <f t="shared" si="110"/>
        <v>0.56827813155535178</v>
      </c>
      <c r="BN77" s="156">
        <f t="shared" si="111"/>
        <v>0.68432242935343202</v>
      </c>
      <c r="BO77" s="156">
        <f t="shared" si="112"/>
        <v>0.5863188662738873</v>
      </c>
      <c r="BP77" s="156">
        <f t="shared" si="113"/>
        <v>0.45595972948774682</v>
      </c>
      <c r="BQ77" s="156">
        <f t="shared" si="114"/>
        <v>0.55750722261462415</v>
      </c>
      <c r="BR77" s="156">
        <f t="shared" si="115"/>
        <v>0.60265139943991608</v>
      </c>
      <c r="BS77" s="156">
        <f t="shared" si="116"/>
        <v>0.53812112081267294</v>
      </c>
      <c r="BT77" s="156">
        <f t="shared" si="117"/>
        <v>0.58246452080580013</v>
      </c>
      <c r="BU77" s="156">
        <f t="shared" si="118"/>
        <v>0.59283559210411396</v>
      </c>
      <c r="BV77" s="156">
        <f t="shared" si="119"/>
        <v>0.53610026821818724</v>
      </c>
      <c r="BW77" s="156">
        <f t="shared" si="120"/>
        <v>0.39569325786341336</v>
      </c>
      <c r="BX77" s="156">
        <f t="shared" si="121"/>
        <v>0.38806201456194767</v>
      </c>
      <c r="BY77" s="156">
        <f t="shared" si="122"/>
        <v>0.32506901094442725</v>
      </c>
    </row>
    <row r="78" spans="1:77">
      <c r="A78" s="149" t="s">
        <v>12</v>
      </c>
      <c r="B78" s="253"/>
      <c r="C78" s="157">
        <f t="shared" si="130"/>
        <v>9.014545125789887E-2</v>
      </c>
      <c r="D78" s="157">
        <f t="shared" si="130"/>
        <v>7.1737232278086718E-2</v>
      </c>
      <c r="E78" s="157">
        <f t="shared" si="130"/>
        <v>7.063929873491448E-2</v>
      </c>
      <c r="F78" s="157">
        <f t="shared" si="130"/>
        <v>2.6248097804624404</v>
      </c>
      <c r="G78" s="157">
        <f t="shared" si="130"/>
        <v>0.78853593259677868</v>
      </c>
      <c r="H78" s="157">
        <f t="shared" si="130"/>
        <v>0.62285653402289876</v>
      </c>
      <c r="I78" s="157">
        <f t="shared" si="130"/>
        <v>0.44329089008066241</v>
      </c>
      <c r="J78" s="157">
        <f t="shared" si="130"/>
        <v>-3.0122938641368018</v>
      </c>
      <c r="K78" s="157">
        <f t="shared" si="130"/>
        <v>-0.14285242298984802</v>
      </c>
      <c r="L78" s="157">
        <f t="shared" si="130"/>
        <v>-0.18633023811232485</v>
      </c>
      <c r="M78" s="157">
        <f t="shared" si="130"/>
        <v>-0.10762034034760321</v>
      </c>
      <c r="N78" s="157">
        <f t="shared" si="130"/>
        <v>2.5387012069085442</v>
      </c>
      <c r="O78" s="157">
        <f t="shared" si="130"/>
        <v>-0.25157779416895548</v>
      </c>
      <c r="P78" s="157">
        <f t="shared" si="130"/>
        <v>-0.323980033192595</v>
      </c>
      <c r="Q78" s="157">
        <f t="shared" si="130"/>
        <v>-0.18463112988849981</v>
      </c>
      <c r="R78" s="157">
        <f t="shared" si="130"/>
        <v>-2.7158982512364918</v>
      </c>
      <c r="S78" s="157">
        <f t="shared" si="130"/>
        <v>-0.1773623282930383</v>
      </c>
      <c r="T78" s="157">
        <f t="shared" si="130"/>
        <v>-0.34657435014080606</v>
      </c>
      <c r="U78" s="157">
        <f t="shared" si="130"/>
        <v>-0.47839140243058365</v>
      </c>
      <c r="V78" s="157">
        <f t="shared" si="130"/>
        <v>0.69441115977216861</v>
      </c>
      <c r="W78" s="157">
        <f t="shared" si="130"/>
        <v>-0.18063012336015269</v>
      </c>
      <c r="X78" s="157">
        <f t="shared" si="130"/>
        <v>-0.32799822578510929</v>
      </c>
      <c r="Y78" s="157">
        <f t="shared" si="130"/>
        <v>-0.42185236365345707</v>
      </c>
      <c r="Z78" s="157">
        <f t="shared" si="130"/>
        <v>2.1762991268481935</v>
      </c>
      <c r="AA78" s="157">
        <f t="shared" si="131"/>
        <v>-0.43115868001529806</v>
      </c>
      <c r="AB78" s="157">
        <f t="shared" si="132"/>
        <v>-0.61612770838375508</v>
      </c>
      <c r="AC78" s="157">
        <f t="shared" si="133"/>
        <v>-0.2673556147326121</v>
      </c>
      <c r="AD78" s="157">
        <f t="shared" si="134"/>
        <v>0.45866547973450711</v>
      </c>
      <c r="AE78" s="157">
        <f t="shared" si="135"/>
        <v>0.44148947379511738</v>
      </c>
      <c r="AF78" s="157">
        <f t="shared" si="136"/>
        <v>0.37870443220561728</v>
      </c>
      <c r="AG78" s="157">
        <f t="shared" si="137"/>
        <v>0.22678343749344226</v>
      </c>
      <c r="AH78" s="157">
        <f t="shared" si="138"/>
        <v>0.79928921318818424</v>
      </c>
      <c r="AI78" s="157">
        <f t="shared" si="139"/>
        <v>0.61260074993443525</v>
      </c>
      <c r="AJ78" s="157">
        <f t="shared" si="140"/>
        <v>0.62829741114881554</v>
      </c>
      <c r="AK78" s="157">
        <f t="shared" si="141"/>
        <v>0.54512109003896891</v>
      </c>
      <c r="AL78" s="157">
        <f t="shared" si="142"/>
        <v>-0.60513123399665147</v>
      </c>
      <c r="AM78" s="157">
        <f t="shared" si="143"/>
        <v>0.70118853225617728</v>
      </c>
      <c r="AN78" s="157">
        <f t="shared" si="144"/>
        <v>0.49097864393506802</v>
      </c>
      <c r="AO78" s="157">
        <f t="shared" si="145"/>
        <v>1.2204504126451252</v>
      </c>
      <c r="AP78" s="157">
        <f t="shared" si="146"/>
        <v>1.9371455991444761</v>
      </c>
      <c r="AQ78" s="157">
        <f t="shared" si="147"/>
        <v>1.1661253206359561</v>
      </c>
      <c r="AR78" s="157">
        <f t="shared" si="148"/>
        <v>0.57634179273944264</v>
      </c>
      <c r="AS78" s="157">
        <f t="shared" si="149"/>
        <v>7.6278087021762484E-3</v>
      </c>
      <c r="AT78" s="157">
        <f t="shared" si="150"/>
        <v>1.3018877115166858</v>
      </c>
      <c r="AU78" s="157">
        <f t="shared" si="151"/>
        <v>0.65122840014107064</v>
      </c>
      <c r="AV78" s="157">
        <f t="shared" si="152"/>
        <v>0.5003270111183773</v>
      </c>
      <c r="AW78" s="157">
        <f t="shared" si="124"/>
        <v>1.2973490570861659</v>
      </c>
      <c r="AX78" s="157">
        <f t="shared" si="125"/>
        <v>1.9391011616739378</v>
      </c>
      <c r="AY78" s="157">
        <f t="shared" si="126"/>
        <v>-4.5097658980197724E-4</v>
      </c>
      <c r="AZ78" s="157">
        <f t="shared" si="127"/>
        <v>0.90511409759176353</v>
      </c>
      <c r="BA78" s="157">
        <f t="shared" si="128"/>
        <v>0.9658230054481125</v>
      </c>
      <c r="BB78" s="157">
        <f t="shared" si="129"/>
        <v>2.3175447007155916</v>
      </c>
      <c r="BC78" s="157">
        <f t="shared" si="109"/>
        <v>0.5310672149584541</v>
      </c>
      <c r="BD78" s="157">
        <f t="shared" si="109"/>
        <v>1.5022849590089489</v>
      </c>
      <c r="BE78" s="157">
        <f t="shared" si="109"/>
        <v>0.79789950296181977</v>
      </c>
      <c r="BF78" s="157">
        <f t="shared" si="109"/>
        <v>1.1752513655601988</v>
      </c>
      <c r="BG78" s="157">
        <f t="shared" si="109"/>
        <v>1.2328990024157607</v>
      </c>
      <c r="BH78" s="157">
        <f t="shared" si="109"/>
        <v>0.28767608826460367</v>
      </c>
      <c r="BI78" s="157">
        <f t="shared" si="109"/>
        <v>0.48945473673828921</v>
      </c>
      <c r="BJ78" s="157">
        <f t="shared" si="109"/>
        <v>1.2798716141579427</v>
      </c>
      <c r="BK78" s="157">
        <f t="shared" si="109"/>
        <v>0.99864061517236113</v>
      </c>
      <c r="BL78" s="157">
        <f t="shared" si="109"/>
        <v>0.82524427873490958</v>
      </c>
      <c r="BM78" s="157">
        <f t="shared" si="110"/>
        <v>1.1257222554293482</v>
      </c>
      <c r="BN78" s="157">
        <f t="shared" si="111"/>
        <v>1.1909974053017258</v>
      </c>
      <c r="BO78" s="157">
        <f t="shared" si="112"/>
        <v>1.007827407609315</v>
      </c>
      <c r="BP78" s="157">
        <f t="shared" si="113"/>
        <v>0.75565391050898367</v>
      </c>
      <c r="BQ78" s="157">
        <f t="shared" si="114"/>
        <v>1.1984479868981976</v>
      </c>
      <c r="BR78" s="157">
        <f t="shared" si="115"/>
        <v>0.16430801728639977</v>
      </c>
      <c r="BS78" s="157">
        <f t="shared" si="116"/>
        <v>0.35836074478679808</v>
      </c>
      <c r="BT78" s="157">
        <f t="shared" si="117"/>
        <v>0.86225690294158253</v>
      </c>
      <c r="BU78" s="157">
        <f t="shared" si="118"/>
        <v>1.1306551390027586</v>
      </c>
      <c r="BV78" s="157">
        <f t="shared" si="119"/>
        <v>1.9855912960230256E-2</v>
      </c>
      <c r="BW78" s="157">
        <f t="shared" si="120"/>
        <v>5.8212364601011021E-2</v>
      </c>
      <c r="BX78" s="157">
        <f t="shared" si="121"/>
        <v>0.10862440993010987</v>
      </c>
      <c r="BY78" s="157">
        <f t="shared" si="122"/>
        <v>0.23246148017640289</v>
      </c>
    </row>
    <row r="79" spans="1:77">
      <c r="A79" s="145" t="s">
        <v>13</v>
      </c>
      <c r="B79" s="254"/>
      <c r="C79" s="159">
        <f t="shared" si="130"/>
        <v>9.5222492105525219E-2</v>
      </c>
      <c r="D79" s="159">
        <f t="shared" si="130"/>
        <v>0.44727969898809133</v>
      </c>
      <c r="E79" s="159">
        <f t="shared" si="130"/>
        <v>0.33566726198310343</v>
      </c>
      <c r="F79" s="159">
        <f t="shared" si="130"/>
        <v>2.5444561576383529</v>
      </c>
      <c r="G79" s="159">
        <f t="shared" si="130"/>
        <v>1.4322177473688011</v>
      </c>
      <c r="H79" s="159">
        <f t="shared" si="130"/>
        <v>1.3778840620746211</v>
      </c>
      <c r="I79" s="159">
        <f t="shared" si="130"/>
        <v>1.0646405652651185</v>
      </c>
      <c r="J79" s="159">
        <f t="shared" si="130"/>
        <v>-0.6375733535135516</v>
      </c>
      <c r="K79" s="159">
        <f t="shared" si="130"/>
        <v>0.7816477817308487</v>
      </c>
      <c r="L79" s="159">
        <f t="shared" si="130"/>
        <v>0.15200835742819846</v>
      </c>
      <c r="M79" s="159">
        <f t="shared" si="130"/>
        <v>-8.1948852246088486E-2</v>
      </c>
      <c r="N79" s="159">
        <f t="shared" si="130"/>
        <v>0.75669280402826211</v>
      </c>
      <c r="O79" s="159">
        <f t="shared" si="130"/>
        <v>0.23618596350146051</v>
      </c>
      <c r="P79" s="159">
        <f t="shared" si="130"/>
        <v>-0.24415158704659073</v>
      </c>
      <c r="Q79" s="159">
        <f t="shared" si="130"/>
        <v>0.16628611181544023</v>
      </c>
      <c r="R79" s="159">
        <f t="shared" si="130"/>
        <v>-0.67512486166540386</v>
      </c>
      <c r="S79" s="159">
        <f t="shared" si="130"/>
        <v>1.0176620322431567</v>
      </c>
      <c r="T79" s="159">
        <f t="shared" si="130"/>
        <v>1.2829977349608448</v>
      </c>
      <c r="U79" s="159">
        <f t="shared" si="130"/>
        <v>1.3318913808621535</v>
      </c>
      <c r="V79" s="159">
        <f t="shared" si="130"/>
        <v>1.1373369501056076</v>
      </c>
      <c r="W79" s="159">
        <f t="shared" si="130"/>
        <v>1.1498153679533174</v>
      </c>
      <c r="X79" s="159">
        <f t="shared" si="130"/>
        <v>1.1884239050305203</v>
      </c>
      <c r="Y79" s="159">
        <f t="shared" si="130"/>
        <v>0.92837335934877596</v>
      </c>
      <c r="Z79" s="159">
        <f t="shared" si="130"/>
        <v>1.8682746471912968</v>
      </c>
      <c r="AA79" s="159">
        <f t="shared" si="131"/>
        <v>0.45680236343025404</v>
      </c>
      <c r="AB79" s="159">
        <f t="shared" si="132"/>
        <v>0.20605895003122798</v>
      </c>
      <c r="AC79" s="159">
        <f t="shared" si="133"/>
        <v>0.85424146910478815</v>
      </c>
      <c r="AD79" s="159">
        <f t="shared" si="134"/>
        <v>0.22033753354554947</v>
      </c>
      <c r="AE79" s="159">
        <f t="shared" si="135"/>
        <v>1.4488644339574819</v>
      </c>
      <c r="AF79" s="159">
        <f t="shared" si="136"/>
        <v>0.84968647242477868</v>
      </c>
      <c r="AG79" s="159">
        <f t="shared" si="137"/>
        <v>0.7926798874824772</v>
      </c>
      <c r="AH79" s="159">
        <f t="shared" si="138"/>
        <v>0.9628327553338657</v>
      </c>
      <c r="AI79" s="159">
        <f t="shared" si="139"/>
        <v>0.31248509788955958</v>
      </c>
      <c r="AJ79" s="159">
        <f t="shared" si="140"/>
        <v>0.3187539397745307</v>
      </c>
      <c r="AK79" s="159">
        <f t="shared" si="141"/>
        <v>0.46792255355259765</v>
      </c>
      <c r="AL79" s="159">
        <f t="shared" si="142"/>
        <v>1.5123832439655516</v>
      </c>
      <c r="AM79" s="159">
        <f t="shared" si="143"/>
        <v>1.5266601244797067</v>
      </c>
      <c r="AN79" s="159">
        <f t="shared" si="144"/>
        <v>1.6428763016600252</v>
      </c>
      <c r="AO79" s="159">
        <f t="shared" si="145"/>
        <v>1.2633231489261139</v>
      </c>
      <c r="AP79" s="159">
        <f t="shared" si="146"/>
        <v>1.1907303324751126</v>
      </c>
      <c r="AQ79" s="159">
        <f t="shared" si="147"/>
        <v>1.9984342198453904</v>
      </c>
      <c r="AR79" s="159">
        <f t="shared" si="148"/>
        <v>1.5213436751849045</v>
      </c>
      <c r="AS79" s="159">
        <f t="shared" si="149"/>
        <v>0.74880909404078766</v>
      </c>
      <c r="AT79" s="159">
        <f t="shared" si="150"/>
        <v>1.3858149482133149</v>
      </c>
      <c r="AU79" s="159">
        <f t="shared" si="151"/>
        <v>1.4232168185067207</v>
      </c>
      <c r="AV79" s="159">
        <f t="shared" si="152"/>
        <v>1.4304851456503145</v>
      </c>
      <c r="AW79" s="159">
        <f t="shared" si="124"/>
        <v>1.3330257310883527</v>
      </c>
      <c r="AX79" s="159">
        <f t="shared" si="125"/>
        <v>1.9547497947667476</v>
      </c>
      <c r="AY79" s="159">
        <f t="shared" si="126"/>
        <v>1.0900314064717993</v>
      </c>
      <c r="AZ79" s="159">
        <f t="shared" si="127"/>
        <v>1.1991942221572405</v>
      </c>
      <c r="BA79" s="159">
        <f t="shared" si="128"/>
        <v>1.7128831146243231</v>
      </c>
      <c r="BB79" s="159">
        <f t="shared" si="129"/>
        <v>0.92264292830036188</v>
      </c>
      <c r="BC79" s="159">
        <f t="shared" si="109"/>
        <v>1.3245779439199408</v>
      </c>
      <c r="BD79" s="159">
        <f t="shared" si="109"/>
        <v>0.48492162041290393</v>
      </c>
      <c r="BE79" s="159">
        <f t="shared" si="109"/>
        <v>-0.63194527062573702</v>
      </c>
      <c r="BF79" s="159">
        <f t="shared" si="109"/>
        <v>-1.2906726938329791</v>
      </c>
      <c r="BG79" s="159">
        <f t="shared" si="109"/>
        <v>-0.8994503231986597</v>
      </c>
      <c r="BH79" s="159">
        <f t="shared" si="109"/>
        <v>0.51619412468725379</v>
      </c>
      <c r="BI79" s="159">
        <f t="shared" si="109"/>
        <v>0.78504252004913744</v>
      </c>
      <c r="BJ79" s="159">
        <f t="shared" si="109"/>
        <v>1.4966067033178581</v>
      </c>
      <c r="BK79" s="159">
        <f t="shared" si="109"/>
        <v>1.1502171291288008</v>
      </c>
      <c r="BL79" s="159">
        <f t="shared" si="109"/>
        <v>0.5814341044988397</v>
      </c>
      <c r="BM79" s="159">
        <f t="shared" si="110"/>
        <v>1.0409848407672406</v>
      </c>
      <c r="BN79" s="159">
        <f t="shared" si="111"/>
        <v>1.444983809361841</v>
      </c>
      <c r="BO79" s="159">
        <f t="shared" si="112"/>
        <v>0.33058948807017785</v>
      </c>
      <c r="BP79" s="159">
        <f t="shared" si="113"/>
        <v>0.51868011823056748</v>
      </c>
      <c r="BQ79" s="159">
        <f t="shared" si="114"/>
        <v>0.88231301179656096</v>
      </c>
      <c r="BR79" s="159">
        <f t="shared" si="115"/>
        <v>0.88708803627886057</v>
      </c>
      <c r="BS79" s="159">
        <f t="shared" si="116"/>
        <v>0.44237015311044098</v>
      </c>
      <c r="BT79" s="159">
        <f t="shared" si="117"/>
        <v>0.44694874367365545</v>
      </c>
      <c r="BU79" s="159">
        <f t="shared" si="118"/>
        <v>0.7657719290861339</v>
      </c>
      <c r="BV79" s="159">
        <f t="shared" si="119"/>
        <v>1.2037581458768949E-3</v>
      </c>
      <c r="BW79" s="159">
        <f t="shared" si="120"/>
        <v>0.96960373511615527</v>
      </c>
      <c r="BX79" s="159">
        <f t="shared" si="121"/>
        <v>-3.7742714504287081E-2</v>
      </c>
      <c r="BY79" s="159">
        <f t="shared" si="122"/>
        <v>1.0141888384639066</v>
      </c>
    </row>
    <row r="80" spans="1:77">
      <c r="A80" s="171" t="s">
        <v>14</v>
      </c>
      <c r="B80" s="252"/>
      <c r="C80" s="156">
        <f t="shared" si="130"/>
        <v>1.263489972143411E-2</v>
      </c>
      <c r="D80" s="156">
        <f t="shared" si="130"/>
        <v>0.8760720968558412</v>
      </c>
      <c r="E80" s="156">
        <f t="shared" si="130"/>
        <v>0.40451868728574791</v>
      </c>
      <c r="F80" s="156">
        <f t="shared" si="130"/>
        <v>1.3229043969478402</v>
      </c>
      <c r="G80" s="156">
        <f t="shared" si="130"/>
        <v>2.9804300295870907</v>
      </c>
      <c r="H80" s="156">
        <f t="shared" si="130"/>
        <v>1.0861441354126007</v>
      </c>
      <c r="I80" s="156">
        <f t="shared" si="130"/>
        <v>1.2209756701048267</v>
      </c>
      <c r="J80" s="156">
        <f t="shared" si="130"/>
        <v>0.18480376499754209</v>
      </c>
      <c r="K80" s="156">
        <f t="shared" si="130"/>
        <v>0.31528886090199015</v>
      </c>
      <c r="L80" s="156">
        <f t="shared" si="130"/>
        <v>0.19206558188956643</v>
      </c>
      <c r="M80" s="156">
        <f t="shared" si="130"/>
        <v>0.15643417781085511</v>
      </c>
      <c r="N80" s="156">
        <f t="shared" si="130"/>
        <v>5.0723306416800049E-2</v>
      </c>
      <c r="O80" s="156">
        <f t="shared" si="130"/>
        <v>-0.90118278183075706</v>
      </c>
      <c r="P80" s="156">
        <f t="shared" si="130"/>
        <v>-0.46216012183260824</v>
      </c>
      <c r="Q80" s="156">
        <f t="shared" si="130"/>
        <v>1.9939496805716432E-2</v>
      </c>
      <c r="R80" s="156">
        <f t="shared" si="130"/>
        <v>-1.9654644116444606</v>
      </c>
      <c r="S80" s="156">
        <f t="shared" si="130"/>
        <v>-8.5170223201554388E-2</v>
      </c>
      <c r="T80" s="156">
        <f t="shared" si="130"/>
        <v>0.69290497859866973</v>
      </c>
      <c r="U80" s="156">
        <f t="shared" si="130"/>
        <v>0.66282866269826057</v>
      </c>
      <c r="V80" s="156">
        <f t="shared" si="130"/>
        <v>0.97119713948608777</v>
      </c>
      <c r="W80" s="156">
        <f t="shared" si="130"/>
        <v>0.24969612637494354</v>
      </c>
      <c r="X80" s="156">
        <f t="shared" si="130"/>
        <v>0.78468498789454477</v>
      </c>
      <c r="Y80" s="156">
        <f t="shared" si="130"/>
        <v>0.60914192350375929</v>
      </c>
      <c r="Z80" s="156">
        <f t="shared" si="130"/>
        <v>4.6938181080802606</v>
      </c>
      <c r="AA80" s="156">
        <f t="shared" si="131"/>
        <v>0.18582064459112188</v>
      </c>
      <c r="AB80" s="156">
        <f t="shared" si="132"/>
        <v>0.44172296896140167</v>
      </c>
      <c r="AC80" s="156">
        <f t="shared" si="133"/>
        <v>0.75220576043704401</v>
      </c>
      <c r="AD80" s="156">
        <f t="shared" si="134"/>
        <v>-2.4131747288685097</v>
      </c>
      <c r="AE80" s="156">
        <f t="shared" si="135"/>
        <v>0.53552302749020242</v>
      </c>
      <c r="AF80" s="156">
        <f t="shared" si="136"/>
        <v>1.5470894082332745</v>
      </c>
      <c r="AG80" s="156">
        <f t="shared" si="137"/>
        <v>-0.10227175254194727</v>
      </c>
      <c r="AH80" s="156">
        <f t="shared" si="138"/>
        <v>5.6423455178616105E-2</v>
      </c>
      <c r="AI80" s="156">
        <f t="shared" si="139"/>
        <v>0.38359243793577019</v>
      </c>
      <c r="AJ80" s="156">
        <f t="shared" si="140"/>
        <v>0.45764057963468663</v>
      </c>
      <c r="AK80" s="156">
        <f t="shared" si="141"/>
        <v>0.97008106689475859</v>
      </c>
      <c r="AL80" s="156">
        <f t="shared" si="142"/>
        <v>0.9271649321551102</v>
      </c>
      <c r="AM80" s="156">
        <f t="shared" si="143"/>
        <v>1.9430963935674339</v>
      </c>
      <c r="AN80" s="156">
        <f t="shared" si="144"/>
        <v>1.8793015470011936</v>
      </c>
      <c r="AO80" s="156">
        <f t="shared" si="145"/>
        <v>1.2161155157038206</v>
      </c>
      <c r="AP80" s="156">
        <f t="shared" si="146"/>
        <v>-0.24460775703157711</v>
      </c>
      <c r="AQ80" s="156">
        <f t="shared" si="147"/>
        <v>2.0614793687653887</v>
      </c>
      <c r="AR80" s="156">
        <f t="shared" si="148"/>
        <v>1.3789866625377649</v>
      </c>
      <c r="AS80" s="156">
        <f t="shared" si="149"/>
        <v>0.53547750944986872</v>
      </c>
      <c r="AT80" s="156">
        <f t="shared" si="150"/>
        <v>1.5229439911110008</v>
      </c>
      <c r="AU80" s="156">
        <f t="shared" si="151"/>
        <v>2.5878267623894087</v>
      </c>
      <c r="AV80" s="156">
        <f t="shared" si="152"/>
        <v>0.85847901124597537</v>
      </c>
      <c r="AW80" s="156">
        <f t="shared" si="124"/>
        <v>3.0287808701603836</v>
      </c>
      <c r="AX80" s="156">
        <f t="shared" si="125"/>
        <v>0.48618917070892187</v>
      </c>
      <c r="AY80" s="156">
        <f t="shared" si="126"/>
        <v>0.1386505739920918</v>
      </c>
      <c r="AZ80" s="156">
        <f t="shared" si="127"/>
        <v>1.2668166192759949</v>
      </c>
      <c r="BA80" s="156">
        <f t="shared" si="128"/>
        <v>0.95603796911340844</v>
      </c>
      <c r="BB80" s="156">
        <f t="shared" si="129"/>
        <v>0.91912922634064309</v>
      </c>
      <c r="BC80" s="156">
        <f t="shared" si="109"/>
        <v>0.33523868376330451</v>
      </c>
      <c r="BD80" s="156">
        <f t="shared" si="109"/>
        <v>0.58047330900582483</v>
      </c>
      <c r="BE80" s="156">
        <f t="shared" si="109"/>
        <v>-0.92207049986735146</v>
      </c>
      <c r="BF80" s="156">
        <f t="shared" si="109"/>
        <v>-1.7038576711809461</v>
      </c>
      <c r="BG80" s="156">
        <f t="shared" si="109"/>
        <v>-1.9256737230918057</v>
      </c>
      <c r="BH80" s="156">
        <f t="shared" si="109"/>
        <v>0.54056081175198956</v>
      </c>
      <c r="BI80" s="156">
        <f t="shared" si="109"/>
        <v>1.6204234095498795</v>
      </c>
      <c r="BJ80" s="156">
        <f t="shared" si="109"/>
        <v>2.706297700619344</v>
      </c>
      <c r="BK80" s="156">
        <f t="shared" si="109"/>
        <v>0.67410145692894008</v>
      </c>
      <c r="BL80" s="156">
        <f t="shared" si="109"/>
        <v>1.1787213033819015</v>
      </c>
      <c r="BM80" s="156">
        <f t="shared" si="110"/>
        <v>0.94439361593981019</v>
      </c>
      <c r="BN80" s="156">
        <f t="shared" si="111"/>
        <v>0.3488241125242687</v>
      </c>
      <c r="BO80" s="156">
        <f t="shared" si="112"/>
        <v>0.9816715107657723</v>
      </c>
      <c r="BP80" s="156">
        <f t="shared" si="113"/>
        <v>0.97457585636388688</v>
      </c>
      <c r="BQ80" s="156">
        <f t="shared" si="114"/>
        <v>1.4523595995830894</v>
      </c>
      <c r="BR80" s="156">
        <f t="shared" si="115"/>
        <v>1.4852534290544139</v>
      </c>
      <c r="BS80" s="156">
        <f t="shared" si="116"/>
        <v>0.55748431032182688</v>
      </c>
      <c r="BT80" s="156">
        <f t="shared" si="117"/>
        <v>0.3419314145337321</v>
      </c>
      <c r="BU80" s="156">
        <f t="shared" si="118"/>
        <v>0.30579160798176097</v>
      </c>
      <c r="BV80" s="156">
        <f t="shared" si="119"/>
        <v>-0.92664765707627972</v>
      </c>
      <c r="BW80" s="156">
        <f t="shared" si="120"/>
        <v>0.76831902104914607</v>
      </c>
      <c r="BX80" s="156">
        <f t="shared" si="121"/>
        <v>0.51094177867245216</v>
      </c>
      <c r="BY80" s="156">
        <f t="shared" si="122"/>
        <v>0.45607608052102255</v>
      </c>
    </row>
    <row r="81" spans="1:77" ht="13.5" thickBot="1">
      <c r="A81" s="172" t="s">
        <v>282</v>
      </c>
      <c r="B81" s="255"/>
      <c r="C81" s="158">
        <f t="shared" si="130"/>
        <v>8.5586134566683542E-2</v>
      </c>
      <c r="D81" s="158">
        <f t="shared" si="130"/>
        <v>0.49727492189653055</v>
      </c>
      <c r="E81" s="158">
        <f t="shared" si="130"/>
        <v>0.343725280199216</v>
      </c>
      <c r="F81" s="158">
        <f t="shared" si="130"/>
        <v>2.401405380299936</v>
      </c>
      <c r="G81" s="158">
        <f t="shared" si="130"/>
        <v>1.6116128445658437</v>
      </c>
      <c r="H81" s="158">
        <f t="shared" si="130"/>
        <v>1.343624067728252</v>
      </c>
      <c r="I81" s="158">
        <f t="shared" si="130"/>
        <v>1.0829528750688155</v>
      </c>
      <c r="J81" s="158">
        <f t="shared" si="130"/>
        <v>-0.54111269221823166</v>
      </c>
      <c r="K81" s="158">
        <f t="shared" si="130"/>
        <v>0.72654699991861893</v>
      </c>
      <c r="L81" s="158">
        <f t="shared" si="130"/>
        <v>0.15672183568722803</v>
      </c>
      <c r="M81" s="158">
        <f t="shared" si="130"/>
        <v>-5.3888751971941276E-2</v>
      </c>
      <c r="N81" s="158">
        <f t="shared" si="130"/>
        <v>0.67341816224111339</v>
      </c>
      <c r="O81" s="158">
        <f t="shared" si="130"/>
        <v>0.10285422434146869</v>
      </c>
      <c r="P81" s="158">
        <f t="shared" si="130"/>
        <v>-0.26945200879324177</v>
      </c>
      <c r="Q81" s="158">
        <f t="shared" si="130"/>
        <v>0.14933504824353852</v>
      </c>
      <c r="R81" s="158">
        <f t="shared" si="130"/>
        <v>-0.82438945336368519</v>
      </c>
      <c r="S81" s="158">
        <f t="shared" si="130"/>
        <v>0.89155582583853188</v>
      </c>
      <c r="T81" s="158">
        <f t="shared" si="130"/>
        <v>1.2161752812986673</v>
      </c>
      <c r="U81" s="158">
        <f t="shared" si="130"/>
        <v>1.2565180142828605</v>
      </c>
      <c r="V81" s="158">
        <f>V79</f>
        <v>1.1373369501056076</v>
      </c>
      <c r="W81" s="158">
        <f t="shared" si="130"/>
        <v>1.0491539212069276</v>
      </c>
      <c r="X81" s="158">
        <f t="shared" si="130"/>
        <v>1.1436304956264485</v>
      </c>
      <c r="Y81" s="158">
        <f t="shared" si="130"/>
        <v>0.89308144948342083</v>
      </c>
      <c r="Z81" s="158">
        <f t="shared" si="130"/>
        <v>2.1797671229169606</v>
      </c>
      <c r="AA81" s="158">
        <f t="shared" si="131"/>
        <v>0.42619388846515965</v>
      </c>
      <c r="AB81" s="158">
        <f t="shared" si="132"/>
        <v>0.23261443486567787</v>
      </c>
      <c r="AC81" s="158">
        <f t="shared" si="133"/>
        <v>0.8427197247248106</v>
      </c>
      <c r="AD81" s="158">
        <f t="shared" si="134"/>
        <v>-7.6768456878507224E-2</v>
      </c>
      <c r="AE81" s="158">
        <f t="shared" si="135"/>
        <v>1.3482329379119891</v>
      </c>
      <c r="AF81" s="158">
        <f t="shared" si="136"/>
        <v>0.9259098017639239</v>
      </c>
      <c r="AG81" s="158">
        <f t="shared" si="137"/>
        <v>0.69426325104963948</v>
      </c>
      <c r="AH81" s="158">
        <f t="shared" si="138"/>
        <v>0.86394462032802233</v>
      </c>
      <c r="AI81" s="158">
        <f t="shared" si="139"/>
        <v>0.32018071218298277</v>
      </c>
      <c r="AJ81" s="158">
        <f t="shared" si="140"/>
        <v>0.33379449118606658</v>
      </c>
      <c r="AK81" s="158">
        <f t="shared" si="141"/>
        <v>0.52237029309025973</v>
      </c>
      <c r="AL81" s="158">
        <f t="shared" si="142"/>
        <v>1.4486469340876691</v>
      </c>
      <c r="AM81" s="158">
        <f t="shared" si="143"/>
        <v>1.5717811924635154</v>
      </c>
      <c r="AN81" s="158">
        <f t="shared" si="144"/>
        <v>1.6685867366336233</v>
      </c>
      <c r="AO81" s="158">
        <f t="shared" si="145"/>
        <v>1.2581788407752286</v>
      </c>
      <c r="AP81" s="158">
        <f t="shared" si="146"/>
        <v>1.0343837071414514</v>
      </c>
      <c r="AQ81" s="158">
        <f t="shared" si="147"/>
        <v>2.0052145862075479</v>
      </c>
      <c r="AR81" s="158">
        <f t="shared" si="148"/>
        <v>1.5060250483495579</v>
      </c>
      <c r="AS81" s="158">
        <f t="shared" si="149"/>
        <v>0.72588182881863228</v>
      </c>
      <c r="AT81" s="158">
        <f t="shared" si="150"/>
        <v>1.4005246818059995</v>
      </c>
      <c r="AU81" s="158">
        <f t="shared" si="151"/>
        <v>1.5482945100742089</v>
      </c>
      <c r="AV81" s="158">
        <f t="shared" si="152"/>
        <v>1.3684235059667527</v>
      </c>
      <c r="AW81" s="158">
        <f t="shared" si="124"/>
        <v>1.5160865594686432</v>
      </c>
      <c r="AX81" s="158">
        <f t="shared" si="125"/>
        <v>1.7938528289186246</v>
      </c>
      <c r="AY81" s="158">
        <f t="shared" si="126"/>
        <v>0.98713618736797448</v>
      </c>
      <c r="AZ81" s="158">
        <f t="shared" si="127"/>
        <v>1.2064463765090851</v>
      </c>
      <c r="BA81" s="158">
        <f t="shared" si="128"/>
        <v>1.6316669477012595</v>
      </c>
      <c r="BB81" s="158">
        <f t="shared" si="129"/>
        <v>0.92226838362334163</v>
      </c>
      <c r="BC81" s="158">
        <f t="shared" si="109"/>
        <v>1.2191221505700256</v>
      </c>
      <c r="BD81" s="158">
        <f t="shared" si="109"/>
        <v>0.49501774003626708</v>
      </c>
      <c r="BE81" s="158">
        <f t="shared" si="109"/>
        <v>-0.66262635900785571</v>
      </c>
      <c r="BF81" s="158">
        <f t="shared" si="109"/>
        <v>-1.3342533772834488</v>
      </c>
      <c r="BG81" s="158">
        <f t="shared" si="109"/>
        <v>-1.0072857581651133</v>
      </c>
      <c r="BH81" s="158">
        <f t="shared" si="109"/>
        <v>0.51873081919327257</v>
      </c>
      <c r="BI81" s="158">
        <f t="shared" si="109"/>
        <v>0.87202875336974373</v>
      </c>
      <c r="BJ81" s="158">
        <f t="shared" si="109"/>
        <v>1.6235035068696213</v>
      </c>
      <c r="BK81" s="158">
        <f t="shared" si="109"/>
        <v>1.099740351497297</v>
      </c>
      <c r="BL81" s="158">
        <f t="shared" si="109"/>
        <v>0.64449063538508111</v>
      </c>
      <c r="BM81" s="158">
        <f t="shared" si="110"/>
        <v>1.030733428002113</v>
      </c>
      <c r="BN81" s="158">
        <f t="shared" si="111"/>
        <v>1.3287456899343952</v>
      </c>
      <c r="BO81" s="158">
        <f t="shared" si="112"/>
        <v>0.39896334361443214</v>
      </c>
      <c r="BP81" s="158">
        <f t="shared" si="113"/>
        <v>0.5668342131964188</v>
      </c>
      <c r="BQ81" s="158">
        <f t="shared" si="114"/>
        <v>0.94276843999969939</v>
      </c>
      <c r="BR81" s="158">
        <f t="shared" si="115"/>
        <v>0.95084581457201067</v>
      </c>
      <c r="BS81" s="158">
        <f t="shared" si="116"/>
        <v>0.45470499562350097</v>
      </c>
      <c r="BT81" s="158">
        <f t="shared" si="117"/>
        <v>0.43568429457585511</v>
      </c>
      <c r="BU81" s="158">
        <f t="shared" si="118"/>
        <v>0.71647922384440443</v>
      </c>
      <c r="BV81" s="158">
        <f t="shared" si="119"/>
        <v>-9.7821802505338243E-2</v>
      </c>
      <c r="BW81" s="158">
        <f t="shared" si="120"/>
        <v>0.94829971460769436</v>
      </c>
      <c r="BX81" s="158">
        <f t="shared" si="121"/>
        <v>2.0226640514525673E-2</v>
      </c>
      <c r="BY81" s="158">
        <f t="shared" si="122"/>
        <v>0.95493407891593751</v>
      </c>
    </row>
    <row r="83" spans="1:77" ht="18">
      <c r="A83" s="407" t="s">
        <v>211</v>
      </c>
      <c r="B83" s="407"/>
      <c r="C83" s="407"/>
      <c r="D83" s="407"/>
      <c r="E83" s="407"/>
      <c r="F83" s="407"/>
      <c r="G83" s="407"/>
      <c r="H83" s="407"/>
      <c r="I83" s="407"/>
      <c r="J83" s="407"/>
      <c r="K83" s="407"/>
      <c r="L83" s="407"/>
      <c r="M83" s="407"/>
      <c r="N83" s="407"/>
      <c r="O83" s="407"/>
      <c r="P83" s="407"/>
      <c r="Q83" s="407"/>
      <c r="R83" s="407"/>
      <c r="S83" s="407"/>
      <c r="T83" s="407"/>
      <c r="U83" s="407"/>
      <c r="V83" s="407"/>
      <c r="W83" s="407"/>
      <c r="X83" s="407"/>
      <c r="Y83" s="407"/>
      <c r="Z83" s="408"/>
      <c r="AA83" s="408"/>
      <c r="AB83" s="408"/>
      <c r="AC83" s="408"/>
      <c r="AD83" s="408"/>
      <c r="AE83" s="408"/>
      <c r="AF83" s="408"/>
      <c r="AG83" s="408"/>
      <c r="AH83" s="408"/>
      <c r="AI83" s="408"/>
      <c r="AJ83" s="408"/>
      <c r="AK83" s="408"/>
      <c r="AL83" s="408"/>
      <c r="AM83" s="408"/>
      <c r="AN83" s="408"/>
      <c r="AO83" s="408"/>
      <c r="AP83" s="408"/>
      <c r="AQ83" s="408"/>
      <c r="AR83" s="408"/>
      <c r="AS83" s="408"/>
      <c r="AT83" s="408"/>
      <c r="AU83" s="408"/>
      <c r="AV83" s="408"/>
      <c r="AW83" s="408"/>
      <c r="AX83" s="408"/>
      <c r="AY83" s="408"/>
      <c r="AZ83" s="408"/>
      <c r="BA83" s="408"/>
      <c r="BB83" s="408"/>
      <c r="BC83" s="408"/>
      <c r="BD83" s="408"/>
      <c r="BE83" s="408"/>
      <c r="BF83" s="408"/>
      <c r="BG83" s="408"/>
      <c r="BH83" s="408"/>
    </row>
    <row r="84" spans="1:77" ht="13.5" thickBot="1">
      <c r="A84" s="1" t="s">
        <v>200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77" ht="13.5" thickBot="1">
      <c r="A85" s="108" t="s">
        <v>166</v>
      </c>
      <c r="B85" s="249" t="s">
        <v>285</v>
      </c>
      <c r="C85" s="248" t="s">
        <v>286</v>
      </c>
      <c r="D85" s="248" t="s">
        <v>287</v>
      </c>
      <c r="E85" s="248" t="s">
        <v>288</v>
      </c>
      <c r="F85" s="248" t="s">
        <v>284</v>
      </c>
      <c r="G85" s="248" t="s">
        <v>289</v>
      </c>
      <c r="H85" s="248" t="s">
        <v>290</v>
      </c>
      <c r="I85" s="248" t="s">
        <v>291</v>
      </c>
      <c r="J85" s="248" t="s">
        <v>292</v>
      </c>
      <c r="K85" s="248" t="s">
        <v>293</v>
      </c>
      <c r="L85" s="248" t="s">
        <v>294</v>
      </c>
      <c r="M85" s="248" t="s">
        <v>295</v>
      </c>
      <c r="N85" s="248" t="s">
        <v>296</v>
      </c>
      <c r="O85" s="248" t="s">
        <v>297</v>
      </c>
      <c r="P85" s="248" t="s">
        <v>298</v>
      </c>
      <c r="Q85" s="248" t="s">
        <v>299</v>
      </c>
      <c r="R85" s="248" t="s">
        <v>300</v>
      </c>
      <c r="S85" s="248" t="s">
        <v>301</v>
      </c>
      <c r="T85" s="248" t="s">
        <v>302</v>
      </c>
      <c r="U85" s="248" t="s">
        <v>303</v>
      </c>
      <c r="V85" s="248" t="s">
        <v>332</v>
      </c>
      <c r="W85" s="248" t="s">
        <v>333</v>
      </c>
      <c r="X85" s="248" t="s">
        <v>334</v>
      </c>
      <c r="Y85" s="248" t="s">
        <v>335</v>
      </c>
      <c r="Z85" s="248" t="s">
        <v>304</v>
      </c>
      <c r="AA85" s="248" t="s">
        <v>305</v>
      </c>
      <c r="AB85" s="248" t="s">
        <v>306</v>
      </c>
      <c r="AC85" s="248" t="s">
        <v>307</v>
      </c>
      <c r="AD85" s="248" t="s">
        <v>308</v>
      </c>
      <c r="AE85" s="248" t="s">
        <v>309</v>
      </c>
      <c r="AF85" s="248" t="s">
        <v>310</v>
      </c>
      <c r="AG85" s="248" t="s">
        <v>311</v>
      </c>
      <c r="AH85" s="248" t="s">
        <v>312</v>
      </c>
      <c r="AI85" s="248" t="s">
        <v>313</v>
      </c>
      <c r="AJ85" s="248" t="s">
        <v>314</v>
      </c>
      <c r="AK85" s="248" t="s">
        <v>315</v>
      </c>
      <c r="AL85" s="248" t="s">
        <v>316</v>
      </c>
      <c r="AM85" s="248" t="s">
        <v>317</v>
      </c>
      <c r="AN85" s="248" t="s">
        <v>318</v>
      </c>
      <c r="AO85" s="248" t="s">
        <v>319</v>
      </c>
      <c r="AP85" s="248" t="s">
        <v>320</v>
      </c>
      <c r="AQ85" s="248" t="s">
        <v>321</v>
      </c>
      <c r="AR85" s="248" t="s">
        <v>322</v>
      </c>
      <c r="AS85" s="248" t="s">
        <v>323</v>
      </c>
      <c r="AT85" s="248" t="s">
        <v>324</v>
      </c>
      <c r="AU85" s="248" t="s">
        <v>325</v>
      </c>
      <c r="AV85" s="248" t="s">
        <v>326</v>
      </c>
      <c r="AW85" s="248" t="s">
        <v>327</v>
      </c>
      <c r="AX85" s="248" t="s">
        <v>328</v>
      </c>
      <c r="AY85" s="248" t="s">
        <v>329</v>
      </c>
      <c r="AZ85" s="248" t="s">
        <v>330</v>
      </c>
      <c r="BA85" s="248" t="s">
        <v>331</v>
      </c>
      <c r="BB85" s="248" t="s">
        <v>227</v>
      </c>
      <c r="BC85" s="248" t="s">
        <v>228</v>
      </c>
      <c r="BD85" s="248" t="s">
        <v>229</v>
      </c>
      <c r="BE85" s="248" t="s">
        <v>230</v>
      </c>
      <c r="BF85" s="248" t="s">
        <v>224</v>
      </c>
      <c r="BG85" s="248" t="s">
        <v>225</v>
      </c>
      <c r="BH85" s="248" t="s">
        <v>226</v>
      </c>
      <c r="BI85" s="248" t="s">
        <v>346</v>
      </c>
      <c r="BJ85" s="248" t="str">
        <f>BJ65</f>
        <v>2010q1</v>
      </c>
      <c r="BK85" s="248" t="str">
        <f>BK65</f>
        <v>2010q2</v>
      </c>
      <c r="BL85" s="248" t="str">
        <f>BL65</f>
        <v>2010q3</v>
      </c>
      <c r="BM85" s="248" t="str">
        <f t="shared" ref="BM85" si="153">BM65</f>
        <v>2010q4</v>
      </c>
      <c r="BN85" s="248" t="str">
        <f t="shared" ref="BN85:BQ85" si="154">BN65</f>
        <v>2011q1</v>
      </c>
      <c r="BO85" s="248" t="str">
        <f t="shared" si="154"/>
        <v>2011q2</v>
      </c>
      <c r="BP85" s="248" t="str">
        <f t="shared" si="154"/>
        <v>2011q3</v>
      </c>
      <c r="BQ85" s="248" t="str">
        <f t="shared" si="154"/>
        <v>2011q4</v>
      </c>
      <c r="BR85" s="248" t="str">
        <f t="shared" ref="BR85" si="155">BR65</f>
        <v>2012q1</v>
      </c>
      <c r="BS85" s="248" t="str">
        <f t="shared" ref="BS85:BX85" si="156">BS65</f>
        <v>2012q2</v>
      </c>
      <c r="BT85" s="248" t="str">
        <f t="shared" si="156"/>
        <v>2012q3</v>
      </c>
      <c r="BU85" s="248" t="str">
        <f t="shared" si="156"/>
        <v>2012q4</v>
      </c>
      <c r="BV85" s="248" t="str">
        <f t="shared" si="156"/>
        <v>2013q1</v>
      </c>
      <c r="BW85" s="248" t="str">
        <f t="shared" si="156"/>
        <v>2013q2</v>
      </c>
      <c r="BX85" s="248" t="str">
        <f t="shared" si="156"/>
        <v>2013q3</v>
      </c>
      <c r="BY85" s="248" t="str">
        <f t="shared" ref="BY85" si="157">BY65</f>
        <v>2013q4</v>
      </c>
    </row>
    <row r="86" spans="1:77" ht="13.5" thickTop="1">
      <c r="A86" s="2" t="s">
        <v>0</v>
      </c>
      <c r="B86" s="251"/>
      <c r="C86" s="154"/>
      <c r="D86" s="154"/>
      <c r="E86" s="154"/>
      <c r="F86" s="154">
        <f t="shared" ref="F86:BH90" si="158">(F6-B6)/B6*100</f>
        <v>-3.1741057035531886</v>
      </c>
      <c r="G86" s="154">
        <f t="shared" si="158"/>
        <v>4.0437222057981659</v>
      </c>
      <c r="H86" s="154">
        <f t="shared" si="158"/>
        <v>8.0124764148669083</v>
      </c>
      <c r="I86" s="154">
        <f t="shared" si="158"/>
        <v>9.0794267121390249</v>
      </c>
      <c r="J86" s="154">
        <f t="shared" si="158"/>
        <v>3.3011098067517697</v>
      </c>
      <c r="K86" s="154">
        <f t="shared" si="158"/>
        <v>1.8378904508349785</v>
      </c>
      <c r="L86" s="154">
        <f t="shared" si="158"/>
        <v>0.7760441175102889</v>
      </c>
      <c r="M86" s="154">
        <f t="shared" si="158"/>
        <v>0.17785750669289316</v>
      </c>
      <c r="N86" s="154">
        <f t="shared" si="158"/>
        <v>0.87505764503609273</v>
      </c>
      <c r="O86" s="154">
        <f t="shared" si="158"/>
        <v>-1.4224118995688899</v>
      </c>
      <c r="P86" s="154">
        <f t="shared" si="158"/>
        <v>-2.6642430660211631</v>
      </c>
      <c r="Q86" s="154">
        <f t="shared" si="158"/>
        <v>-2.2557696260183149</v>
      </c>
      <c r="R86" s="154">
        <f t="shared" si="158"/>
        <v>-1.1571896527598622</v>
      </c>
      <c r="S86" s="154">
        <f t="shared" si="158"/>
        <v>-9.59553758948542E-2</v>
      </c>
      <c r="T86" s="154">
        <f t="shared" si="158"/>
        <v>1.1271467529721542</v>
      </c>
      <c r="U86" s="154">
        <f t="shared" si="158"/>
        <v>1.7150804454093556</v>
      </c>
      <c r="V86" s="154">
        <f t="shared" si="158"/>
        <v>0.99128083651521071</v>
      </c>
      <c r="W86" s="154">
        <f t="shared" si="158"/>
        <v>1.1646037204538053</v>
      </c>
      <c r="X86" s="154">
        <f t="shared" si="158"/>
        <v>0.10514941116328438</v>
      </c>
      <c r="Y86" s="154">
        <f t="shared" si="158"/>
        <v>-0.86629942907301294</v>
      </c>
      <c r="Z86" s="154">
        <f t="shared" si="158"/>
        <v>-1.0061021523726752</v>
      </c>
      <c r="AA86" s="154">
        <f t="shared" si="158"/>
        <v>-0.75372516574787907</v>
      </c>
      <c r="AB86" s="154">
        <f t="shared" si="158"/>
        <v>-0.73653141264368471</v>
      </c>
      <c r="AC86" s="154">
        <f t="shared" si="158"/>
        <v>-1.2310391543351606</v>
      </c>
      <c r="AD86" s="154">
        <f t="shared" si="158"/>
        <v>0.19687955567380069</v>
      </c>
      <c r="AE86" s="154">
        <f t="shared" si="158"/>
        <v>1.4026727969357993</v>
      </c>
      <c r="AF86" s="154">
        <f t="shared" si="158"/>
        <v>3.2440192254277864</v>
      </c>
      <c r="AG86" s="154">
        <f t="shared" si="158"/>
        <v>4.7648620180783166</v>
      </c>
      <c r="AH86" s="154">
        <f t="shared" si="158"/>
        <v>4.0379133872539521</v>
      </c>
      <c r="AI86" s="154">
        <f t="shared" si="158"/>
        <v>3.1949278790878126</v>
      </c>
      <c r="AJ86" s="154">
        <f t="shared" si="158"/>
        <v>2.1229155158695328</v>
      </c>
      <c r="AK86" s="154">
        <f t="shared" si="158"/>
        <v>1.4167411142616393</v>
      </c>
      <c r="AL86" s="154">
        <f t="shared" si="158"/>
        <v>1.479623294378644</v>
      </c>
      <c r="AM86" s="154">
        <f t="shared" si="158"/>
        <v>0.20286848740303046</v>
      </c>
      <c r="AN86" s="154">
        <f t="shared" si="158"/>
        <v>2.5670118708747101</v>
      </c>
      <c r="AO86" s="154">
        <f t="shared" si="158"/>
        <v>1.1160408371095951</v>
      </c>
      <c r="AP86" s="154">
        <f t="shared" si="158"/>
        <v>2.7538007511755151</v>
      </c>
      <c r="AQ86" s="154">
        <f t="shared" si="158"/>
        <v>2.7996887731669369</v>
      </c>
      <c r="AR86" s="154">
        <f t="shared" si="158"/>
        <v>-0.24390158787987348</v>
      </c>
      <c r="AS86" s="154">
        <f t="shared" si="158"/>
        <v>0.67731096938211344</v>
      </c>
      <c r="AT86" s="154">
        <f t="shared" si="158"/>
        <v>-3.4983226874083049</v>
      </c>
      <c r="AU86" s="154">
        <f t="shared" si="158"/>
        <v>-2.5549729617203205</v>
      </c>
      <c r="AV86" s="154">
        <f t="shared" si="158"/>
        <v>-1.4452495647508816</v>
      </c>
      <c r="AW86" s="154">
        <f t="shared" si="158"/>
        <v>7.6893629332970642E-2</v>
      </c>
      <c r="AX86" s="154">
        <f t="shared" si="158"/>
        <v>2.5931989815183343</v>
      </c>
      <c r="AY86" s="154">
        <f t="shared" si="158"/>
        <v>0.84607244927122072</v>
      </c>
      <c r="AZ86" s="154">
        <f t="shared" si="158"/>
        <v>0.34587486720341776</v>
      </c>
      <c r="BA86" s="154">
        <f t="shared" si="158"/>
        <v>-1.1466814664057579</v>
      </c>
      <c r="BB86" s="154">
        <f t="shared" si="158"/>
        <v>-3.183635506135797</v>
      </c>
      <c r="BC86" s="154">
        <f t="shared" si="158"/>
        <v>0.73777191905554429</v>
      </c>
      <c r="BD86" s="154">
        <f t="shared" si="158"/>
        <v>0.63299585303023154</v>
      </c>
      <c r="BE86" s="154">
        <f t="shared" si="158"/>
        <v>1.5816107374493416</v>
      </c>
      <c r="BF86" s="154">
        <f t="shared" si="158"/>
        <v>-1.8012279137260521</v>
      </c>
      <c r="BG86" s="154">
        <f t="shared" si="158"/>
        <v>-3.6263222460126516</v>
      </c>
      <c r="BH86" s="154">
        <f t="shared" si="158"/>
        <v>-5.5746010007714091</v>
      </c>
      <c r="BI86" s="154">
        <f t="shared" ref="BI86:BL101" si="159">(BI6-BE6)/BE6*100</f>
        <v>-5.9568388773865975</v>
      </c>
      <c r="BJ86" s="154">
        <f t="shared" si="159"/>
        <v>2.3625909366012365</v>
      </c>
      <c r="BK86" s="154">
        <f t="shared" si="159"/>
        <v>-1.7589549825178408</v>
      </c>
      <c r="BL86" s="154">
        <f t="shared" si="159"/>
        <v>6.2589856334903828</v>
      </c>
      <c r="BM86" s="154">
        <f t="shared" ref="BM86:BM101" si="160">(BM6-BI6)/BI6*100</f>
        <v>9.4554717661822973</v>
      </c>
      <c r="BN86" s="154">
        <f t="shared" ref="BN86:BN101" si="161">(BN6-BJ6)/BJ6*100</f>
        <v>4.3173177798091311</v>
      </c>
      <c r="BO86" s="154">
        <f t="shared" ref="BO86:BO101" si="162">(BO6-BK6)/BK6*100</f>
        <v>6.8173531605760989</v>
      </c>
      <c r="BP86" s="154">
        <f t="shared" ref="BP86:BP101" si="163">(BP6-BL6)/BL6*100</f>
        <v>-3.0238350416081081</v>
      </c>
      <c r="BQ86" s="154">
        <f t="shared" ref="BQ86:BQ101" si="164">(BQ6-BM6)/BM6*100</f>
        <v>-6.6269105454542014</v>
      </c>
      <c r="BR86" s="154">
        <f t="shared" ref="BR86:BR101" si="165">(BR6-BN6)/BN6*100</f>
        <v>-7.2188308173843847</v>
      </c>
      <c r="BS86" s="154">
        <f t="shared" ref="BS86:BS101" si="166">(BS6-BO6)/BO6*100</f>
        <v>-1.8514716350413536</v>
      </c>
      <c r="BT86" s="154">
        <f t="shared" ref="BT86:BT101" si="167">(BT6-BP6)/BP6*100</f>
        <v>0.80278522310049616</v>
      </c>
      <c r="BU86" s="154">
        <f t="shared" ref="BU86:BU101" si="168">(BU6-BQ6)/BQ6*100</f>
        <v>0.73084461097240472</v>
      </c>
      <c r="BV86" s="154">
        <f t="shared" ref="BV86:BV101" si="169">(BV6-BR6)/BR6*100</f>
        <v>4.7160187780687508</v>
      </c>
      <c r="BW86" s="154">
        <f t="shared" ref="BW86:BW101" si="170">(BW6-BS6)/BS6*100</f>
        <v>-1.1773446583836948</v>
      </c>
      <c r="BX86" s="154">
        <f t="shared" ref="BX86:BX101" si="171">(BX6-BT6)/BT6*100</f>
        <v>2.1284776348254471</v>
      </c>
      <c r="BY86" s="154">
        <f t="shared" ref="BY86:BY101" si="172">(BY6-BU6)/BU6*100</f>
        <v>5.9389865781704394</v>
      </c>
    </row>
    <row r="87" spans="1:77">
      <c r="A87" s="3" t="s">
        <v>1</v>
      </c>
      <c r="B87" s="252"/>
      <c r="C87" s="156"/>
      <c r="D87" s="156"/>
      <c r="E87" s="156"/>
      <c r="F87" s="156">
        <f t="shared" si="158"/>
        <v>-9.6542445247659909</v>
      </c>
      <c r="G87" s="156">
        <f t="shared" si="158"/>
        <v>23.989144978040517</v>
      </c>
      <c r="H87" s="156">
        <f t="shared" si="158"/>
        <v>45.209120390491805</v>
      </c>
      <c r="I87" s="156">
        <f t="shared" si="158"/>
        <v>46.79781146890533</v>
      </c>
      <c r="J87" s="156">
        <f t="shared" si="158"/>
        <v>16.982667138309164</v>
      </c>
      <c r="K87" s="156">
        <f t="shared" si="158"/>
        <v>1.1348644100863092</v>
      </c>
      <c r="L87" s="156">
        <f t="shared" si="158"/>
        <v>-4.7710868338955033</v>
      </c>
      <c r="M87" s="156">
        <f t="shared" si="158"/>
        <v>-6.6484104268261568</v>
      </c>
      <c r="N87" s="156">
        <f t="shared" si="158"/>
        <v>-4.0909255843488248</v>
      </c>
      <c r="O87" s="156">
        <f t="shared" si="158"/>
        <v>-6.6400941131364997</v>
      </c>
      <c r="P87" s="156">
        <f t="shared" si="158"/>
        <v>-6.6606425095953297</v>
      </c>
      <c r="Q87" s="156">
        <f t="shared" si="158"/>
        <v>-3.7914384278701356</v>
      </c>
      <c r="R87" s="156">
        <f t="shared" si="158"/>
        <v>2.1562143243808181</v>
      </c>
      <c r="S87" s="156">
        <f t="shared" si="158"/>
        <v>5.9919739395172069</v>
      </c>
      <c r="T87" s="156">
        <f t="shared" si="158"/>
        <v>8.1561117252160109</v>
      </c>
      <c r="U87" s="156">
        <f t="shared" si="158"/>
        <v>8.5534206269708104</v>
      </c>
      <c r="V87" s="156">
        <f t="shared" si="158"/>
        <v>7.1044997222393684</v>
      </c>
      <c r="W87" s="156">
        <f t="shared" si="158"/>
        <v>6.4629488950065914</v>
      </c>
      <c r="X87" s="156">
        <f t="shared" si="158"/>
        <v>4.7716326867855612</v>
      </c>
      <c r="Y87" s="156">
        <f t="shared" si="158"/>
        <v>0.66760867865017037</v>
      </c>
      <c r="Z87" s="156">
        <f t="shared" si="158"/>
        <v>-2.4804633471645912</v>
      </c>
      <c r="AA87" s="156">
        <f t="shared" si="158"/>
        <v>-3.7613745767391378</v>
      </c>
      <c r="AB87" s="156">
        <f t="shared" si="158"/>
        <v>-4.145379735984922</v>
      </c>
      <c r="AC87" s="156">
        <f t="shared" si="158"/>
        <v>-2.7993802153012561</v>
      </c>
      <c r="AD87" s="156">
        <f t="shared" si="158"/>
        <v>1.864659290291272</v>
      </c>
      <c r="AE87" s="156">
        <f t="shared" si="158"/>
        <v>5.8865219973850298</v>
      </c>
      <c r="AF87" s="156">
        <f t="shared" si="158"/>
        <v>8.4091965946487441</v>
      </c>
      <c r="AG87" s="156">
        <f t="shared" si="158"/>
        <v>9.8838717835693153</v>
      </c>
      <c r="AH87" s="156">
        <f t="shared" si="158"/>
        <v>6.992931533806118</v>
      </c>
      <c r="AI87" s="156">
        <f t="shared" si="158"/>
        <v>2.6637661986161816</v>
      </c>
      <c r="AJ87" s="156">
        <f t="shared" si="158"/>
        <v>-2.3131440198524809</v>
      </c>
      <c r="AK87" s="156">
        <f t="shared" si="158"/>
        <v>-4.18588947097866</v>
      </c>
      <c r="AL87" s="156">
        <f t="shared" si="158"/>
        <v>-3.7684695675748947</v>
      </c>
      <c r="AM87" s="156">
        <f t="shared" si="158"/>
        <v>-2.0127987748181373</v>
      </c>
      <c r="AN87" s="156">
        <f t="shared" si="158"/>
        <v>3.0596447772116981</v>
      </c>
      <c r="AO87" s="156">
        <f t="shared" si="158"/>
        <v>6.455724888108322</v>
      </c>
      <c r="AP87" s="156">
        <f t="shared" si="158"/>
        <v>5.2916185378222336</v>
      </c>
      <c r="AQ87" s="156">
        <f t="shared" si="158"/>
        <v>4.1257605358638063</v>
      </c>
      <c r="AR87" s="156">
        <f t="shared" si="158"/>
        <v>2.1390724859343337</v>
      </c>
      <c r="AS87" s="156">
        <f t="shared" si="158"/>
        <v>-0.13767595327425552</v>
      </c>
      <c r="AT87" s="156">
        <f t="shared" si="158"/>
        <v>-2.0656747631863048</v>
      </c>
      <c r="AU87" s="156">
        <f t="shared" si="158"/>
        <v>-5.1651028485381039</v>
      </c>
      <c r="AV87" s="156">
        <f t="shared" si="158"/>
        <v>-7.0378263613318577</v>
      </c>
      <c r="AW87" s="156">
        <f t="shared" si="158"/>
        <v>-7.5701199544035829</v>
      </c>
      <c r="AX87" s="156">
        <f t="shared" si="158"/>
        <v>-3.7881219903691816</v>
      </c>
      <c r="AY87" s="156">
        <f t="shared" si="158"/>
        <v>1.7876700229641405</v>
      </c>
      <c r="AZ87" s="156">
        <f t="shared" si="158"/>
        <v>4.6957809881994228</v>
      </c>
      <c r="BA87" s="156">
        <f t="shared" si="158"/>
        <v>8.3299099839282764</v>
      </c>
      <c r="BB87" s="156">
        <f t="shared" si="158"/>
        <v>12.640299874342428</v>
      </c>
      <c r="BC87" s="156">
        <f t="shared" si="158"/>
        <v>13.537190656346535</v>
      </c>
      <c r="BD87" s="156">
        <f t="shared" si="158"/>
        <v>19.533652492255698</v>
      </c>
      <c r="BE87" s="156">
        <f t="shared" si="158"/>
        <v>18.447751661555042</v>
      </c>
      <c r="BF87" s="156">
        <f t="shared" si="158"/>
        <v>10.440630780210757</v>
      </c>
      <c r="BG87" s="156">
        <f t="shared" si="158"/>
        <v>2.5790824378674011</v>
      </c>
      <c r="BH87" s="156">
        <f t="shared" si="158"/>
        <v>-6.8527233792407438</v>
      </c>
      <c r="BI87" s="156">
        <f t="shared" si="159"/>
        <v>-11.167119495486853</v>
      </c>
      <c r="BJ87" s="156">
        <f t="shared" si="159"/>
        <v>-8.9270815813333257</v>
      </c>
      <c r="BK87" s="156">
        <f>(BK7-BG7)/BG7*100</f>
        <v>-2.4066364264730353</v>
      </c>
      <c r="BL87" s="156">
        <f t="shared" si="159"/>
        <v>4.5040416143600783</v>
      </c>
      <c r="BM87" s="156">
        <f t="shared" si="160"/>
        <v>9.4433957442619718</v>
      </c>
      <c r="BN87" s="156">
        <f t="shared" si="161"/>
        <v>7.2088641004033853</v>
      </c>
      <c r="BO87" s="156">
        <f t="shared" si="162"/>
        <v>2.0033941357300558</v>
      </c>
      <c r="BP87" s="156">
        <f t="shared" si="163"/>
        <v>-2.9103156399478407</v>
      </c>
      <c r="BQ87" s="156">
        <f>(BQ7-BM7)/BM7*100</f>
        <v>-5.9431537923492295</v>
      </c>
      <c r="BR87" s="156">
        <f t="shared" si="165"/>
        <v>-3.8150172039416876</v>
      </c>
      <c r="BS87" s="156">
        <f t="shared" si="166"/>
        <v>0.6755726920336016</v>
      </c>
      <c r="BT87" s="156">
        <f t="shared" si="167"/>
        <v>4.0099458010265785</v>
      </c>
      <c r="BU87" s="156">
        <f t="shared" si="168"/>
        <v>7.5850217524703574</v>
      </c>
      <c r="BV87" s="156">
        <f t="shared" si="169"/>
        <v>5.2561524561113888</v>
      </c>
      <c r="BW87" s="156">
        <f t="shared" si="170"/>
        <v>2.2295405559635109</v>
      </c>
      <c r="BX87" s="156">
        <f t="shared" si="171"/>
        <v>1.3662084829244099</v>
      </c>
      <c r="BY87" s="156">
        <f t="shared" si="172"/>
        <v>0.54546358055694555</v>
      </c>
    </row>
    <row r="88" spans="1:77">
      <c r="A88" s="170" t="s">
        <v>2</v>
      </c>
      <c r="B88" s="253"/>
      <c r="C88" s="157"/>
      <c r="D88" s="157"/>
      <c r="E88" s="157"/>
      <c r="F88" s="157">
        <f t="shared" si="158"/>
        <v>-1.1877694522350146</v>
      </c>
      <c r="G88" s="157">
        <f t="shared" si="158"/>
        <v>-1.195310095604952</v>
      </c>
      <c r="H88" s="157">
        <f t="shared" si="158"/>
        <v>-0.84271842728376434</v>
      </c>
      <c r="I88" s="157">
        <f t="shared" si="158"/>
        <v>3.7944356953272557E-2</v>
      </c>
      <c r="J88" s="157">
        <f t="shared" si="158"/>
        <v>-0.53332222988889255</v>
      </c>
      <c r="K88" s="157">
        <f t="shared" si="158"/>
        <v>2.0696220974046198</v>
      </c>
      <c r="L88" s="157">
        <f t="shared" si="158"/>
        <v>2.7099354399828668</v>
      </c>
      <c r="M88" s="157">
        <f t="shared" si="158"/>
        <v>2.5790374395772657</v>
      </c>
      <c r="N88" s="157">
        <f t="shared" si="158"/>
        <v>2.511929437214417</v>
      </c>
      <c r="O88" s="157">
        <f t="shared" si="158"/>
        <v>0.28169152735084863</v>
      </c>
      <c r="P88" s="157">
        <f t="shared" si="158"/>
        <v>-1.3724620207944236</v>
      </c>
      <c r="Q88" s="157">
        <f t="shared" si="158"/>
        <v>-1.7641807645027221</v>
      </c>
      <c r="R88" s="157">
        <f t="shared" si="158"/>
        <v>-2.1789971794395626</v>
      </c>
      <c r="S88" s="157">
        <f t="shared" si="158"/>
        <v>-1.9470417369776185</v>
      </c>
      <c r="T88" s="157">
        <f t="shared" si="158"/>
        <v>-1.02304906059552</v>
      </c>
      <c r="U88" s="157">
        <f t="shared" si="158"/>
        <v>-0.42879240439071509</v>
      </c>
      <c r="V88" s="157">
        <f t="shared" si="158"/>
        <v>-0.97749982208662489</v>
      </c>
      <c r="W88" s="157">
        <f t="shared" si="158"/>
        <v>-0.57684065560286957</v>
      </c>
      <c r="X88" s="157">
        <f t="shared" si="158"/>
        <v>-1.4547383168217765</v>
      </c>
      <c r="Y88" s="157">
        <f t="shared" si="158"/>
        <v>-1.3905723234056171</v>
      </c>
      <c r="Z88" s="157">
        <f t="shared" si="158"/>
        <v>-0.49252569250853634</v>
      </c>
      <c r="AA88" s="157">
        <f t="shared" si="158"/>
        <v>0.30481539038292027</v>
      </c>
      <c r="AB88" s="157">
        <f t="shared" si="158"/>
        <v>0.47495701502940724</v>
      </c>
      <c r="AC88" s="157">
        <f t="shared" si="158"/>
        <v>-0.68380916622295229</v>
      </c>
      <c r="AD88" s="157">
        <f t="shared" si="158"/>
        <v>-0.37246587032438072</v>
      </c>
      <c r="AE88" s="157">
        <f t="shared" si="158"/>
        <v>-0.11144239649840859</v>
      </c>
      <c r="AF88" s="157">
        <f t="shared" si="158"/>
        <v>1.4927534767141062</v>
      </c>
      <c r="AG88" s="157">
        <f t="shared" si="158"/>
        <v>3.0167699042039757</v>
      </c>
      <c r="AH88" s="157">
        <f t="shared" si="158"/>
        <v>3.006479367928772</v>
      </c>
      <c r="AI88" s="157">
        <f t="shared" si="158"/>
        <v>3.3850617968725718</v>
      </c>
      <c r="AJ88" s="157">
        <f t="shared" si="158"/>
        <v>3.7294693071637695</v>
      </c>
      <c r="AK88" s="157">
        <f t="shared" si="158"/>
        <v>3.4575219550390059</v>
      </c>
      <c r="AL88" s="157">
        <f t="shared" si="158"/>
        <v>3.3823365927579592</v>
      </c>
      <c r="AM88" s="157">
        <f t="shared" si="158"/>
        <v>0.99045233770742891</v>
      </c>
      <c r="AN88" s="157">
        <f t="shared" si="158"/>
        <v>2.398994068707152</v>
      </c>
      <c r="AO88" s="157">
        <f t="shared" si="158"/>
        <v>-0.68526452408940786</v>
      </c>
      <c r="AP88" s="157">
        <f t="shared" si="158"/>
        <v>1.8973481583812526</v>
      </c>
      <c r="AQ88" s="157">
        <f t="shared" si="158"/>
        <v>2.3423391511033596</v>
      </c>
      <c r="AR88" s="157">
        <f t="shared" si="158"/>
        <v>-1.0618843464263414</v>
      </c>
      <c r="AS88" s="157">
        <f t="shared" si="158"/>
        <v>0.97200935205758232</v>
      </c>
      <c r="AT88" s="157">
        <f t="shared" si="158"/>
        <v>-3.9979121692837301</v>
      </c>
      <c r="AU88" s="157">
        <f t="shared" si="158"/>
        <v>-1.6390767468913159</v>
      </c>
      <c r="AV88" s="157">
        <f t="shared" si="158"/>
        <v>0.53657434623893352</v>
      </c>
      <c r="AW88" s="157">
        <f t="shared" si="158"/>
        <v>2.8116563058531936</v>
      </c>
      <c r="AX88" s="157">
        <f t="shared" si="158"/>
        <v>4.863265892846969</v>
      </c>
      <c r="AY88" s="157">
        <f t="shared" si="158"/>
        <v>0.52750965181741072</v>
      </c>
      <c r="AZ88" s="157">
        <f t="shared" si="158"/>
        <v>-1.0794543194214412</v>
      </c>
      <c r="BA88" s="157">
        <f t="shared" si="158"/>
        <v>-4.193523750487067</v>
      </c>
      <c r="BB88" s="157">
        <f t="shared" si="158"/>
        <v>-8.3483685931698748</v>
      </c>
      <c r="BC88" s="157">
        <f t="shared" si="158"/>
        <v>-3.6468305322837451</v>
      </c>
      <c r="BD88" s="157">
        <f t="shared" si="158"/>
        <v>-5.9217350082745712</v>
      </c>
      <c r="BE88" s="157">
        <f t="shared" si="158"/>
        <v>-4.5498938281808519</v>
      </c>
      <c r="BF88" s="157">
        <f t="shared" si="158"/>
        <v>-6.7118254514341569</v>
      </c>
      <c r="BG88" s="157">
        <f t="shared" si="158"/>
        <v>-6.1311751253516897</v>
      </c>
      <c r="BH88" s="157">
        <f t="shared" si="158"/>
        <v>-5.0114157129010195</v>
      </c>
      <c r="BI88" s="157">
        <f t="shared" si="159"/>
        <v>-3.6063248282321649</v>
      </c>
      <c r="BJ88" s="157">
        <f t="shared" si="159"/>
        <v>7.7238970834419414</v>
      </c>
      <c r="BK88" s="157">
        <f t="shared" si="159"/>
        <v>-1.4732544844448179</v>
      </c>
      <c r="BL88" s="157">
        <f t="shared" si="159"/>
        <v>7.0172853202060113</v>
      </c>
      <c r="BM88" s="157">
        <f t="shared" si="160"/>
        <v>9.4604923108534411</v>
      </c>
      <c r="BN88" s="157">
        <f t="shared" si="161"/>
        <v>3.1564129601946473</v>
      </c>
      <c r="BO88" s="157">
        <f t="shared" si="162"/>
        <v>8.920734810652208</v>
      </c>
      <c r="BP88" s="157">
        <f t="shared" si="163"/>
        <v>-3.0717340870985095</v>
      </c>
      <c r="BQ88" s="157">
        <f t="shared" si="164"/>
        <v>-6.9111345369307191</v>
      </c>
      <c r="BR88" s="157">
        <f t="shared" si="165"/>
        <v>-8.6390870174130718</v>
      </c>
      <c r="BS88" s="157">
        <f t="shared" si="166"/>
        <v>-2.8855003800981072</v>
      </c>
      <c r="BT88" s="157">
        <f t="shared" si="167"/>
        <v>-0.55271663357447909</v>
      </c>
      <c r="BU88" s="157">
        <f t="shared" si="168"/>
        <v>-2.1479262952113642</v>
      </c>
      <c r="BV88" s="157">
        <f t="shared" si="169"/>
        <v>4.4787453960243226</v>
      </c>
      <c r="BW88" s="157">
        <f t="shared" si="170"/>
        <v>-2.6225091604390607</v>
      </c>
      <c r="BX88" s="157">
        <f t="shared" si="171"/>
        <v>2.465430926077421</v>
      </c>
      <c r="BY88" s="157">
        <f t="shared" si="172"/>
        <v>8.4295986785952088</v>
      </c>
    </row>
    <row r="89" spans="1:77">
      <c r="A89" s="2" t="s">
        <v>3</v>
      </c>
      <c r="B89" s="256"/>
      <c r="C89" s="155"/>
      <c r="D89" s="155"/>
      <c r="E89" s="155"/>
      <c r="F89" s="155">
        <f>(F9-B9)/B9*100</f>
        <v>2.196464060035106</v>
      </c>
      <c r="G89" s="155">
        <f t="shared" si="158"/>
        <v>1.534250603785192</v>
      </c>
      <c r="H89" s="155">
        <f t="shared" si="158"/>
        <v>2.0781999918713971</v>
      </c>
      <c r="I89" s="155">
        <f t="shared" si="158"/>
        <v>3.9578717792293441</v>
      </c>
      <c r="J89" s="155">
        <f t="shared" si="158"/>
        <v>3.1123196557648898</v>
      </c>
      <c r="K89" s="155">
        <f t="shared" si="158"/>
        <v>4.3972431354926274</v>
      </c>
      <c r="L89" s="155">
        <f t="shared" si="158"/>
        <v>2.8849889964923419</v>
      </c>
      <c r="M89" s="155">
        <f t="shared" si="158"/>
        <v>1.2894803526512688</v>
      </c>
      <c r="N89" s="155">
        <f t="shared" si="158"/>
        <v>0.5315166562106296</v>
      </c>
      <c r="O89" s="155">
        <f t="shared" si="158"/>
        <v>-1.5012275222187215</v>
      </c>
      <c r="P89" s="155">
        <f t="shared" si="158"/>
        <v>-2.4867368045297913</v>
      </c>
      <c r="Q89" s="155">
        <f t="shared" si="158"/>
        <v>-2.4371323274165118</v>
      </c>
      <c r="R89" s="155">
        <f t="shared" si="158"/>
        <v>-2.3870087514115421</v>
      </c>
      <c r="S89" s="155">
        <f t="shared" si="158"/>
        <v>-1.2897473295046906</v>
      </c>
      <c r="T89" s="155">
        <f t="shared" si="158"/>
        <v>1.3290642055169868</v>
      </c>
      <c r="U89" s="155">
        <f t="shared" si="158"/>
        <v>3.5807142869180275</v>
      </c>
      <c r="V89" s="155">
        <f t="shared" si="158"/>
        <v>6.3004720884900074</v>
      </c>
      <c r="W89" s="155">
        <f t="shared" si="158"/>
        <v>7.2709331474115499</v>
      </c>
      <c r="X89" s="155">
        <f t="shared" si="158"/>
        <v>7.9530206593143014</v>
      </c>
      <c r="Y89" s="155">
        <f t="shared" si="158"/>
        <v>7.7539054600519171</v>
      </c>
      <c r="Z89" s="155">
        <f t="shared" si="158"/>
        <v>5.6800314443604787</v>
      </c>
      <c r="AA89" s="155">
        <f t="shared" si="158"/>
        <v>3.9585931624726847</v>
      </c>
      <c r="AB89" s="155">
        <f t="shared" si="158"/>
        <v>1.0529956573536692</v>
      </c>
      <c r="AC89" s="155">
        <f t="shared" si="158"/>
        <v>9.6198765953377924E-2</v>
      </c>
      <c r="AD89" s="155">
        <f t="shared" si="158"/>
        <v>0.74516985904707234</v>
      </c>
      <c r="AE89" s="155">
        <f t="shared" si="158"/>
        <v>2.5956641390196737</v>
      </c>
      <c r="AF89" s="155">
        <f t="shared" si="158"/>
        <v>4.7831484179837434</v>
      </c>
      <c r="AG89" s="155">
        <f t="shared" si="158"/>
        <v>4.5343666672872702</v>
      </c>
      <c r="AH89" s="155">
        <f t="shared" si="158"/>
        <v>2.9479938576644753</v>
      </c>
      <c r="AI89" s="155">
        <f t="shared" si="158"/>
        <v>0.27257570992962177</v>
      </c>
      <c r="AJ89" s="155">
        <f t="shared" si="158"/>
        <v>-1.577153204917572</v>
      </c>
      <c r="AK89" s="155">
        <f t="shared" si="158"/>
        <v>-2.158143751452974</v>
      </c>
      <c r="AL89" s="155">
        <f t="shared" si="158"/>
        <v>1.1442062958674508</v>
      </c>
      <c r="AM89" s="155">
        <f t="shared" si="158"/>
        <v>4.4948110616580861</v>
      </c>
      <c r="AN89" s="155">
        <f t="shared" si="158"/>
        <v>7.7877771492980319</v>
      </c>
      <c r="AO89" s="155">
        <f t="shared" si="158"/>
        <v>8.7966184783838361</v>
      </c>
      <c r="AP89" s="155">
        <f t="shared" si="158"/>
        <v>6.1774281244475278</v>
      </c>
      <c r="AQ89" s="155">
        <f t="shared" si="158"/>
        <v>7.2627864410312561</v>
      </c>
      <c r="AR89" s="155">
        <f t="shared" si="158"/>
        <v>6.9621324743971034</v>
      </c>
      <c r="AS89" s="155">
        <f t="shared" si="158"/>
        <v>6.597319158187946</v>
      </c>
      <c r="AT89" s="155">
        <f t="shared" si="158"/>
        <v>7.7136392160743625</v>
      </c>
      <c r="AU89" s="155">
        <f t="shared" si="158"/>
        <v>6.0257521050561307</v>
      </c>
      <c r="AV89" s="155">
        <f t="shared" si="158"/>
        <v>5.6467533555165916</v>
      </c>
      <c r="AW89" s="155">
        <f t="shared" si="158"/>
        <v>7.0715099551301241</v>
      </c>
      <c r="AX89" s="155">
        <f t="shared" si="158"/>
        <v>7.6999160593755889</v>
      </c>
      <c r="AY89" s="155">
        <f t="shared" si="158"/>
        <v>6.6630859928737758</v>
      </c>
      <c r="AZ89" s="155">
        <f t="shared" si="158"/>
        <v>5.0589813779412625</v>
      </c>
      <c r="BA89" s="155">
        <f t="shared" si="158"/>
        <v>5.6227151531347719</v>
      </c>
      <c r="BB89" s="155">
        <f t="shared" si="158"/>
        <v>3.1618810648124587</v>
      </c>
      <c r="BC89" s="155">
        <f t="shared" si="158"/>
        <v>5.6519496547877006</v>
      </c>
      <c r="BD89" s="155">
        <f t="shared" si="158"/>
        <v>4.5796997760260991</v>
      </c>
      <c r="BE89" s="155">
        <f t="shared" si="158"/>
        <v>-1.8213455374568348</v>
      </c>
      <c r="BF89" s="155">
        <f t="shared" si="158"/>
        <v>-5.941189075985954</v>
      </c>
      <c r="BG89" s="155">
        <f t="shared" si="158"/>
        <v>-10.664196043524822</v>
      </c>
      <c r="BH89" s="155">
        <f t="shared" si="158"/>
        <v>-8.2471892715555164</v>
      </c>
      <c r="BI89" s="155">
        <f t="shared" si="159"/>
        <v>-2.4587123804899935</v>
      </c>
      <c r="BJ89" s="155">
        <f t="shared" si="159"/>
        <v>3.5703527632355763</v>
      </c>
      <c r="BK89" s="155">
        <f t="shared" si="159"/>
        <v>6.9354511795220493</v>
      </c>
      <c r="BL89" s="155">
        <f t="shared" si="159"/>
        <v>4.2926909505324504</v>
      </c>
      <c r="BM89" s="155">
        <f t="shared" si="160"/>
        <v>3.1646476838012956</v>
      </c>
      <c r="BN89" s="155">
        <f t="shared" si="161"/>
        <v>4.2479750794352746</v>
      </c>
      <c r="BO89" s="155">
        <f t="shared" si="162"/>
        <v>1.9750957880344855</v>
      </c>
      <c r="BP89" s="155">
        <f t="shared" si="163"/>
        <v>2.3283728053940047</v>
      </c>
      <c r="BQ89" s="155">
        <f t="shared" si="164"/>
        <v>2.0906319524569552</v>
      </c>
      <c r="BR89" s="155">
        <f t="shared" si="165"/>
        <v>1.0464624115371544</v>
      </c>
      <c r="BS89" s="155">
        <f t="shared" si="166"/>
        <v>1.6537728370712264</v>
      </c>
      <c r="BT89" s="155">
        <f t="shared" si="167"/>
        <v>2.1272974123239501</v>
      </c>
      <c r="BU89" s="155">
        <f t="shared" si="168"/>
        <v>2.2337440334151908</v>
      </c>
      <c r="BV89" s="155">
        <f t="shared" si="169"/>
        <v>-0.60121040613696175</v>
      </c>
      <c r="BW89" s="155">
        <f t="shared" si="170"/>
        <v>2.0263899578253053</v>
      </c>
      <c r="BX89" s="155">
        <f t="shared" si="171"/>
        <v>0.56718598880230864</v>
      </c>
      <c r="BY89" s="155">
        <f t="shared" si="172"/>
        <v>1.8559651972881457</v>
      </c>
    </row>
    <row r="90" spans="1:77">
      <c r="A90" s="3" t="s">
        <v>4</v>
      </c>
      <c r="B90" s="252"/>
      <c r="C90" s="156"/>
      <c r="D90" s="156"/>
      <c r="E90" s="156"/>
      <c r="F90" s="156">
        <f t="shared" ref="F90:U101" si="173">(F10-B10)/B10*100</f>
        <v>2.2828354239822986</v>
      </c>
      <c r="G90" s="156">
        <f t="shared" si="158"/>
        <v>0.76334112918261832</v>
      </c>
      <c r="H90" s="156">
        <f t="shared" si="158"/>
        <v>0.5497393938486852</v>
      </c>
      <c r="I90" s="156">
        <f t="shared" si="158"/>
        <v>2.0215750051158237</v>
      </c>
      <c r="J90" s="156">
        <f t="shared" si="158"/>
        <v>1.7396684881834312</v>
      </c>
      <c r="K90" s="156">
        <f t="shared" si="158"/>
        <v>3.8806694175470176</v>
      </c>
      <c r="L90" s="156">
        <f t="shared" si="158"/>
        <v>3.0912483132358672</v>
      </c>
      <c r="M90" s="156">
        <f t="shared" si="158"/>
        <v>2.0963846096274241</v>
      </c>
      <c r="N90" s="156">
        <f t="shared" si="158"/>
        <v>1.900213440502698</v>
      </c>
      <c r="O90" s="156">
        <f t="shared" si="158"/>
        <v>-4.4611506067677761E-2</v>
      </c>
      <c r="P90" s="156">
        <f t="shared" si="158"/>
        <v>-1.1680992434878863</v>
      </c>
      <c r="Q90" s="156">
        <f t="shared" si="158"/>
        <v>-1.4555415217174119</v>
      </c>
      <c r="R90" s="156">
        <f t="shared" si="158"/>
        <v>-2.0752368074244649</v>
      </c>
      <c r="S90" s="156">
        <f t="shared" si="158"/>
        <v>-1.2823209821334642</v>
      </c>
      <c r="T90" s="156">
        <f t="shared" si="158"/>
        <v>1.598302651968686</v>
      </c>
      <c r="U90" s="156">
        <f t="shared" si="158"/>
        <v>4.2397733318910324</v>
      </c>
      <c r="V90" s="156">
        <f t="shared" si="158"/>
        <v>7.126759061510354</v>
      </c>
      <c r="W90" s="156">
        <f t="shared" si="158"/>
        <v>8.0891515082571619</v>
      </c>
      <c r="X90" s="156">
        <f t="shared" si="158"/>
        <v>8.6095891709303789</v>
      </c>
      <c r="Y90" s="156">
        <f t="shared" si="158"/>
        <v>8.5429362693657307</v>
      </c>
      <c r="Z90" s="156">
        <f t="shared" si="158"/>
        <v>6.4441738402340158</v>
      </c>
      <c r="AA90" s="156">
        <f t="shared" si="158"/>
        <v>4.7313872500856693</v>
      </c>
      <c r="AB90" s="156">
        <f t="shared" si="158"/>
        <v>1.4900928748468716</v>
      </c>
      <c r="AC90" s="156">
        <f t="shared" si="158"/>
        <v>0.34025778586280658</v>
      </c>
      <c r="AD90" s="156">
        <f t="shared" si="158"/>
        <v>0.56488251502462017</v>
      </c>
      <c r="AE90" s="156">
        <f t="shared" si="158"/>
        <v>2.3214783173925153</v>
      </c>
      <c r="AF90" s="156">
        <f t="shared" si="158"/>
        <v>4.5881765928412843</v>
      </c>
      <c r="AG90" s="156">
        <f t="shared" si="158"/>
        <v>3.7468464549804263</v>
      </c>
      <c r="AH90" s="156">
        <f t="shared" si="158"/>
        <v>1.9562748536396852</v>
      </c>
      <c r="AI90" s="156">
        <f t="shared" si="158"/>
        <v>-1.0593426986352374</v>
      </c>
      <c r="AJ90" s="156">
        <f t="shared" si="158"/>
        <v>-3.121684379332593</v>
      </c>
      <c r="AK90" s="156">
        <f t="shared" si="158"/>
        <v>-3.6895108882497465</v>
      </c>
      <c r="AL90" s="156">
        <f t="shared" si="158"/>
        <v>0.10004629892174897</v>
      </c>
      <c r="AM90" s="156">
        <f t="shared" si="158"/>
        <v>3.8422929973434301</v>
      </c>
      <c r="AN90" s="156">
        <f t="shared" si="158"/>
        <v>7.3802610094419876</v>
      </c>
      <c r="AO90" s="156">
        <f t="shared" si="158"/>
        <v>8.3956572085288652</v>
      </c>
      <c r="AP90" s="156">
        <f t="shared" si="158"/>
        <v>5.2551294355401232</v>
      </c>
      <c r="AQ90" s="156">
        <f t="shared" ref="AQ90:BH101" si="174">(AQ10-AM10)/AM10*100</f>
        <v>6.7409492597194074</v>
      </c>
      <c r="AR90" s="156">
        <f t="shared" si="174"/>
        <v>6.6398855115697906</v>
      </c>
      <c r="AS90" s="156">
        <f t="shared" si="174"/>
        <v>6.149799196787149</v>
      </c>
      <c r="AT90" s="156">
        <f t="shared" si="174"/>
        <v>7.635702258383799</v>
      </c>
      <c r="AU90" s="156">
        <f t="shared" si="174"/>
        <v>5.6004052520354533</v>
      </c>
      <c r="AV90" s="156">
        <f t="shared" si="174"/>
        <v>5.254017583579083</v>
      </c>
      <c r="AW90" s="156">
        <f t="shared" si="174"/>
        <v>7.314585359025104</v>
      </c>
      <c r="AX90" s="156">
        <f t="shared" si="174"/>
        <v>7.3976774700111578</v>
      </c>
      <c r="AY90" s="156">
        <f t="shared" si="174"/>
        <v>5.8325796063824171</v>
      </c>
      <c r="AZ90" s="156">
        <f t="shared" si="174"/>
        <v>3.7715270010997322</v>
      </c>
      <c r="BA90" s="156">
        <f t="shared" si="174"/>
        <v>4.0903180861805328</v>
      </c>
      <c r="BB90" s="156">
        <f t="shared" si="174"/>
        <v>2.5345973999277032</v>
      </c>
      <c r="BC90" s="156">
        <f t="shared" si="174"/>
        <v>6.2427668224230501</v>
      </c>
      <c r="BD90" s="156">
        <f t="shared" si="174"/>
        <v>4.4712007499105919</v>
      </c>
      <c r="BE90" s="156">
        <f t="shared" si="174"/>
        <v>-2.6029807303977659</v>
      </c>
      <c r="BF90" s="156">
        <f t="shared" si="174"/>
        <v>-9.010357618912586</v>
      </c>
      <c r="BG90" s="156">
        <f t="shared" si="174"/>
        <v>-14.905664449347359</v>
      </c>
      <c r="BH90" s="156">
        <f t="shared" si="174"/>
        <v>-11.559896586492711</v>
      </c>
      <c r="BI90" s="156">
        <f t="shared" si="159"/>
        <v>-4.6645023788062829</v>
      </c>
      <c r="BJ90" s="156">
        <f t="shared" si="159"/>
        <v>3.7622788902759376</v>
      </c>
      <c r="BK90" s="156">
        <f t="shared" si="159"/>
        <v>8.6274118608017556</v>
      </c>
      <c r="BL90" s="156">
        <f t="shared" si="159"/>
        <v>5.6851362595971473</v>
      </c>
      <c r="BM90" s="156">
        <f>(BM10-BI10)/BI10*100</f>
        <v>4.1304831053774169</v>
      </c>
      <c r="BN90" s="156">
        <f t="shared" si="161"/>
        <v>5.525016983606875</v>
      </c>
      <c r="BO90" s="156">
        <f t="shared" si="162"/>
        <v>2.3027901809144278</v>
      </c>
      <c r="BP90" s="156">
        <f t="shared" si="163"/>
        <v>2.7506398067437323</v>
      </c>
      <c r="BQ90" s="156">
        <f t="shared" si="164"/>
        <v>2.5980316315985612</v>
      </c>
      <c r="BR90" s="156">
        <f t="shared" si="165"/>
        <v>1.1230516834595936</v>
      </c>
      <c r="BS90" s="156">
        <f t="shared" si="166"/>
        <v>2.1088529746746887</v>
      </c>
      <c r="BT90" s="156">
        <f t="shared" si="167"/>
        <v>2.4951997339832213</v>
      </c>
      <c r="BU90" s="156">
        <f t="shared" si="168"/>
        <v>2.5382187965009755</v>
      </c>
      <c r="BV90" s="156">
        <f t="shared" si="169"/>
        <v>-1.0255808410678764</v>
      </c>
      <c r="BW90" s="156">
        <f t="shared" si="170"/>
        <v>2.0250122927041927</v>
      </c>
      <c r="BX90" s="156">
        <f t="shared" si="171"/>
        <v>7.2276273521102233E-2</v>
      </c>
      <c r="BY90" s="156">
        <f t="shared" si="172"/>
        <v>1.9308105222296696</v>
      </c>
    </row>
    <row r="91" spans="1:77">
      <c r="A91" s="3" t="s">
        <v>5</v>
      </c>
      <c r="B91" s="252"/>
      <c r="C91" s="156"/>
      <c r="D91" s="156"/>
      <c r="E91" s="156"/>
      <c r="F91" s="156">
        <f t="shared" si="173"/>
        <v>2.3190328092597792</v>
      </c>
      <c r="G91" s="156">
        <f t="shared" si="173"/>
        <v>6.5676086141111698</v>
      </c>
      <c r="H91" s="156">
        <f t="shared" si="173"/>
        <v>13.68295215370255</v>
      </c>
      <c r="I91" s="156">
        <f t="shared" si="173"/>
        <v>20.834319431562633</v>
      </c>
      <c r="J91" s="156">
        <f t="shared" si="173"/>
        <v>13.452581760746154</v>
      </c>
      <c r="K91" s="156">
        <f t="shared" si="173"/>
        <v>9.172230066504282</v>
      </c>
      <c r="L91" s="156">
        <f t="shared" si="173"/>
        <v>0.88537542344376652</v>
      </c>
      <c r="M91" s="156">
        <f t="shared" si="173"/>
        <v>-6.2074948702829182</v>
      </c>
      <c r="N91" s="156">
        <f t="shared" si="173"/>
        <v>-5.9897053020574011</v>
      </c>
      <c r="O91" s="156">
        <f t="shared" si="173"/>
        <v>-7.4936793389096419</v>
      </c>
      <c r="P91" s="156">
        <f t="shared" si="173"/>
        <v>-6.9624548498822687</v>
      </c>
      <c r="Q91" s="156">
        <f t="shared" si="173"/>
        <v>-4.6957185138408599</v>
      </c>
      <c r="R91" s="156">
        <f t="shared" si="173"/>
        <v>-3.6032588719551755</v>
      </c>
      <c r="S91" s="156">
        <f t="shared" si="173"/>
        <v>-1.3062256709750424</v>
      </c>
      <c r="T91" s="156">
        <f t="shared" si="173"/>
        <v>0.6475864668142477</v>
      </c>
      <c r="U91" s="156">
        <f t="shared" si="173"/>
        <v>2.3648330637135806</v>
      </c>
      <c r="V91" s="156">
        <f t="shared" ref="V91:AP101" si="175">(V11-R11)/R11*100</f>
        <v>4.2073260954208269</v>
      </c>
      <c r="W91" s="156">
        <f t="shared" si="175"/>
        <v>3.9157828138506554</v>
      </c>
      <c r="X91" s="156">
        <f t="shared" si="175"/>
        <v>3.8071643121288843</v>
      </c>
      <c r="Y91" s="156">
        <f t="shared" si="175"/>
        <v>0.53193686054154632</v>
      </c>
      <c r="Z91" s="156">
        <f t="shared" si="175"/>
        <v>-2.1165794100608997</v>
      </c>
      <c r="AA91" s="156">
        <f t="shared" si="175"/>
        <v>-4.1841751879738602</v>
      </c>
      <c r="AB91" s="156">
        <f t="shared" si="175"/>
        <v>-4.7222602000556622</v>
      </c>
      <c r="AC91" s="156">
        <f t="shared" si="175"/>
        <v>-3.7623685579050394</v>
      </c>
      <c r="AD91" s="156">
        <f t="shared" si="175"/>
        <v>-0.63006774922034792</v>
      </c>
      <c r="AE91" s="156">
        <f t="shared" si="175"/>
        <v>3.1264496689483319</v>
      </c>
      <c r="AF91" s="156">
        <f t="shared" si="175"/>
        <v>4.6005189182259532</v>
      </c>
      <c r="AG91" s="156">
        <f t="shared" si="175"/>
        <v>6.9904074278688721</v>
      </c>
      <c r="AH91" s="156">
        <f t="shared" si="175"/>
        <v>5.2983579732933945</v>
      </c>
      <c r="AI91" s="156">
        <f t="shared" si="175"/>
        <v>2.9357070462257084</v>
      </c>
      <c r="AJ91" s="156">
        <f t="shared" si="175"/>
        <v>2.1194423872460866</v>
      </c>
      <c r="AK91" s="156">
        <f t="shared" si="175"/>
        <v>1.5537817638061351</v>
      </c>
      <c r="AL91" s="156">
        <f t="shared" si="175"/>
        <v>3.5217540253511475</v>
      </c>
      <c r="AM91" s="156">
        <f t="shared" si="175"/>
        <v>5.4967635877941028</v>
      </c>
      <c r="AN91" s="156">
        <f t="shared" si="175"/>
        <v>8.5921783899894297</v>
      </c>
      <c r="AO91" s="156">
        <f t="shared" si="175"/>
        <v>9.4780497673477644</v>
      </c>
      <c r="AP91" s="156">
        <f t="shared" si="175"/>
        <v>7.4870937851611643</v>
      </c>
      <c r="AQ91" s="156">
        <f t="shared" si="174"/>
        <v>6.4291975068172871</v>
      </c>
      <c r="AR91" s="156">
        <f t="shared" si="174"/>
        <v>3.7377939652736258</v>
      </c>
      <c r="AS91" s="156">
        <f t="shared" si="174"/>
        <v>3.9035695586559402</v>
      </c>
      <c r="AT91" s="156">
        <f t="shared" si="174"/>
        <v>4.6136983939569784</v>
      </c>
      <c r="AU91" s="156">
        <f t="shared" si="174"/>
        <v>3.9364698813004431</v>
      </c>
      <c r="AV91" s="156">
        <f t="shared" si="174"/>
        <v>3.3310179194871679</v>
      </c>
      <c r="AW91" s="156">
        <f t="shared" si="174"/>
        <v>1.8542259188503916</v>
      </c>
      <c r="AX91" s="156">
        <f t="shared" si="174"/>
        <v>2.662674004532211</v>
      </c>
      <c r="AY91" s="156">
        <f t="shared" si="174"/>
        <v>3.2714600146735142</v>
      </c>
      <c r="AZ91" s="156">
        <f t="shared" si="174"/>
        <v>4.09124194493263</v>
      </c>
      <c r="BA91" s="156">
        <f t="shared" si="174"/>
        <v>3.5031430068098479</v>
      </c>
      <c r="BB91" s="156">
        <f t="shared" si="174"/>
        <v>-2.3222344185650878</v>
      </c>
      <c r="BC91" s="156">
        <f t="shared" si="174"/>
        <v>-3.6286238323932372</v>
      </c>
      <c r="BD91" s="156">
        <f t="shared" si="174"/>
        <v>-1.466213268353233</v>
      </c>
      <c r="BE91" s="156">
        <f t="shared" si="174"/>
        <v>-5.0200244682388053</v>
      </c>
      <c r="BF91" s="156">
        <f t="shared" si="174"/>
        <v>-1.9463316600694824</v>
      </c>
      <c r="BG91" s="156">
        <f t="shared" si="174"/>
        <v>-0.96856192677960673</v>
      </c>
      <c r="BH91" s="156">
        <f t="shared" si="174"/>
        <v>-3.2585255229547037</v>
      </c>
      <c r="BI91" s="156">
        <f t="shared" si="159"/>
        <v>0.58533807777944091</v>
      </c>
      <c r="BJ91" s="156">
        <f t="shared" si="159"/>
        <v>3.2198988634037891</v>
      </c>
      <c r="BK91" s="156">
        <f t="shared" si="159"/>
        <v>2.5643087950540684</v>
      </c>
      <c r="BL91" s="156">
        <f t="shared" si="159"/>
        <v>1.441381711788122</v>
      </c>
      <c r="BM91" s="156">
        <f t="shared" si="160"/>
        <v>2.589050055509996</v>
      </c>
      <c r="BN91" s="156">
        <f t="shared" si="161"/>
        <v>1.6499261264800877</v>
      </c>
      <c r="BO91" s="156">
        <f t="shared" si="162"/>
        <v>2.0038419372310048</v>
      </c>
      <c r="BP91" s="156">
        <f t="shared" si="163"/>
        <v>1.764403270656334</v>
      </c>
      <c r="BQ91" s="156">
        <f t="shared" si="164"/>
        <v>0.51089189564660242</v>
      </c>
      <c r="BR91" s="156">
        <f t="shared" si="165"/>
        <v>-0.57685182131089496</v>
      </c>
      <c r="BS91" s="156">
        <f t="shared" si="166"/>
        <v>-2.1107382462555728</v>
      </c>
      <c r="BT91" s="156">
        <f t="shared" si="167"/>
        <v>-1.5063249163088754</v>
      </c>
      <c r="BU91" s="156">
        <f t="shared" si="168"/>
        <v>-2.3414999929074112</v>
      </c>
      <c r="BV91" s="156">
        <f t="shared" si="169"/>
        <v>-2.5129107939899447</v>
      </c>
      <c r="BW91" s="156">
        <f t="shared" si="170"/>
        <v>1.7536064002795858E-2</v>
      </c>
      <c r="BX91" s="156">
        <f t="shared" si="171"/>
        <v>0.82329613343573083</v>
      </c>
      <c r="BY91" s="156">
        <f t="shared" si="172"/>
        <v>3.6199598478196253E-2</v>
      </c>
    </row>
    <row r="92" spans="1:77">
      <c r="A92" s="170" t="s">
        <v>6</v>
      </c>
      <c r="B92" s="253"/>
      <c r="C92" s="157"/>
      <c r="D92" s="157"/>
      <c r="E92" s="157"/>
      <c r="F92" s="157">
        <f t="shared" si="173"/>
        <v>1.4086027521179096</v>
      </c>
      <c r="G92" s="157">
        <f t="shared" si="173"/>
        <v>2.3622952194015236</v>
      </c>
      <c r="H92" s="157">
        <f t="shared" si="173"/>
        <v>2.225192827772041</v>
      </c>
      <c r="I92" s="157">
        <f t="shared" si="173"/>
        <v>2.0651075324683452</v>
      </c>
      <c r="J92" s="157">
        <f t="shared" si="173"/>
        <v>3.0421505359633483</v>
      </c>
      <c r="K92" s="157">
        <f t="shared" si="173"/>
        <v>3.2532838907289743</v>
      </c>
      <c r="L92" s="157">
        <f t="shared" si="173"/>
        <v>3.5557577228655592</v>
      </c>
      <c r="M92" s="157">
        <f t="shared" si="173"/>
        <v>3.9109025282871808</v>
      </c>
      <c r="N92" s="157">
        <f t="shared" si="173"/>
        <v>-2.4999896311361556</v>
      </c>
      <c r="O92" s="157">
        <f t="shared" si="173"/>
        <v>-5.9400037611694643</v>
      </c>
      <c r="P92" s="157">
        <f t="shared" si="173"/>
        <v>-7.6152488061608183</v>
      </c>
      <c r="Q92" s="157">
        <f t="shared" si="173"/>
        <v>-7.4421349130977807</v>
      </c>
      <c r="R92" s="157">
        <f t="shared" si="173"/>
        <v>-3.5408626971147354</v>
      </c>
      <c r="S92" s="157">
        <f t="shared" si="173"/>
        <v>-1.33211868117597</v>
      </c>
      <c r="T92" s="157">
        <f t="shared" si="173"/>
        <v>-0.10995636506312477</v>
      </c>
      <c r="U92" s="157">
        <f t="shared" si="173"/>
        <v>-0.38187005317319794</v>
      </c>
      <c r="V92" s="157">
        <f t="shared" si="175"/>
        <v>1.9006095886429275</v>
      </c>
      <c r="W92" s="157">
        <f t="shared" si="175"/>
        <v>4.3063519915704189</v>
      </c>
      <c r="X92" s="157">
        <f t="shared" si="175"/>
        <v>7.1246318586881383</v>
      </c>
      <c r="Y92" s="157">
        <f t="shared" si="175"/>
        <v>9.2343988041510983</v>
      </c>
      <c r="Z92" s="157">
        <f t="shared" si="175"/>
        <v>7.9134063969482016</v>
      </c>
      <c r="AA92" s="157">
        <f t="shared" si="175"/>
        <v>6.4093839548436522</v>
      </c>
      <c r="AB92" s="157">
        <f t="shared" si="175"/>
        <v>3.6009542304677837</v>
      </c>
      <c r="AC92" s="157">
        <f t="shared" si="175"/>
        <v>2.046216668779802</v>
      </c>
      <c r="AD92" s="157">
        <f t="shared" si="175"/>
        <v>3.6586788622628754</v>
      </c>
      <c r="AE92" s="157">
        <f t="shared" si="175"/>
        <v>4.3522083154231188</v>
      </c>
      <c r="AF92" s="157">
        <f t="shared" si="175"/>
        <v>6.565982572742425</v>
      </c>
      <c r="AG92" s="157">
        <f t="shared" si="175"/>
        <v>8.6048812394073781</v>
      </c>
      <c r="AH92" s="157">
        <f t="shared" si="175"/>
        <v>8.7401519414743944</v>
      </c>
      <c r="AI92" s="157">
        <f t="shared" si="175"/>
        <v>8.5362896241122463</v>
      </c>
      <c r="AJ92" s="157">
        <f t="shared" si="175"/>
        <v>7.2882846320346317</v>
      </c>
      <c r="AK92" s="157">
        <f t="shared" si="175"/>
        <v>6.2855452184489957</v>
      </c>
      <c r="AL92" s="157">
        <f t="shared" si="175"/>
        <v>6.8797101918038619</v>
      </c>
      <c r="AM92" s="157">
        <f t="shared" si="175"/>
        <v>8.4203134476044568</v>
      </c>
      <c r="AN92" s="157">
        <f t="shared" si="175"/>
        <v>10.011663461841566</v>
      </c>
      <c r="AO92" s="157">
        <f t="shared" si="175"/>
        <v>11.020382914230924</v>
      </c>
      <c r="AP92" s="157">
        <f t="shared" si="175"/>
        <v>11.581527660089577</v>
      </c>
      <c r="AQ92" s="157">
        <f t="shared" si="174"/>
        <v>11.740807254099566</v>
      </c>
      <c r="AR92" s="157">
        <f t="shared" si="174"/>
        <v>12.195191839307716</v>
      </c>
      <c r="AS92" s="157">
        <f t="shared" si="174"/>
        <v>12.138518972530228</v>
      </c>
      <c r="AT92" s="157">
        <f t="shared" si="174"/>
        <v>10.970681565457948</v>
      </c>
      <c r="AU92" s="157">
        <f t="shared" si="174"/>
        <v>10.728494269529707</v>
      </c>
      <c r="AV92" s="157">
        <f t="shared" si="174"/>
        <v>10.254118247988762</v>
      </c>
      <c r="AW92" s="157">
        <f t="shared" si="174"/>
        <v>9.8482025291297113</v>
      </c>
      <c r="AX92" s="157">
        <f t="shared" si="174"/>
        <v>13.862547658617656</v>
      </c>
      <c r="AY92" s="157">
        <f t="shared" si="174"/>
        <v>14.809527208699169</v>
      </c>
      <c r="AZ92" s="157">
        <f t="shared" si="174"/>
        <v>14.12786657400973</v>
      </c>
      <c r="BA92" s="157">
        <f t="shared" si="174"/>
        <v>17.100531493836932</v>
      </c>
      <c r="BB92" s="157">
        <f t="shared" si="174"/>
        <v>11.143169914999564</v>
      </c>
      <c r="BC92" s="157">
        <f t="shared" si="174"/>
        <v>8.8814325091707893</v>
      </c>
      <c r="BD92" s="157">
        <f t="shared" si="174"/>
        <v>9.5767724126732769</v>
      </c>
      <c r="BE92" s="157">
        <f t="shared" si="174"/>
        <v>4.8330886897404151</v>
      </c>
      <c r="BF92" s="157">
        <f t="shared" si="174"/>
        <v>8.9207711641197776</v>
      </c>
      <c r="BG92" s="157">
        <f t="shared" si="174"/>
        <v>7.8671579579712239</v>
      </c>
      <c r="BH92" s="157">
        <f t="shared" si="174"/>
        <v>7.0389042772588759</v>
      </c>
      <c r="BI92" s="157">
        <f t="shared" si="159"/>
        <v>7.3329380869510183</v>
      </c>
      <c r="BJ92" s="157">
        <f t="shared" si="159"/>
        <v>2.8642605743060567</v>
      </c>
      <c r="BK92" s="157">
        <f t="shared" si="159"/>
        <v>1.7247372925471398</v>
      </c>
      <c r="BL92" s="157">
        <f t="shared" si="159"/>
        <v>-0.46844040666233538</v>
      </c>
      <c r="BM92" s="157">
        <f t="shared" si="160"/>
        <v>-1.0446186638946602</v>
      </c>
      <c r="BN92" s="157">
        <f t="shared" si="161"/>
        <v>-0.3402977562273839</v>
      </c>
      <c r="BO92" s="157">
        <f t="shared" si="162"/>
        <v>0.34447645927188064</v>
      </c>
      <c r="BP92" s="157">
        <f t="shared" si="163"/>
        <v>0.59400036163346037</v>
      </c>
      <c r="BQ92" s="157">
        <f t="shared" si="164"/>
        <v>0.5332523850823907</v>
      </c>
      <c r="BR92" s="157">
        <f t="shared" si="165"/>
        <v>1.6412621453260354</v>
      </c>
      <c r="BS92" s="157">
        <f t="shared" si="166"/>
        <v>1.6559980140194157</v>
      </c>
      <c r="BT92" s="157">
        <f t="shared" si="167"/>
        <v>2.4801044618374748</v>
      </c>
      <c r="BU92" s="157">
        <f t="shared" si="168"/>
        <v>3.4608510868841291</v>
      </c>
      <c r="BV92" s="157">
        <f t="shared" si="169"/>
        <v>2.6794678501294955</v>
      </c>
      <c r="BW92" s="157">
        <f t="shared" si="170"/>
        <v>3.2083178863807169</v>
      </c>
      <c r="BX92" s="157">
        <f t="shared" si="171"/>
        <v>2.8984676203422275</v>
      </c>
      <c r="BY92" s="157">
        <f t="shared" si="172"/>
        <v>2.5194769328675402</v>
      </c>
    </row>
    <row r="93" spans="1:77">
      <c r="A93" s="2" t="s">
        <v>7</v>
      </c>
      <c r="B93" s="256"/>
      <c r="C93" s="155"/>
      <c r="D93" s="155"/>
      <c r="E93" s="155"/>
      <c r="F93" s="155">
        <f>(F13-B13)/B13*100</f>
        <v>4.0906416798824186</v>
      </c>
      <c r="G93" s="155">
        <f t="shared" si="173"/>
        <v>4.0380766303436104</v>
      </c>
      <c r="H93" s="155">
        <f t="shared" si="173"/>
        <v>4.1470249459886075</v>
      </c>
      <c r="I93" s="155">
        <f t="shared" si="173"/>
        <v>4.4966500506134954</v>
      </c>
      <c r="J93" s="155">
        <f t="shared" si="173"/>
        <v>3.9004177939851732</v>
      </c>
      <c r="K93" s="155">
        <f t="shared" si="173"/>
        <v>3.1212232883641144</v>
      </c>
      <c r="L93" s="155">
        <f t="shared" si="173"/>
        <v>2.1753224599408774</v>
      </c>
      <c r="M93" s="155">
        <f t="shared" si="173"/>
        <v>1.0460230818517513</v>
      </c>
      <c r="N93" s="155">
        <f t="shared" si="173"/>
        <v>1.4807167267437864</v>
      </c>
      <c r="O93" s="155">
        <f t="shared" si="173"/>
        <v>2.0443375391608858</v>
      </c>
      <c r="P93" s="155">
        <f t="shared" si="173"/>
        <v>2.130323408212802</v>
      </c>
      <c r="Q93" s="155">
        <f t="shared" si="173"/>
        <v>2.3355281701407633</v>
      </c>
      <c r="R93" s="155">
        <f t="shared" si="173"/>
        <v>3.0088163197011646</v>
      </c>
      <c r="S93" s="155">
        <f t="shared" si="173"/>
        <v>3.3000884803073136</v>
      </c>
      <c r="T93" s="155">
        <f t="shared" si="173"/>
        <v>4.1312757153418609</v>
      </c>
      <c r="U93" s="155">
        <f t="shared" si="173"/>
        <v>4.8297585847787232</v>
      </c>
      <c r="V93" s="155">
        <f t="shared" si="175"/>
        <v>4.2542957438701663</v>
      </c>
      <c r="W93" s="155">
        <f t="shared" si="175"/>
        <v>4.0415030890558432</v>
      </c>
      <c r="X93" s="155">
        <f t="shared" si="175"/>
        <v>3.8037642384843613</v>
      </c>
      <c r="Y93" s="155">
        <f t="shared" si="175"/>
        <v>3.669244147394636</v>
      </c>
      <c r="Z93" s="155">
        <f t="shared" si="175"/>
        <v>3.6633144033061331</v>
      </c>
      <c r="AA93" s="155">
        <f t="shared" si="175"/>
        <v>3.5592371878185798</v>
      </c>
      <c r="AB93" s="155">
        <f t="shared" si="175"/>
        <v>3.4212056568124831</v>
      </c>
      <c r="AC93" s="155">
        <f t="shared" si="175"/>
        <v>3.6609052331614302</v>
      </c>
      <c r="AD93" s="155">
        <f t="shared" si="175"/>
        <v>4.0338418439650185</v>
      </c>
      <c r="AE93" s="155">
        <f t="shared" si="175"/>
        <v>4.3463610331433564</v>
      </c>
      <c r="AF93" s="155">
        <f t="shared" si="175"/>
        <v>4.0304055072571394</v>
      </c>
      <c r="AG93" s="155">
        <f t="shared" si="175"/>
        <v>3.8882416149846937</v>
      </c>
      <c r="AH93" s="155">
        <f t="shared" si="175"/>
        <v>3.9849044141954129</v>
      </c>
      <c r="AI93" s="155">
        <f t="shared" si="175"/>
        <v>3.8589960231395493</v>
      </c>
      <c r="AJ93" s="155">
        <f t="shared" si="175"/>
        <v>4.4449689368868865</v>
      </c>
      <c r="AK93" s="155">
        <f t="shared" si="175"/>
        <v>4.4070415900846065</v>
      </c>
      <c r="AL93" s="155">
        <f t="shared" si="175"/>
        <v>4.181423222240066</v>
      </c>
      <c r="AM93" s="155">
        <f t="shared" si="175"/>
        <v>4.4967951784176794</v>
      </c>
      <c r="AN93" s="155">
        <f t="shared" si="175"/>
        <v>4.6099794501737739</v>
      </c>
      <c r="AO93" s="155">
        <f t="shared" si="175"/>
        <v>5.3288146674560419</v>
      </c>
      <c r="AP93" s="155">
        <f t="shared" si="175"/>
        <v>5.2592235440291422</v>
      </c>
      <c r="AQ93" s="155">
        <f t="shared" si="174"/>
        <v>5.5348551915444864</v>
      </c>
      <c r="AR93" s="155">
        <f t="shared" si="174"/>
        <v>5.7492893676730317</v>
      </c>
      <c r="AS93" s="155">
        <f t="shared" si="174"/>
        <v>5.1379657086798591</v>
      </c>
      <c r="AT93" s="155">
        <f t="shared" si="174"/>
        <v>6.0862175568894745</v>
      </c>
      <c r="AU93" s="155">
        <f t="shared" si="174"/>
        <v>6.1340963554938677</v>
      </c>
      <c r="AV93" s="155">
        <f t="shared" si="174"/>
        <v>6.2850608952574216</v>
      </c>
      <c r="AW93" s="155">
        <f t="shared" si="174"/>
        <v>6.6235925878227002</v>
      </c>
      <c r="AX93" s="155">
        <f t="shared" si="174"/>
        <v>6.2198655081459302</v>
      </c>
      <c r="AY93" s="155">
        <f t="shared" si="174"/>
        <v>5.7635988911697948</v>
      </c>
      <c r="AZ93" s="155">
        <f t="shared" si="174"/>
        <v>5.9966126804751818</v>
      </c>
      <c r="BA93" s="155">
        <f t="shared" si="174"/>
        <v>6.240420853217242</v>
      </c>
      <c r="BB93" s="155">
        <f t="shared" si="174"/>
        <v>5.9339189118433628</v>
      </c>
      <c r="BC93" s="155">
        <f t="shared" si="174"/>
        <v>4.9923023066259367</v>
      </c>
      <c r="BD93" s="155">
        <f t="shared" si="174"/>
        <v>4.1372963190076186</v>
      </c>
      <c r="BE93" s="155">
        <f t="shared" si="174"/>
        <v>3.4128061579224851</v>
      </c>
      <c r="BF93" s="155">
        <f t="shared" si="174"/>
        <v>1.8274106771565071</v>
      </c>
      <c r="BG93" s="155">
        <f t="shared" si="174"/>
        <v>1.3010396628957652</v>
      </c>
      <c r="BH93" s="155">
        <f t="shared" si="174"/>
        <v>0.61621740614254428</v>
      </c>
      <c r="BI93" s="155">
        <f t="shared" si="159"/>
        <v>0.22605695183368688</v>
      </c>
      <c r="BJ93" s="155">
        <f t="shared" si="159"/>
        <v>1.0844795586287137</v>
      </c>
      <c r="BK93" s="155">
        <f t="shared" si="159"/>
        <v>2.4412168115737254</v>
      </c>
      <c r="BL93" s="155">
        <f t="shared" si="159"/>
        <v>2.9856100205491036</v>
      </c>
      <c r="BM93" s="155">
        <f t="shared" si="160"/>
        <v>3.5195603507419286</v>
      </c>
      <c r="BN93" s="155">
        <f t="shared" si="161"/>
        <v>3.8715901463144546</v>
      </c>
      <c r="BO93" s="155">
        <f t="shared" si="162"/>
        <v>3.8730371174950524</v>
      </c>
      <c r="BP93" s="155">
        <f t="shared" si="163"/>
        <v>4.2230935742858993</v>
      </c>
      <c r="BQ93" s="155">
        <f t="shared" si="164"/>
        <v>4.3910962313069115</v>
      </c>
      <c r="BR93" s="155">
        <f t="shared" si="165"/>
        <v>4.0131653033753976</v>
      </c>
      <c r="BS93" s="155">
        <f t="shared" si="166"/>
        <v>3.4448424710307473</v>
      </c>
      <c r="BT93" s="155">
        <f t="shared" si="167"/>
        <v>2.8606123501573895</v>
      </c>
      <c r="BU93" s="155">
        <f t="shared" si="168"/>
        <v>2.4522150483084517</v>
      </c>
      <c r="BV93" s="155">
        <f t="shared" si="169"/>
        <v>2.1827937199905283</v>
      </c>
      <c r="BW93" s="155">
        <f t="shared" si="170"/>
        <v>2.2126910609948092</v>
      </c>
      <c r="BX93" s="155">
        <f t="shared" si="171"/>
        <v>2.0338575411187909</v>
      </c>
      <c r="BY93" s="155">
        <f t="shared" si="172"/>
        <v>1.7553455660574364</v>
      </c>
    </row>
    <row r="94" spans="1:77">
      <c r="A94" s="3" t="s">
        <v>8</v>
      </c>
      <c r="B94" s="252"/>
      <c r="C94" s="156"/>
      <c r="D94" s="156"/>
      <c r="E94" s="156"/>
      <c r="F94" s="156">
        <f t="shared" si="173"/>
        <v>5.4917130112258841</v>
      </c>
      <c r="G94" s="156">
        <f t="shared" si="173"/>
        <v>4.1447083246031751</v>
      </c>
      <c r="H94" s="156">
        <f t="shared" si="173"/>
        <v>2.860842236906517</v>
      </c>
      <c r="I94" s="156">
        <f t="shared" si="173"/>
        <v>2.4017310882690532</v>
      </c>
      <c r="J94" s="156">
        <f t="shared" si="173"/>
        <v>2.8573892955051199</v>
      </c>
      <c r="K94" s="156">
        <f t="shared" si="173"/>
        <v>1.5509242008330688</v>
      </c>
      <c r="L94" s="156">
        <f t="shared" si="173"/>
        <v>0.10814508969585522</v>
      </c>
      <c r="M94" s="156">
        <f t="shared" si="173"/>
        <v>-2.8363981892920482</v>
      </c>
      <c r="N94" s="156">
        <f t="shared" si="173"/>
        <v>-0.80237889608638591</v>
      </c>
      <c r="O94" s="156">
        <f t="shared" si="173"/>
        <v>0.70322790425960591</v>
      </c>
      <c r="P94" s="156">
        <f t="shared" si="173"/>
        <v>1.6937851066319558</v>
      </c>
      <c r="Q94" s="156">
        <f t="shared" si="173"/>
        <v>3.6804954915833838</v>
      </c>
      <c r="R94" s="156">
        <f t="shared" si="173"/>
        <v>4.6474241191376535</v>
      </c>
      <c r="S94" s="156">
        <f t="shared" si="173"/>
        <v>6.169034571652829</v>
      </c>
      <c r="T94" s="156">
        <f t="shared" si="173"/>
        <v>8.5066393107455696</v>
      </c>
      <c r="U94" s="156">
        <f t="shared" si="173"/>
        <v>11.034453082417741</v>
      </c>
      <c r="V94" s="156">
        <f t="shared" si="175"/>
        <v>9.6256159187628256</v>
      </c>
      <c r="W94" s="156">
        <f t="shared" si="175"/>
        <v>9.1709661010051686</v>
      </c>
      <c r="X94" s="156">
        <f t="shared" si="175"/>
        <v>7.794445803444515</v>
      </c>
      <c r="Y94" s="156">
        <f t="shared" si="175"/>
        <v>5.9587397139941363</v>
      </c>
      <c r="Z94" s="156">
        <f t="shared" si="175"/>
        <v>4.0465158874916387</v>
      </c>
      <c r="AA94" s="156">
        <f t="shared" si="175"/>
        <v>2.2160875642081614</v>
      </c>
      <c r="AB94" s="156">
        <f t="shared" si="175"/>
        <v>0.89627671421202615</v>
      </c>
      <c r="AC94" s="156">
        <f t="shared" si="175"/>
        <v>0.52055048364150458</v>
      </c>
      <c r="AD94" s="156">
        <f t="shared" si="175"/>
        <v>1.0876045500446401</v>
      </c>
      <c r="AE94" s="156">
        <f t="shared" si="175"/>
        <v>1.817337956183968</v>
      </c>
      <c r="AF94" s="156">
        <f t="shared" si="175"/>
        <v>2.438075143808458</v>
      </c>
      <c r="AG94" s="156">
        <f t="shared" si="175"/>
        <v>3.8521871238462846</v>
      </c>
      <c r="AH94" s="156">
        <f t="shared" si="175"/>
        <v>3.2141231653762357</v>
      </c>
      <c r="AI94" s="156">
        <f t="shared" si="175"/>
        <v>2.7958472989057941</v>
      </c>
      <c r="AJ94" s="156">
        <f t="shared" si="175"/>
        <v>2.8652405149125366</v>
      </c>
      <c r="AK94" s="156">
        <f t="shared" si="175"/>
        <v>1.8102383526818522</v>
      </c>
      <c r="AL94" s="156">
        <f t="shared" si="175"/>
        <v>3.0469670286094166</v>
      </c>
      <c r="AM94" s="156">
        <f t="shared" si="175"/>
        <v>4.5470383275261321</v>
      </c>
      <c r="AN94" s="156">
        <f t="shared" si="175"/>
        <v>6.0192102454642473</v>
      </c>
      <c r="AO94" s="156">
        <f t="shared" si="175"/>
        <v>7.9322618721243883</v>
      </c>
      <c r="AP94" s="156">
        <f t="shared" si="175"/>
        <v>7.8069629386498622</v>
      </c>
      <c r="AQ94" s="156">
        <f t="shared" si="174"/>
        <v>7.4206798866855594</v>
      </c>
      <c r="AR94" s="156">
        <f t="shared" si="174"/>
        <v>6.7333318823151789</v>
      </c>
      <c r="AS94" s="156">
        <f t="shared" si="174"/>
        <v>6.280794328954646</v>
      </c>
      <c r="AT94" s="156">
        <f t="shared" si="174"/>
        <v>6.1357741068421889</v>
      </c>
      <c r="AU94" s="156">
        <f t="shared" si="174"/>
        <v>6.0922661499890447</v>
      </c>
      <c r="AV94" s="156">
        <f t="shared" si="174"/>
        <v>6.1027731095221558</v>
      </c>
      <c r="AW94" s="156">
        <f t="shared" si="174"/>
        <v>5.5268046626195639</v>
      </c>
      <c r="AX94" s="156">
        <f t="shared" si="174"/>
        <v>5.7879606560620207</v>
      </c>
      <c r="AY94" s="156">
        <f t="shared" si="174"/>
        <v>5.5152707798972811</v>
      </c>
      <c r="AZ94" s="156">
        <f t="shared" si="174"/>
        <v>5.2111899502340551</v>
      </c>
      <c r="BA94" s="156">
        <f t="shared" si="174"/>
        <v>4.7474085822685552</v>
      </c>
      <c r="BB94" s="156">
        <f t="shared" si="174"/>
        <v>4.2203373019846291</v>
      </c>
      <c r="BC94" s="156">
        <f t="shared" si="174"/>
        <v>2.0330232408888302</v>
      </c>
      <c r="BD94" s="156">
        <f t="shared" si="174"/>
        <v>-0.57621419515047678</v>
      </c>
      <c r="BE94" s="156">
        <f t="shared" si="174"/>
        <v>-1.6274795971941942</v>
      </c>
      <c r="BF94" s="156">
        <f t="shared" si="174"/>
        <v>-2.583059408916903</v>
      </c>
      <c r="BG94" s="156">
        <f t="shared" si="174"/>
        <v>-2.1805404945085201</v>
      </c>
      <c r="BH94" s="156">
        <f t="shared" si="174"/>
        <v>-0.31410931447685847</v>
      </c>
      <c r="BI94" s="156">
        <f t="shared" si="159"/>
        <v>0.25643962328428116</v>
      </c>
      <c r="BJ94" s="156">
        <f t="shared" si="159"/>
        <v>1.577080535222658</v>
      </c>
      <c r="BK94" s="156">
        <f t="shared" si="159"/>
        <v>3.8082347080975665</v>
      </c>
      <c r="BL94" s="156">
        <f t="shared" si="159"/>
        <v>4.5270348855642109</v>
      </c>
      <c r="BM94" s="156">
        <f t="shared" si="160"/>
        <v>5.3093914647830944</v>
      </c>
      <c r="BN94" s="156">
        <f t="shared" si="161"/>
        <v>4.6645832874357174</v>
      </c>
      <c r="BO94" s="156">
        <f t="shared" si="162"/>
        <v>4.2040783052192525</v>
      </c>
      <c r="BP94" s="156">
        <f t="shared" si="163"/>
        <v>4.4176974387378145</v>
      </c>
      <c r="BQ94" s="156">
        <f t="shared" si="164"/>
        <v>4.3931334159095261</v>
      </c>
      <c r="BR94" s="156">
        <f t="shared" si="165"/>
        <v>4.8401033633625721</v>
      </c>
      <c r="BS94" s="156">
        <f t="shared" si="166"/>
        <v>4.3092693599516059</v>
      </c>
      <c r="BT94" s="156">
        <f t="shared" si="167"/>
        <v>3.4720183238090105</v>
      </c>
      <c r="BU94" s="156">
        <f t="shared" si="168"/>
        <v>2.6964659283353116</v>
      </c>
      <c r="BV94" s="156">
        <f t="shared" si="169"/>
        <v>2.2195036733961193</v>
      </c>
      <c r="BW94" s="156">
        <f t="shared" si="170"/>
        <v>2.2558527878465955</v>
      </c>
      <c r="BX94" s="156">
        <f t="shared" si="171"/>
        <v>2.0534102009335706</v>
      </c>
      <c r="BY94" s="156">
        <f t="shared" si="172"/>
        <v>2.1975729627149319</v>
      </c>
    </row>
    <row r="95" spans="1:77">
      <c r="A95" s="3" t="s">
        <v>9</v>
      </c>
      <c r="B95" s="252"/>
      <c r="C95" s="156"/>
      <c r="D95" s="156"/>
      <c r="E95" s="156"/>
      <c r="F95" s="156">
        <f t="shared" si="173"/>
        <v>8.0860609194993032</v>
      </c>
      <c r="G95" s="156">
        <f t="shared" si="173"/>
        <v>6.6443921255356129</v>
      </c>
      <c r="H95" s="156">
        <f t="shared" si="173"/>
        <v>5.6915601118594266</v>
      </c>
      <c r="I95" s="156">
        <f t="shared" si="173"/>
        <v>4.1325830377964072</v>
      </c>
      <c r="J95" s="156">
        <f t="shared" si="173"/>
        <v>6.1829837368491329</v>
      </c>
      <c r="K95" s="156">
        <f t="shared" si="173"/>
        <v>6.9714204733583847</v>
      </c>
      <c r="L95" s="156">
        <f t="shared" si="173"/>
        <v>7.6766699705998311</v>
      </c>
      <c r="M95" s="156">
        <f t="shared" si="173"/>
        <v>9.5068155245282906</v>
      </c>
      <c r="N95" s="156">
        <f t="shared" si="173"/>
        <v>8.3426212594304996</v>
      </c>
      <c r="O95" s="156">
        <f t="shared" si="173"/>
        <v>7.0123533396273867</v>
      </c>
      <c r="P95" s="156">
        <f t="shared" si="173"/>
        <v>4.1583066675204785</v>
      </c>
      <c r="Q95" s="156">
        <f t="shared" si="173"/>
        <v>2.7047445939783543</v>
      </c>
      <c r="R95" s="156">
        <f t="shared" si="173"/>
        <v>2.465202368481151</v>
      </c>
      <c r="S95" s="156">
        <f t="shared" si="173"/>
        <v>3.9131455924049665</v>
      </c>
      <c r="T95" s="156">
        <f t="shared" si="173"/>
        <v>6.6562724263382531</v>
      </c>
      <c r="U95" s="156">
        <f t="shared" si="173"/>
        <v>7.738821801582092</v>
      </c>
      <c r="V95" s="156">
        <f t="shared" si="175"/>
        <v>8.9910692382746884</v>
      </c>
      <c r="W95" s="156">
        <f t="shared" si="175"/>
        <v>8.9588397909068576</v>
      </c>
      <c r="X95" s="156">
        <f t="shared" si="175"/>
        <v>8.2298457918790291</v>
      </c>
      <c r="Y95" s="156">
        <f t="shared" si="175"/>
        <v>7.0870391883353134</v>
      </c>
      <c r="Z95" s="156">
        <f t="shared" si="175"/>
        <v>5.6772445288555575</v>
      </c>
      <c r="AA95" s="156">
        <f t="shared" si="175"/>
        <v>4.9306543070481776</v>
      </c>
      <c r="AB95" s="156">
        <f t="shared" si="175"/>
        <v>5.59942321951804</v>
      </c>
      <c r="AC95" s="156">
        <f t="shared" si="175"/>
        <v>7.3581800976499174</v>
      </c>
      <c r="AD95" s="156">
        <f t="shared" si="175"/>
        <v>8.8615136229845159</v>
      </c>
      <c r="AE95" s="156">
        <f t="shared" si="175"/>
        <v>9.6953539340233874</v>
      </c>
      <c r="AF95" s="156">
        <f t="shared" si="175"/>
        <v>9.2568397673466194</v>
      </c>
      <c r="AG95" s="156">
        <f t="shared" si="175"/>
        <v>8.215697596943988</v>
      </c>
      <c r="AH95" s="156">
        <f t="shared" si="175"/>
        <v>7.548629493045997</v>
      </c>
      <c r="AI95" s="156">
        <f t="shared" si="175"/>
        <v>6.3634760252483682</v>
      </c>
      <c r="AJ95" s="156">
        <f t="shared" si="175"/>
        <v>5.6813577634718433</v>
      </c>
      <c r="AK95" s="156">
        <f t="shared" si="175"/>
        <v>5.8524131250359162</v>
      </c>
      <c r="AL95" s="156">
        <f t="shared" si="175"/>
        <v>4.9587110093222799</v>
      </c>
      <c r="AM95" s="156">
        <f t="shared" si="175"/>
        <v>4.7665361894815721</v>
      </c>
      <c r="AN95" s="156">
        <f t="shared" si="175"/>
        <v>5.1244428667218873</v>
      </c>
      <c r="AO95" s="156">
        <f t="shared" si="175"/>
        <v>4.7028896713250914</v>
      </c>
      <c r="AP95" s="156">
        <f t="shared" si="175"/>
        <v>4.934469432129867</v>
      </c>
      <c r="AQ95" s="156">
        <f t="shared" si="174"/>
        <v>5.456869787544905</v>
      </c>
      <c r="AR95" s="156">
        <f t="shared" si="174"/>
        <v>5.4035539280059339</v>
      </c>
      <c r="AS95" s="156">
        <f t="shared" si="174"/>
        <v>5.3751611039509415</v>
      </c>
      <c r="AT95" s="156">
        <f t="shared" si="174"/>
        <v>5.6281308722159071</v>
      </c>
      <c r="AU95" s="156">
        <f t="shared" si="174"/>
        <v>5.3957364027846646</v>
      </c>
      <c r="AV95" s="156">
        <f t="shared" si="174"/>
        <v>5.0135826936043859</v>
      </c>
      <c r="AW95" s="156">
        <f t="shared" si="174"/>
        <v>4.4524713735756141</v>
      </c>
      <c r="AX95" s="156">
        <f t="shared" si="174"/>
        <v>5.3555336817734407</v>
      </c>
      <c r="AY95" s="156">
        <f t="shared" si="174"/>
        <v>6.5217540136240721</v>
      </c>
      <c r="AZ95" s="156">
        <f t="shared" si="174"/>
        <v>7.0648931554398526</v>
      </c>
      <c r="BA95" s="156">
        <f t="shared" si="174"/>
        <v>7.4395849175959139</v>
      </c>
      <c r="BB95" s="156">
        <f t="shared" si="174"/>
        <v>5.7648040257572983</v>
      </c>
      <c r="BC95" s="156">
        <f t="shared" si="174"/>
        <v>4.1127064278705099</v>
      </c>
      <c r="BD95" s="156">
        <f t="shared" si="174"/>
        <v>3.4128812682589951</v>
      </c>
      <c r="BE95" s="156">
        <f t="shared" si="174"/>
        <v>2.7444390651203996</v>
      </c>
      <c r="BF95" s="156">
        <f t="shared" si="174"/>
        <v>1.6213186521503542</v>
      </c>
      <c r="BG95" s="156">
        <f t="shared" si="174"/>
        <v>0.74959084730287839</v>
      </c>
      <c r="BH95" s="156">
        <f t="shared" si="174"/>
        <v>0.50556737921213579</v>
      </c>
      <c r="BI95" s="156">
        <f t="shared" si="159"/>
        <v>0.77021364733429376</v>
      </c>
      <c r="BJ95" s="156">
        <f t="shared" si="159"/>
        <v>1.4110421034916194</v>
      </c>
      <c r="BK95" s="156">
        <f t="shared" si="159"/>
        <v>2.2269719929692635</v>
      </c>
      <c r="BL95" s="156">
        <f t="shared" si="159"/>
        <v>2.2268256446938732</v>
      </c>
      <c r="BM95" s="156">
        <f t="shared" si="160"/>
        <v>2.2149118108790633</v>
      </c>
      <c r="BN95" s="156">
        <f t="shared" si="161"/>
        <v>2.939428517487459</v>
      </c>
      <c r="BO95" s="156">
        <f t="shared" si="162"/>
        <v>3.2374437457224516</v>
      </c>
      <c r="BP95" s="156">
        <f t="shared" si="163"/>
        <v>3.1606270841396915</v>
      </c>
      <c r="BQ95" s="156">
        <f t="shared" si="164"/>
        <v>3.1324955350800252</v>
      </c>
      <c r="BR95" s="156">
        <f t="shared" si="165"/>
        <v>2.8558721279279324</v>
      </c>
      <c r="BS95" s="156">
        <f t="shared" si="166"/>
        <v>2.4375825622742155</v>
      </c>
      <c r="BT95" s="156">
        <f t="shared" si="167"/>
        <v>2.2738162064143568</v>
      </c>
      <c r="BU95" s="156">
        <f t="shared" si="168"/>
        <v>2.107660038489644</v>
      </c>
      <c r="BV95" s="156">
        <f t="shared" si="169"/>
        <v>1.9700466912411816</v>
      </c>
      <c r="BW95" s="156">
        <f t="shared" si="170"/>
        <v>1.7491856608365113</v>
      </c>
      <c r="BX95" s="156">
        <f t="shared" si="171"/>
        <v>2.0565354332376771</v>
      </c>
      <c r="BY95" s="156">
        <f t="shared" si="172"/>
        <v>1.9411392484258987</v>
      </c>
    </row>
    <row r="96" spans="1:77">
      <c r="A96" s="3" t="s">
        <v>10</v>
      </c>
      <c r="B96" s="252"/>
      <c r="C96" s="156"/>
      <c r="D96" s="156"/>
      <c r="E96" s="156"/>
      <c r="F96" s="156">
        <f t="shared" si="173"/>
        <v>4.1186802462454928</v>
      </c>
      <c r="G96" s="156">
        <f t="shared" si="173"/>
        <v>5.9324629414999528</v>
      </c>
      <c r="H96" s="156">
        <f t="shared" si="173"/>
        <v>7.5773732616200284</v>
      </c>
      <c r="I96" s="156">
        <f t="shared" si="173"/>
        <v>9.4533961806429332</v>
      </c>
      <c r="J96" s="156">
        <f t="shared" si="173"/>
        <v>7.7625847148223555</v>
      </c>
      <c r="K96" s="156">
        <f t="shared" si="173"/>
        <v>5.8391206874199595</v>
      </c>
      <c r="L96" s="156">
        <f t="shared" si="173"/>
        <v>3.6919148304927636</v>
      </c>
      <c r="M96" s="156">
        <f t="shared" si="173"/>
        <v>1.765248102078645</v>
      </c>
      <c r="N96" s="156">
        <f t="shared" si="173"/>
        <v>1.5200255991293794</v>
      </c>
      <c r="O96" s="156">
        <f t="shared" si="173"/>
        <v>2.39701472495832</v>
      </c>
      <c r="P96" s="156">
        <f t="shared" si="173"/>
        <v>2.8295292905841767</v>
      </c>
      <c r="Q96" s="156">
        <f t="shared" si="173"/>
        <v>2.4547260562563347</v>
      </c>
      <c r="R96" s="156">
        <f t="shared" si="173"/>
        <v>4.9926149254640384</v>
      </c>
      <c r="S96" s="156">
        <f t="shared" si="173"/>
        <v>4.6767506845777156</v>
      </c>
      <c r="T96" s="156">
        <f t="shared" si="173"/>
        <v>5.0665906123235853</v>
      </c>
      <c r="U96" s="156">
        <f t="shared" si="173"/>
        <v>5.7003944100165427</v>
      </c>
      <c r="V96" s="156">
        <f t="shared" si="175"/>
        <v>3.4133264106230703</v>
      </c>
      <c r="W96" s="156">
        <f t="shared" si="175"/>
        <v>2.6677093563789716</v>
      </c>
      <c r="X96" s="156">
        <f t="shared" si="175"/>
        <v>2.7702705898042357</v>
      </c>
      <c r="Y96" s="156">
        <f t="shared" si="175"/>
        <v>3.8646613644287764</v>
      </c>
      <c r="Z96" s="156">
        <f t="shared" si="175"/>
        <v>6.190255476388991</v>
      </c>
      <c r="AA96" s="156">
        <f t="shared" si="175"/>
        <v>8.1740727515803187</v>
      </c>
      <c r="AB96" s="156">
        <f t="shared" si="175"/>
        <v>8.9857686453716976</v>
      </c>
      <c r="AC96" s="156">
        <f t="shared" si="175"/>
        <v>9.2702913462746448</v>
      </c>
      <c r="AD96" s="156">
        <f t="shared" si="175"/>
        <v>8.74325359441446</v>
      </c>
      <c r="AE96" s="156">
        <f t="shared" si="175"/>
        <v>7.7418854862250237</v>
      </c>
      <c r="AF96" s="156">
        <f t="shared" si="175"/>
        <v>5.2786690192909305</v>
      </c>
      <c r="AG96" s="156">
        <f t="shared" si="175"/>
        <v>3.5252130674466891</v>
      </c>
      <c r="AH96" s="156">
        <f t="shared" si="175"/>
        <v>3.6312996166286804</v>
      </c>
      <c r="AI96" s="156">
        <f t="shared" si="175"/>
        <v>3.6803049738062983</v>
      </c>
      <c r="AJ96" s="156">
        <f t="shared" si="175"/>
        <v>5.6275667351129366</v>
      </c>
      <c r="AK96" s="156">
        <f t="shared" si="175"/>
        <v>6.2468505794933726</v>
      </c>
      <c r="AL96" s="156">
        <f t="shared" si="175"/>
        <v>6.7127884401282865</v>
      </c>
      <c r="AM96" s="156">
        <f t="shared" si="175"/>
        <v>7.3170919714330855</v>
      </c>
      <c r="AN96" s="156">
        <f t="shared" si="175"/>
        <v>6.7842172407508654</v>
      </c>
      <c r="AO96" s="156">
        <f t="shared" si="175"/>
        <v>7.3953761489991194</v>
      </c>
      <c r="AP96" s="156">
        <f t="shared" si="175"/>
        <v>5.4961873977296358</v>
      </c>
      <c r="AQ96" s="156">
        <f t="shared" si="174"/>
        <v>5.475424319257586</v>
      </c>
      <c r="AR96" s="156">
        <f t="shared" si="174"/>
        <v>6.340793048029461</v>
      </c>
      <c r="AS96" s="156">
        <f t="shared" si="174"/>
        <v>5.5192367680407051</v>
      </c>
      <c r="AT96" s="156">
        <f t="shared" si="174"/>
        <v>8.5017337694851793</v>
      </c>
      <c r="AU96" s="156">
        <f t="shared" si="174"/>
        <v>9.2290190985729694</v>
      </c>
      <c r="AV96" s="156">
        <f t="shared" si="174"/>
        <v>9.9569308382353672</v>
      </c>
      <c r="AW96" s="156">
        <f t="shared" si="174"/>
        <v>10.830694602174127</v>
      </c>
      <c r="AX96" s="156">
        <f t="shared" si="174"/>
        <v>8.6930102850125373</v>
      </c>
      <c r="AY96" s="156">
        <f t="shared" si="174"/>
        <v>7.241027815098021</v>
      </c>
      <c r="AZ96" s="156">
        <f t="shared" si="174"/>
        <v>7.4032403240324038</v>
      </c>
      <c r="BA96" s="156">
        <f t="shared" si="174"/>
        <v>8.1635283081635279</v>
      </c>
      <c r="BB96" s="156">
        <f t="shared" si="174"/>
        <v>8.5232588931061883</v>
      </c>
      <c r="BC96" s="156">
        <f t="shared" si="174"/>
        <v>7.7828419945004157</v>
      </c>
      <c r="BD96" s="156">
        <f t="shared" si="174"/>
        <v>6.9900510189636531</v>
      </c>
      <c r="BE96" s="156">
        <f t="shared" si="174"/>
        <v>6.2420685718719007</v>
      </c>
      <c r="BF96" s="156">
        <f t="shared" si="174"/>
        <v>3.4081900454942313</v>
      </c>
      <c r="BG96" s="156">
        <f t="shared" si="174"/>
        <v>1.7156911658814264</v>
      </c>
      <c r="BH96" s="156">
        <f t="shared" si="174"/>
        <v>-3.6544929622556954E-2</v>
      </c>
      <c r="BI96" s="156">
        <f t="shared" si="159"/>
        <v>-0.99395463104471027</v>
      </c>
      <c r="BJ96" s="156">
        <f t="shared" si="159"/>
        <v>0.3647373539198277</v>
      </c>
      <c r="BK96" s="156">
        <f t="shared" si="159"/>
        <v>2.4590972386460139</v>
      </c>
      <c r="BL96" s="156">
        <f t="shared" si="159"/>
        <v>2.8009579807328953</v>
      </c>
      <c r="BM96" s="156">
        <f t="shared" si="160"/>
        <v>3.0453278311705247</v>
      </c>
      <c r="BN96" s="156">
        <f t="shared" si="161"/>
        <v>3.8893851157304553</v>
      </c>
      <c r="BO96" s="156">
        <f t="shared" si="162"/>
        <v>4.1387794562434008</v>
      </c>
      <c r="BP96" s="156">
        <f t="shared" si="163"/>
        <v>5.1871483693401759</v>
      </c>
      <c r="BQ96" s="156">
        <f t="shared" si="164"/>
        <v>5.6588364133874736</v>
      </c>
      <c r="BR96" s="156">
        <f t="shared" si="165"/>
        <v>5.0454048948875529</v>
      </c>
      <c r="BS96" s="156">
        <f t="shared" si="166"/>
        <v>4.3135202670566866</v>
      </c>
      <c r="BT96" s="156">
        <f t="shared" si="167"/>
        <v>3.0612051046981752</v>
      </c>
      <c r="BU96" s="156">
        <f t="shared" si="168"/>
        <v>2.4311233493541731</v>
      </c>
      <c r="BV96" s="156">
        <f t="shared" si="169"/>
        <v>2.1602721165230965</v>
      </c>
      <c r="BW96" s="156">
        <f t="shared" si="170"/>
        <v>2.5490437655595555</v>
      </c>
      <c r="BX96" s="156">
        <f t="shared" si="171"/>
        <v>2.5570348292855565</v>
      </c>
      <c r="BY96" s="156">
        <f t="shared" si="172"/>
        <v>2.363105263699917</v>
      </c>
    </row>
    <row r="97" spans="1:77">
      <c r="A97" s="3" t="s">
        <v>11</v>
      </c>
      <c r="B97" s="252"/>
      <c r="C97" s="156"/>
      <c r="D97" s="156"/>
      <c r="E97" s="156"/>
      <c r="F97" s="156">
        <f t="shared" si="173"/>
        <v>5.8786810631403874</v>
      </c>
      <c r="G97" s="156">
        <f t="shared" si="173"/>
        <v>2.5263472876166855</v>
      </c>
      <c r="H97" s="156">
        <f t="shared" si="173"/>
        <v>1.1359154033727301</v>
      </c>
      <c r="I97" s="156">
        <f t="shared" si="173"/>
        <v>1.1767725168602847</v>
      </c>
      <c r="J97" s="156">
        <f t="shared" si="173"/>
        <v>-1.7550085916205049</v>
      </c>
      <c r="K97" s="156">
        <f t="shared" si="173"/>
        <v>5.9424012785335378E-2</v>
      </c>
      <c r="L97" s="156">
        <f t="shared" si="173"/>
        <v>0.99935660355056755</v>
      </c>
      <c r="M97" s="156">
        <f t="shared" si="173"/>
        <v>0.60632442320006996</v>
      </c>
      <c r="N97" s="156">
        <f t="shared" si="173"/>
        <v>3.7228995277932069</v>
      </c>
      <c r="O97" s="156">
        <f t="shared" si="173"/>
        <v>5.6037505877356635</v>
      </c>
      <c r="P97" s="156">
        <f t="shared" si="173"/>
        <v>7.1120226543339342</v>
      </c>
      <c r="Q97" s="156">
        <f t="shared" si="173"/>
        <v>8.3763217754507657</v>
      </c>
      <c r="R97" s="156">
        <f t="shared" si="173"/>
        <v>5.6992020301778137</v>
      </c>
      <c r="S97" s="156">
        <f t="shared" si="173"/>
        <v>4.1873479088698495</v>
      </c>
      <c r="T97" s="156">
        <f t="shared" si="173"/>
        <v>3.1085105164025717</v>
      </c>
      <c r="U97" s="156">
        <f t="shared" si="173"/>
        <v>2.5736140990441734</v>
      </c>
      <c r="V97" s="156">
        <f t="shared" si="175"/>
        <v>3.8799772450698136</v>
      </c>
      <c r="W97" s="156">
        <f t="shared" si="175"/>
        <v>4.5294715370244267</v>
      </c>
      <c r="X97" s="156">
        <f t="shared" si="175"/>
        <v>5.2303324746351185</v>
      </c>
      <c r="Y97" s="156">
        <f t="shared" si="175"/>
        <v>5.612639848003</v>
      </c>
      <c r="Z97" s="156">
        <f t="shared" si="175"/>
        <v>3.9916631908486542</v>
      </c>
      <c r="AA97" s="156">
        <f t="shared" si="175"/>
        <v>2.7412142758779994</v>
      </c>
      <c r="AB97" s="156">
        <f t="shared" si="175"/>
        <v>1.523759367474729</v>
      </c>
      <c r="AC97" s="156">
        <f t="shared" si="175"/>
        <v>0.80453986857069104</v>
      </c>
      <c r="AD97" s="156">
        <f t="shared" si="175"/>
        <v>1.1855830289275768</v>
      </c>
      <c r="AE97" s="156">
        <f t="shared" si="175"/>
        <v>2.0066138207139437</v>
      </c>
      <c r="AF97" s="156">
        <f t="shared" si="175"/>
        <v>2.8079507519011511</v>
      </c>
      <c r="AG97" s="156">
        <f t="shared" si="175"/>
        <v>3.8443095673377989</v>
      </c>
      <c r="AH97" s="156">
        <f t="shared" si="175"/>
        <v>5.2694393577528</v>
      </c>
      <c r="AI97" s="156">
        <f t="shared" si="175"/>
        <v>5.9824877056207653</v>
      </c>
      <c r="AJ97" s="156">
        <f t="shared" si="175"/>
        <v>6.0418088886935415</v>
      </c>
      <c r="AK97" s="156">
        <f t="shared" si="175"/>
        <v>4.9456890886432809</v>
      </c>
      <c r="AL97" s="156">
        <f t="shared" si="175"/>
        <v>3.2587424487364931</v>
      </c>
      <c r="AM97" s="156">
        <f t="shared" si="175"/>
        <v>1.4652716259247733</v>
      </c>
      <c r="AN97" s="156">
        <f t="shared" si="175"/>
        <v>0.96029744354848257</v>
      </c>
      <c r="AO97" s="156">
        <f t="shared" si="175"/>
        <v>1.3401599697992119</v>
      </c>
      <c r="AP97" s="156">
        <f t="shared" si="175"/>
        <v>2.1170190225068239</v>
      </c>
      <c r="AQ97" s="156">
        <f t="shared" si="174"/>
        <v>3.8066613181056619</v>
      </c>
      <c r="AR97" s="156">
        <f t="shared" si="174"/>
        <v>4.4713360855695283</v>
      </c>
      <c r="AS97" s="156">
        <f t="shared" si="174"/>
        <v>4.7792135223859775</v>
      </c>
      <c r="AT97" s="156">
        <f t="shared" si="174"/>
        <v>5.619048661995417</v>
      </c>
      <c r="AU97" s="156">
        <f t="shared" si="174"/>
        <v>5.3436146955513193</v>
      </c>
      <c r="AV97" s="156">
        <f t="shared" si="174"/>
        <v>5.1321763644797631</v>
      </c>
      <c r="AW97" s="156">
        <f t="shared" si="174"/>
        <v>4.8057804999231148</v>
      </c>
      <c r="AX97" s="156">
        <f t="shared" si="174"/>
        <v>4.6362892223738061</v>
      </c>
      <c r="AY97" s="156">
        <f t="shared" si="174"/>
        <v>5.0300584770083976</v>
      </c>
      <c r="AZ97" s="156">
        <f t="shared" si="174"/>
        <v>5.6951563300871282</v>
      </c>
      <c r="BA97" s="156">
        <f t="shared" si="174"/>
        <v>6.8400665726734049</v>
      </c>
      <c r="BB97" s="156">
        <f t="shared" si="174"/>
        <v>5.6521126907471402</v>
      </c>
      <c r="BC97" s="156">
        <f t="shared" si="174"/>
        <v>4.4486613819922249</v>
      </c>
      <c r="BD97" s="156">
        <f t="shared" si="174"/>
        <v>3.5324313456871814</v>
      </c>
      <c r="BE97" s="156">
        <f t="shared" si="174"/>
        <v>2.1723475136884884</v>
      </c>
      <c r="BF97" s="156">
        <f t="shared" si="174"/>
        <v>0.99121902375323734</v>
      </c>
      <c r="BG97" s="156">
        <f t="shared" si="174"/>
        <v>0.25682034800432951</v>
      </c>
      <c r="BH97" s="156">
        <f t="shared" si="174"/>
        <v>-1.5492283576464718</v>
      </c>
      <c r="BI97" s="156">
        <f t="shared" si="159"/>
        <v>-3.0769650556636052</v>
      </c>
      <c r="BJ97" s="156">
        <f t="shared" si="159"/>
        <v>-1.8626354018365199</v>
      </c>
      <c r="BK97" s="156">
        <f t="shared" si="159"/>
        <v>-0.51179341404936052</v>
      </c>
      <c r="BL97" s="156">
        <f t="shared" si="159"/>
        <v>1.2457753884080027</v>
      </c>
      <c r="BM97" s="156">
        <f t="shared" si="160"/>
        <v>2.92689751527368</v>
      </c>
      <c r="BN97" s="156">
        <f t="shared" si="161"/>
        <v>2.7886367599208484</v>
      </c>
      <c r="BO97" s="156">
        <f t="shared" si="162"/>
        <v>2.3435259005555813</v>
      </c>
      <c r="BP97" s="156">
        <f t="shared" si="163"/>
        <v>2.0766000872287718</v>
      </c>
      <c r="BQ97" s="156">
        <f t="shared" si="164"/>
        <v>2.0656676363113737</v>
      </c>
      <c r="BR97" s="156">
        <f t="shared" si="165"/>
        <v>2.0349092269558842</v>
      </c>
      <c r="BS97" s="156">
        <f t="shared" si="166"/>
        <v>1.9860173633455325</v>
      </c>
      <c r="BT97" s="156">
        <f t="shared" si="167"/>
        <v>2.1144489653992893</v>
      </c>
      <c r="BU97" s="156">
        <f t="shared" si="168"/>
        <v>2.1503243274971351</v>
      </c>
      <c r="BV97" s="156">
        <f t="shared" si="169"/>
        <v>2.0316739843107423</v>
      </c>
      <c r="BW97" s="156">
        <f t="shared" si="170"/>
        <v>1.8871302717694927</v>
      </c>
      <c r="BX97" s="156">
        <f t="shared" si="171"/>
        <v>1.6902061501227597</v>
      </c>
      <c r="BY97" s="156">
        <f t="shared" si="172"/>
        <v>1.4195184945062853</v>
      </c>
    </row>
    <row r="98" spans="1:77">
      <c r="A98" s="170" t="s">
        <v>12</v>
      </c>
      <c r="B98" s="253"/>
      <c r="C98" s="157"/>
      <c r="D98" s="157"/>
      <c r="E98" s="157"/>
      <c r="F98" s="157">
        <f t="shared" si="173"/>
        <v>1.0270030175141545</v>
      </c>
      <c r="G98" s="157">
        <f t="shared" si="173"/>
        <v>1.7319305300831593</v>
      </c>
      <c r="H98" s="157">
        <f t="shared" si="173"/>
        <v>2.2921929185411125</v>
      </c>
      <c r="I98" s="157">
        <f t="shared" si="173"/>
        <v>2.6731173209479375</v>
      </c>
      <c r="J98" s="157">
        <f t="shared" si="173"/>
        <v>2.046146471587039</v>
      </c>
      <c r="K98" s="157">
        <f t="shared" si="173"/>
        <v>1.1031365183550033</v>
      </c>
      <c r="L98" s="157">
        <f t="shared" si="173"/>
        <v>0.2900874407393903</v>
      </c>
      <c r="M98" s="157">
        <f t="shared" si="173"/>
        <v>-0.25998349961040201</v>
      </c>
      <c r="N98" s="157">
        <f t="shared" si="173"/>
        <v>-0.57992440808984691</v>
      </c>
      <c r="O98" s="157">
        <f t="shared" si="173"/>
        <v>-0.68817389131337303</v>
      </c>
      <c r="P98" s="157">
        <f t="shared" si="173"/>
        <v>-0.82513161008594504</v>
      </c>
      <c r="Q98" s="157">
        <f t="shared" si="173"/>
        <v>-0.90158924322417744</v>
      </c>
      <c r="R98" s="157">
        <f t="shared" si="173"/>
        <v>-0.82453088027939458</v>
      </c>
      <c r="S98" s="157">
        <f t="shared" si="173"/>
        <v>-0.75074170666222384</v>
      </c>
      <c r="T98" s="157">
        <f t="shared" si="173"/>
        <v>-0.77323928631582461</v>
      </c>
      <c r="U98" s="157">
        <f t="shared" si="173"/>
        <v>-1.0652672635770051</v>
      </c>
      <c r="V98" s="157">
        <f t="shared" si="175"/>
        <v>-0.94708389779495539</v>
      </c>
      <c r="W98" s="157">
        <f t="shared" si="175"/>
        <v>-0.95032649524752189</v>
      </c>
      <c r="X98" s="157">
        <f t="shared" si="175"/>
        <v>-0.93186291468903282</v>
      </c>
      <c r="Y98" s="157">
        <f t="shared" si="175"/>
        <v>-0.87558149678215669</v>
      </c>
      <c r="Z98" s="157">
        <f t="shared" si="175"/>
        <v>-0.64302179382442248</v>
      </c>
      <c r="AA98" s="157">
        <f t="shared" si="175"/>
        <v>-0.89238983105379122</v>
      </c>
      <c r="AB98" s="157">
        <f t="shared" si="175"/>
        <v>-1.1788877836508849</v>
      </c>
      <c r="AC98" s="157">
        <f t="shared" si="175"/>
        <v>-1.0255655847089853</v>
      </c>
      <c r="AD98" s="157">
        <f t="shared" si="175"/>
        <v>-0.56003478607090273</v>
      </c>
      <c r="AE98" s="157">
        <f t="shared" si="175"/>
        <v>0.31148386282082313</v>
      </c>
      <c r="AF98" s="157">
        <f t="shared" si="175"/>
        <v>1.3156013913080307</v>
      </c>
      <c r="AG98" s="157">
        <f t="shared" si="175"/>
        <v>1.8175834209213193</v>
      </c>
      <c r="AH98" s="157">
        <f t="shared" si="175"/>
        <v>2.4260847575495754</v>
      </c>
      <c r="AI98" s="157">
        <f t="shared" si="175"/>
        <v>2.6005769735116706</v>
      </c>
      <c r="AJ98" s="157">
        <f t="shared" si="175"/>
        <v>2.8556946679765063</v>
      </c>
      <c r="AK98" s="157">
        <f t="shared" si="175"/>
        <v>3.1823821986799157</v>
      </c>
      <c r="AL98" s="157">
        <f t="shared" si="175"/>
        <v>1.7436746786546446</v>
      </c>
      <c r="AM98" s="157">
        <f t="shared" si="175"/>
        <v>1.8332583534415772</v>
      </c>
      <c r="AN98" s="157">
        <f t="shared" si="175"/>
        <v>1.6942952798508411</v>
      </c>
      <c r="AO98" s="157">
        <f t="shared" si="175"/>
        <v>2.3773432368248191</v>
      </c>
      <c r="AP98" s="157">
        <f t="shared" si="175"/>
        <v>4.2191631236508256</v>
      </c>
      <c r="AQ98" s="157">
        <f t="shared" si="174"/>
        <v>4.7003423797905501</v>
      </c>
      <c r="AR98" s="157">
        <f t="shared" si="174"/>
        <v>4.7892812181523832</v>
      </c>
      <c r="AS98" s="157">
        <f t="shared" si="174"/>
        <v>3.5336969128642934</v>
      </c>
      <c r="AT98" s="157">
        <f t="shared" si="174"/>
        <v>3.1637697862944436</v>
      </c>
      <c r="AU98" s="157">
        <f t="shared" si="174"/>
        <v>2.6387056188050506</v>
      </c>
      <c r="AV98" s="157">
        <f t="shared" si="174"/>
        <v>2.561132119367584</v>
      </c>
      <c r="AW98" s="157">
        <f t="shared" si="174"/>
        <v>3.8837839435432722</v>
      </c>
      <c r="AX98" s="157">
        <f t="shared" si="174"/>
        <v>4.2628423651110854</v>
      </c>
      <c r="AY98" s="157">
        <f t="shared" si="174"/>
        <v>3.5877791273474728</v>
      </c>
      <c r="AZ98" s="157">
        <f t="shared" si="174"/>
        <v>4.0050016036740406</v>
      </c>
      <c r="BA98" s="157">
        <f t="shared" si="174"/>
        <v>3.6646139444388361</v>
      </c>
      <c r="BB98" s="157">
        <f t="shared" si="174"/>
        <v>3.8558498428346586</v>
      </c>
      <c r="BC98" s="157">
        <f t="shared" si="174"/>
        <v>4.4078650671958144</v>
      </c>
      <c r="BD98" s="157">
        <f t="shared" si="174"/>
        <v>5.0257657085905061</v>
      </c>
      <c r="BE98" s="157">
        <f t="shared" si="174"/>
        <v>4.8510898241762135</v>
      </c>
      <c r="BF98" s="157">
        <f t="shared" si="174"/>
        <v>4.0765813687899222</v>
      </c>
      <c r="BG98" s="157">
        <f t="shared" si="174"/>
        <v>4.803165251345491</v>
      </c>
      <c r="BH98" s="157">
        <f t="shared" si="174"/>
        <v>3.5490569891740993</v>
      </c>
      <c r="BI98" s="157">
        <f t="shared" si="159"/>
        <v>3.232193593873355</v>
      </c>
      <c r="BJ98" s="157">
        <f t="shared" si="159"/>
        <v>2.8187701050154579</v>
      </c>
      <c r="BK98" s="157">
        <f t="shared" si="159"/>
        <v>2.580841926523076</v>
      </c>
      <c r="BL98" s="157">
        <f t="shared" si="159"/>
        <v>3.1307020860388279</v>
      </c>
      <c r="BM98" s="157">
        <f t="shared" si="160"/>
        <v>3.7836931495196771</v>
      </c>
      <c r="BN98" s="157">
        <f t="shared" si="161"/>
        <v>4.2019193702193283</v>
      </c>
      <c r="BO98" s="157">
        <f t="shared" si="162"/>
        <v>4.2113975314991006</v>
      </c>
      <c r="BP98" s="157">
        <f t="shared" si="163"/>
        <v>4.1394700139470011</v>
      </c>
      <c r="BQ98" s="157">
        <f t="shared" si="164"/>
        <v>4.2143631169342921</v>
      </c>
      <c r="BR98" s="157">
        <f t="shared" si="165"/>
        <v>3.2345496319950149</v>
      </c>
      <c r="BS98" s="157">
        <f t="shared" si="166"/>
        <v>2.5707654465683287</v>
      </c>
      <c r="BT98" s="157">
        <f t="shared" si="167"/>
        <v>2.6792888902494085</v>
      </c>
      <c r="BU98" s="157">
        <f t="shared" si="168"/>
        <v>2.6105040269217681</v>
      </c>
      <c r="BV98" s="157">
        <f t="shared" si="169"/>
        <v>2.3855508947701964</v>
      </c>
      <c r="BW98" s="157">
        <f t="shared" si="170"/>
        <v>2.0793396630657854</v>
      </c>
      <c r="BX98" s="157">
        <f t="shared" si="171"/>
        <v>1.3166132518446747</v>
      </c>
      <c r="BY98" s="157">
        <f t="shared" si="172"/>
        <v>0.41676800283004273</v>
      </c>
    </row>
    <row r="99" spans="1:77">
      <c r="A99" s="2" t="s">
        <v>13</v>
      </c>
      <c r="B99" s="256"/>
      <c r="C99" s="155"/>
      <c r="D99" s="155"/>
      <c r="E99" s="155"/>
      <c r="F99" s="155">
        <f>(F19-B19)/B19*100</f>
        <v>2.664217030692078</v>
      </c>
      <c r="G99" s="155">
        <f t="shared" si="173"/>
        <v>3.4220720541408367</v>
      </c>
      <c r="H99" s="155">
        <f t="shared" si="173"/>
        <v>4.1110338608481483</v>
      </c>
      <c r="I99" s="155">
        <f t="shared" si="173"/>
        <v>4.9228485078946802</v>
      </c>
      <c r="J99" s="155">
        <f t="shared" si="173"/>
        <v>3.6336229561092503</v>
      </c>
      <c r="K99" s="155">
        <f t="shared" si="173"/>
        <v>3.2670396899304994</v>
      </c>
      <c r="L99" s="155">
        <f t="shared" si="173"/>
        <v>2.1688270299511117</v>
      </c>
      <c r="M99" s="155">
        <f t="shared" si="173"/>
        <v>0.99508729488199366</v>
      </c>
      <c r="N99" s="155">
        <f t="shared" si="173"/>
        <v>1.1753144757785339</v>
      </c>
      <c r="O99" s="155">
        <f t="shared" si="173"/>
        <v>0.74404614747309672</v>
      </c>
      <c r="P99" s="155">
        <f t="shared" si="173"/>
        <v>0.4044636881021143</v>
      </c>
      <c r="Q99" s="155">
        <f t="shared" si="173"/>
        <v>0.60081061344506914</v>
      </c>
      <c r="R99" s="155">
        <f t="shared" si="173"/>
        <v>1.1924564630496375</v>
      </c>
      <c r="S99" s="155">
        <f t="shared" si="173"/>
        <v>1.787496493723147</v>
      </c>
      <c r="T99" s="155">
        <f t="shared" si="173"/>
        <v>3.1031549284872244</v>
      </c>
      <c r="U99" s="155">
        <f t="shared" si="173"/>
        <v>4.1559018332614643</v>
      </c>
      <c r="V99" s="155">
        <f t="shared" si="175"/>
        <v>4.3332448882666013</v>
      </c>
      <c r="W99" s="155">
        <f t="shared" si="175"/>
        <v>4.4445131940879605</v>
      </c>
      <c r="X99" s="155">
        <f t="shared" si="175"/>
        <v>4.3265171287175148</v>
      </c>
      <c r="Y99" s="155">
        <f t="shared" si="175"/>
        <v>4.0852870045171512</v>
      </c>
      <c r="Z99" s="155">
        <f t="shared" si="175"/>
        <v>3.5916874256183831</v>
      </c>
      <c r="AA99" s="155">
        <f t="shared" si="175"/>
        <v>3.1525712794413527</v>
      </c>
      <c r="AB99" s="155">
        <f t="shared" si="175"/>
        <v>2.3756078503824032</v>
      </c>
      <c r="AC99" s="155">
        <f t="shared" si="175"/>
        <v>2.2421326752809327</v>
      </c>
      <c r="AD99" s="155">
        <f t="shared" si="175"/>
        <v>2.8094309162090814</v>
      </c>
      <c r="AE99" s="155">
        <f t="shared" si="175"/>
        <v>3.5968589915666365</v>
      </c>
      <c r="AF99" s="155">
        <f t="shared" si="175"/>
        <v>4.1217460502584649</v>
      </c>
      <c r="AG99" s="155">
        <f t="shared" si="175"/>
        <v>4.1375958650518667</v>
      </c>
      <c r="AH99" s="155">
        <f t="shared" si="175"/>
        <v>3.7455160563881567</v>
      </c>
      <c r="AI99" s="155">
        <f t="shared" si="175"/>
        <v>2.9341101029118604</v>
      </c>
      <c r="AJ99" s="155">
        <f t="shared" si="175"/>
        <v>2.7508864105331212</v>
      </c>
      <c r="AK99" s="155">
        <f t="shared" si="175"/>
        <v>2.5138240840138333</v>
      </c>
      <c r="AL99" s="155">
        <f t="shared" si="175"/>
        <v>3.1722640334190206</v>
      </c>
      <c r="AM99" s="155">
        <f t="shared" si="175"/>
        <v>4.0247181325835077</v>
      </c>
      <c r="AN99" s="155">
        <f t="shared" si="175"/>
        <v>5.1134747930635545</v>
      </c>
      <c r="AO99" s="155">
        <f t="shared" si="175"/>
        <v>5.6576526842358792</v>
      </c>
      <c r="AP99" s="155">
        <f t="shared" si="175"/>
        <v>5.2000045885151058</v>
      </c>
      <c r="AQ99" s="155">
        <f t="shared" si="174"/>
        <v>5.6472269780564215</v>
      </c>
      <c r="AR99" s="155">
        <f t="shared" si="174"/>
        <v>5.3938833681831193</v>
      </c>
      <c r="AS99" s="155">
        <f t="shared" si="174"/>
        <v>5.0139978855427838</v>
      </c>
      <c r="AT99" s="155">
        <f t="shared" si="174"/>
        <v>5.4535572343488825</v>
      </c>
      <c r="AU99" s="155">
        <f t="shared" si="174"/>
        <v>5.2140089227679809</v>
      </c>
      <c r="AV99" s="155">
        <f t="shared" si="174"/>
        <v>5.3517833881438772</v>
      </c>
      <c r="AW99" s="155">
        <f t="shared" si="174"/>
        <v>6.0749681765348802</v>
      </c>
      <c r="AX99" s="155">
        <f t="shared" si="174"/>
        <v>6.2209503985301842</v>
      </c>
      <c r="AY99" s="155">
        <f t="shared" si="174"/>
        <v>5.5087052766495246</v>
      </c>
      <c r="AZ99" s="155">
        <f t="shared" si="174"/>
        <v>5.2384658465395448</v>
      </c>
      <c r="BA99" s="155">
        <f t="shared" si="174"/>
        <v>5.3949416687366716</v>
      </c>
      <c r="BB99" s="155">
        <f t="shared" si="174"/>
        <v>4.417775017612775</v>
      </c>
      <c r="BC99" s="155">
        <f t="shared" si="174"/>
        <v>4.7632126193414424</v>
      </c>
      <c r="BD99" s="155">
        <f t="shared" si="174"/>
        <v>3.9268287638027548</v>
      </c>
      <c r="BE99" s="155">
        <f t="shared" si="174"/>
        <v>1.9926891685803421</v>
      </c>
      <c r="BF99" s="155">
        <f t="shared" si="174"/>
        <v>-0.33157099100786697</v>
      </c>
      <c r="BG99" s="155">
        <f t="shared" si="174"/>
        <v>-2.0325751672168848</v>
      </c>
      <c r="BH99" s="155">
        <f t="shared" si="174"/>
        <v>-2.0502130688389286</v>
      </c>
      <c r="BI99" s="155">
        <f t="shared" si="159"/>
        <v>-0.94030367597288977</v>
      </c>
      <c r="BJ99" s="155">
        <f t="shared" si="159"/>
        <v>1.7505743602190944</v>
      </c>
      <c r="BK99" s="155">
        <f t="shared" si="159"/>
        <v>3.0730603595196451</v>
      </c>
      <c r="BL99" s="155">
        <f t="shared" si="159"/>
        <v>3.5547628826765107</v>
      </c>
      <c r="BM99" s="155">
        <f t="shared" si="160"/>
        <v>3.9356500049690197</v>
      </c>
      <c r="BN99" s="155">
        <f t="shared" si="161"/>
        <v>3.9956504545364884</v>
      </c>
      <c r="BO99" s="155">
        <f t="shared" si="162"/>
        <v>3.6794861888612536</v>
      </c>
      <c r="BP99" s="155">
        <f t="shared" si="163"/>
        <v>3.1685549228628873</v>
      </c>
      <c r="BQ99" s="155">
        <f t="shared" si="164"/>
        <v>2.8995309123307424</v>
      </c>
      <c r="BR99" s="155">
        <f t="shared" si="165"/>
        <v>2.3696663804189946</v>
      </c>
      <c r="BS99" s="155">
        <f t="shared" si="166"/>
        <v>2.5923204167766194</v>
      </c>
      <c r="BT99" s="155">
        <f t="shared" si="167"/>
        <v>2.528991701040066</v>
      </c>
      <c r="BU99" s="155">
        <f t="shared" si="168"/>
        <v>2.2654907785217686</v>
      </c>
      <c r="BV99" s="155">
        <f t="shared" si="169"/>
        <v>1.7514239868485331</v>
      </c>
      <c r="BW99" s="155">
        <f t="shared" si="170"/>
        <v>1.8964968441232195</v>
      </c>
      <c r="BX99" s="155">
        <f t="shared" si="171"/>
        <v>1.7135099552780746</v>
      </c>
      <c r="BY99" s="155">
        <f t="shared" si="172"/>
        <v>2.1075871510455069</v>
      </c>
    </row>
    <row r="100" spans="1:77">
      <c r="A100" s="3" t="s">
        <v>14</v>
      </c>
      <c r="B100" s="252"/>
      <c r="C100" s="156"/>
      <c r="D100" s="156"/>
      <c r="E100" s="156"/>
      <c r="F100" s="156">
        <f t="shared" si="173"/>
        <v>2.2796827120756791</v>
      </c>
      <c r="G100" s="156">
        <f t="shared" si="173"/>
        <v>5.314750676652924</v>
      </c>
      <c r="H100" s="156">
        <f t="shared" si="173"/>
        <v>5.5340661585592485</v>
      </c>
      <c r="I100" s="156">
        <f t="shared" si="173"/>
        <v>6.3922349578023354</v>
      </c>
      <c r="J100" s="156">
        <f t="shared" si="173"/>
        <v>5.7311583702082176</v>
      </c>
      <c r="K100" s="156">
        <f t="shared" si="173"/>
        <v>2.9948281480072896</v>
      </c>
      <c r="L100" s="156">
        <f t="shared" si="173"/>
        <v>2.0838678204715424</v>
      </c>
      <c r="M100" s="156">
        <f t="shared" si="173"/>
        <v>1.0102512872449936</v>
      </c>
      <c r="N100" s="156">
        <f t="shared" si="173"/>
        <v>0.12997009402727666</v>
      </c>
      <c r="O100" s="156">
        <f t="shared" si="173"/>
        <v>-1.084254283833586</v>
      </c>
      <c r="P100" s="156">
        <f t="shared" si="173"/>
        <v>-1.7301459816893794</v>
      </c>
      <c r="Q100" s="156">
        <f t="shared" si="173"/>
        <v>-1.8640696031397614</v>
      </c>
      <c r="R100" s="156">
        <f t="shared" si="173"/>
        <v>-1.8762550036686236</v>
      </c>
      <c r="S100" s="156">
        <f t="shared" si="173"/>
        <v>-1.0682715134070155</v>
      </c>
      <c r="T100" s="156">
        <f t="shared" si="173"/>
        <v>7.9760099897794368E-2</v>
      </c>
      <c r="U100" s="156">
        <f t="shared" si="173"/>
        <v>0.72303376929851404</v>
      </c>
      <c r="V100" s="156">
        <f t="shared" si="175"/>
        <v>1.29028770086661</v>
      </c>
      <c r="W100" s="156">
        <f t="shared" si="175"/>
        <v>1.6297639224216631</v>
      </c>
      <c r="X100" s="156">
        <f t="shared" si="175"/>
        <v>1.7223978640039339</v>
      </c>
      <c r="Y100" s="156">
        <f t="shared" si="175"/>
        <v>1.6681460223170388</v>
      </c>
      <c r="Z100" s="156">
        <f t="shared" si="175"/>
        <v>1.6238296953504039</v>
      </c>
      <c r="AA100" s="156">
        <f t="shared" si="175"/>
        <v>1.5590786653390658</v>
      </c>
      <c r="AB100" s="156">
        <f t="shared" si="175"/>
        <v>1.2134814482198351</v>
      </c>
      <c r="AC100" s="156">
        <f t="shared" si="175"/>
        <v>1.3574046417638903</v>
      </c>
      <c r="AD100" s="156">
        <f t="shared" si="175"/>
        <v>2.0985599620978292</v>
      </c>
      <c r="AE100" s="156">
        <f t="shared" si="175"/>
        <v>2.4549388336745492</v>
      </c>
      <c r="AF100" s="156">
        <f t="shared" si="175"/>
        <v>3.5824608193277987</v>
      </c>
      <c r="AG100" s="156">
        <f t="shared" si="175"/>
        <v>2.7039799678058576</v>
      </c>
      <c r="AH100" s="156">
        <f t="shared" si="175"/>
        <v>3.0811098462139532</v>
      </c>
      <c r="AI100" s="156">
        <f t="shared" si="175"/>
        <v>2.9253323327615779</v>
      </c>
      <c r="AJ100" s="156">
        <f t="shared" si="175"/>
        <v>1.8210970130050081</v>
      </c>
      <c r="AK100" s="156">
        <f t="shared" si="175"/>
        <v>2.9140962470773175</v>
      </c>
      <c r="AL100" s="156">
        <f t="shared" si="175"/>
        <v>3.0112333117685113</v>
      </c>
      <c r="AM100" s="156">
        <f t="shared" si="175"/>
        <v>4.6115588422930207</v>
      </c>
      <c r="AN100" s="156">
        <f t="shared" si="175"/>
        <v>6.092005417419986</v>
      </c>
      <c r="AO100" s="156">
        <f t="shared" si="175"/>
        <v>6.3505204923819418</v>
      </c>
      <c r="AP100" s="156">
        <f t="shared" si="175"/>
        <v>5.3377739715164854</v>
      </c>
      <c r="AQ100" s="156">
        <f t="shared" si="174"/>
        <v>5.4600990678166434</v>
      </c>
      <c r="AR100" s="156">
        <f t="shared" si="174"/>
        <v>4.9421993916368328</v>
      </c>
      <c r="AS100" s="156">
        <f t="shared" si="174"/>
        <v>4.2365049574857068</v>
      </c>
      <c r="AT100" s="156">
        <f t="shared" si="174"/>
        <v>5.4440491131544064</v>
      </c>
      <c r="AU100" s="156">
        <f t="shared" si="174"/>
        <v>5.9878409606480227</v>
      </c>
      <c r="AV100" s="156">
        <f t="shared" si="174"/>
        <v>5.4436701814750803</v>
      </c>
      <c r="AW100" s="156">
        <f t="shared" si="174"/>
        <v>8.0586978686357043</v>
      </c>
      <c r="AX100" s="156">
        <f t="shared" si="174"/>
        <v>7.5127506582366683</v>
      </c>
      <c r="AY100" s="156">
        <f t="shared" si="174"/>
        <v>4.9459971049994431</v>
      </c>
      <c r="AZ100" s="156">
        <f t="shared" si="174"/>
        <v>5.3708835186186947</v>
      </c>
      <c r="BA100" s="156">
        <f t="shared" si="174"/>
        <v>3.2510219717223241</v>
      </c>
      <c r="BB100" s="156">
        <f t="shared" si="174"/>
        <v>3.159214419659695</v>
      </c>
      <c r="BC100" s="156">
        <f t="shared" si="174"/>
        <v>3.3617323770317871</v>
      </c>
      <c r="BD100" s="156">
        <f t="shared" si="174"/>
        <v>2.6611906208746308</v>
      </c>
      <c r="BE100" s="156">
        <f t="shared" si="174"/>
        <v>0.75136080366547842</v>
      </c>
      <c r="BF100" s="156">
        <f t="shared" si="174"/>
        <v>-1.9913486791286885</v>
      </c>
      <c r="BG100" s="156">
        <f t="shared" si="174"/>
        <v>-4.1998347370419982</v>
      </c>
      <c r="BH100" s="156">
        <f t="shared" si="174"/>
        <v>-4.2378503051456331</v>
      </c>
      <c r="BI100" s="156">
        <f t="shared" si="159"/>
        <v>-1.7804444673344835</v>
      </c>
      <c r="BJ100" s="156">
        <f t="shared" si="159"/>
        <v>1.4832679182232311</v>
      </c>
      <c r="BK100" s="156">
        <f t="shared" si="159"/>
        <v>4.1734080510880869</v>
      </c>
      <c r="BL100" s="156">
        <f t="shared" si="159"/>
        <v>4.8346272919586291</v>
      </c>
      <c r="BM100" s="156">
        <f t="shared" si="160"/>
        <v>4.1372150093336408</v>
      </c>
      <c r="BN100" s="156">
        <f t="shared" si="161"/>
        <v>4.743561865117579</v>
      </c>
      <c r="BO100" s="156">
        <f t="shared" si="162"/>
        <v>5.0635645519624779</v>
      </c>
      <c r="BP100" s="156">
        <f t="shared" si="163"/>
        <v>4.8515807664938491</v>
      </c>
      <c r="BQ100" s="156">
        <f t="shared" si="164"/>
        <v>5.3792082498313176</v>
      </c>
      <c r="BR100" s="156">
        <f t="shared" si="165"/>
        <v>3.6498803804100679</v>
      </c>
      <c r="BS100" s="156">
        <f t="shared" si="166"/>
        <v>3.2144850069018185</v>
      </c>
      <c r="BT100" s="156">
        <f t="shared" si="167"/>
        <v>2.5678066752308699</v>
      </c>
      <c r="BU100" s="156">
        <f t="shared" si="168"/>
        <v>1.4086324128802901</v>
      </c>
      <c r="BV100" s="156">
        <f t="shared" si="169"/>
        <v>1.793582969307365</v>
      </c>
      <c r="BW100" s="156">
        <f t="shared" si="170"/>
        <v>2.0070093568749079</v>
      </c>
      <c r="BX100" s="156">
        <f t="shared" si="171"/>
        <v>2.1788242856197599</v>
      </c>
      <c r="BY100" s="156">
        <f t="shared" si="172"/>
        <v>2.331915054021835</v>
      </c>
    </row>
    <row r="101" spans="1:77" ht="13.5" thickBot="1">
      <c r="A101" s="105" t="s">
        <v>283</v>
      </c>
      <c r="B101" s="255"/>
      <c r="C101" s="158"/>
      <c r="D101" s="158"/>
      <c r="E101" s="158"/>
      <c r="F101" s="158">
        <f t="shared" si="173"/>
        <v>2.6193291739602507</v>
      </c>
      <c r="G101" s="158">
        <f t="shared" si="173"/>
        <v>3.6424500834332281</v>
      </c>
      <c r="H101" s="158">
        <f t="shared" si="173"/>
        <v>4.2771971760531509</v>
      </c>
      <c r="I101" s="158">
        <f t="shared" si="173"/>
        <v>5.0946223015654386</v>
      </c>
      <c r="J101" s="158">
        <f t="shared" si="173"/>
        <v>3.8776642207911647</v>
      </c>
      <c r="K101" s="158">
        <f t="shared" si="173"/>
        <v>3.2348327482615882</v>
      </c>
      <c r="L101" s="158">
        <f t="shared" si="173"/>
        <v>2.1587870192383716</v>
      </c>
      <c r="M101" s="158">
        <f t="shared" si="173"/>
        <v>0.99688187921534466</v>
      </c>
      <c r="N101" s="158">
        <f t="shared" si="173"/>
        <v>1.0515220226946822</v>
      </c>
      <c r="O101" s="158">
        <f t="shared" si="173"/>
        <v>0.52823211895616684</v>
      </c>
      <c r="P101" s="158">
        <f t="shared" si="173"/>
        <v>0.15239228737640925</v>
      </c>
      <c r="Q101" s="158">
        <f t="shared" si="173"/>
        <v>0.30906548035360731</v>
      </c>
      <c r="R101" s="158">
        <f t="shared" si="173"/>
        <v>0.8323656320893843</v>
      </c>
      <c r="S101" s="158">
        <f t="shared" si="173"/>
        <v>1.4558064633256622</v>
      </c>
      <c r="T101" s="158">
        <f t="shared" si="173"/>
        <v>2.7528397526956598</v>
      </c>
      <c r="U101" s="158">
        <f t="shared" si="173"/>
        <v>3.7583875180367219</v>
      </c>
      <c r="V101" s="158">
        <f t="shared" si="175"/>
        <v>3.9857679326269801</v>
      </c>
      <c r="W101" s="158">
        <f t="shared" si="175"/>
        <v>4.1257208382147494</v>
      </c>
      <c r="X101" s="158">
        <f t="shared" si="175"/>
        <v>4.032632156879477</v>
      </c>
      <c r="Y101" s="158">
        <f t="shared" si="175"/>
        <v>3.8135785033596434</v>
      </c>
      <c r="Z101" s="158">
        <f t="shared" si="175"/>
        <v>3.3728015368723274</v>
      </c>
      <c r="AA101" s="158">
        <f t="shared" si="175"/>
        <v>2.9764218931666595</v>
      </c>
      <c r="AB101" s="158">
        <f t="shared" si="175"/>
        <v>2.2473698084019298</v>
      </c>
      <c r="AC101" s="158">
        <f t="shared" si="175"/>
        <v>2.1447365284209958</v>
      </c>
      <c r="AD101" s="158">
        <f t="shared" si="175"/>
        <v>2.7316981527659419</v>
      </c>
      <c r="AE101" s="158">
        <f t="shared" si="175"/>
        <v>3.4723651770667585</v>
      </c>
      <c r="AF101" s="158">
        <f t="shared" si="175"/>
        <v>4.062838867167673</v>
      </c>
      <c r="AG101" s="158">
        <f t="shared" si="175"/>
        <v>3.9809913480451842</v>
      </c>
      <c r="AH101" s="158">
        <f t="shared" si="175"/>
        <v>3.6733119045798319</v>
      </c>
      <c r="AI101" s="158">
        <f t="shared" si="175"/>
        <v>2.9331625471844345</v>
      </c>
      <c r="AJ101" s="158">
        <f t="shared" si="175"/>
        <v>2.6497925286245616</v>
      </c>
      <c r="AK101" s="158">
        <f t="shared" si="175"/>
        <v>2.5570117947963875</v>
      </c>
      <c r="AL101" s="158">
        <f t="shared" si="175"/>
        <v>3.1548640297444139</v>
      </c>
      <c r="AM101" s="158">
        <f t="shared" si="175"/>
        <v>4.0880624632920721</v>
      </c>
      <c r="AN101" s="158">
        <f t="shared" si="175"/>
        <v>5.219009279637743</v>
      </c>
      <c r="AO101" s="158">
        <f t="shared" si="175"/>
        <v>5.7326705468495813</v>
      </c>
      <c r="AP101" s="158">
        <f t="shared" si="175"/>
        <v>5.2148703852452378</v>
      </c>
      <c r="AQ101" s="158">
        <f t="shared" si="174"/>
        <v>5.6269265668574393</v>
      </c>
      <c r="AR101" s="158">
        <f t="shared" si="174"/>
        <v>5.3447650922591894</v>
      </c>
      <c r="AS101" s="158">
        <f t="shared" si="174"/>
        <v>4.9293256223516959</v>
      </c>
      <c r="AT101" s="158">
        <f t="shared" si="174"/>
        <v>5.4525300764802722</v>
      </c>
      <c r="AU101" s="158">
        <f t="shared" si="174"/>
        <v>5.2978248406205495</v>
      </c>
      <c r="AV101" s="158">
        <f t="shared" si="174"/>
        <v>5.3617374131826887</v>
      </c>
      <c r="AW101" s="158">
        <f t="shared" si="174"/>
        <v>6.2895782849218564</v>
      </c>
      <c r="AX101" s="158">
        <f t="shared" si="174"/>
        <v>6.3604917506499783</v>
      </c>
      <c r="AY101" s="158">
        <f t="shared" si="174"/>
        <v>5.4473573815255856</v>
      </c>
      <c r="AZ101" s="158">
        <f t="shared" si="174"/>
        <v>5.2528217051461557</v>
      </c>
      <c r="BA101" s="158">
        <f t="shared" si="174"/>
        <v>5.159140887113602</v>
      </c>
      <c r="BB101" s="158">
        <f t="shared" si="174"/>
        <v>4.2803514158012881</v>
      </c>
      <c r="BC101" s="158">
        <f t="shared" si="174"/>
        <v>4.6111461012661028</v>
      </c>
      <c r="BD101" s="158">
        <f t="shared" si="174"/>
        <v>3.7894626371944788</v>
      </c>
      <c r="BE101" s="158">
        <f>(BE21-BA21)/BA21*100</f>
        <v>1.8586379596774352</v>
      </c>
      <c r="BF101" s="158">
        <f>(BF21-BB21)/BB21*100</f>
        <v>-0.51085545550390987</v>
      </c>
      <c r="BG101" s="158">
        <f>(BG21-BC21)/BC21*100</f>
        <v>-2.2649233986199131</v>
      </c>
      <c r="BH101" s="158">
        <f>(BH21-BD21)/BD21*100</f>
        <v>-2.2850673264698487</v>
      </c>
      <c r="BI101" s="158">
        <f t="shared" si="159"/>
        <v>-1.0300443202641829</v>
      </c>
      <c r="BJ101" s="158">
        <f t="shared" si="159"/>
        <v>1.7221303466096221</v>
      </c>
      <c r="BK101" s="158">
        <f t="shared" si="159"/>
        <v>3.1886913322221933</v>
      </c>
      <c r="BL101" s="158">
        <f>(BL21-BH21)/BH21*100</f>
        <v>3.6894171256585042</v>
      </c>
      <c r="BM101" s="158">
        <f t="shared" si="160"/>
        <v>3.9570171664761733</v>
      </c>
      <c r="BN101" s="158">
        <f t="shared" si="161"/>
        <v>4.0750486456869996</v>
      </c>
      <c r="BO101" s="158">
        <f t="shared" si="162"/>
        <v>3.826321223356381</v>
      </c>
      <c r="BP101" s="158">
        <f t="shared" si="163"/>
        <v>3.3475813677683313</v>
      </c>
      <c r="BQ101" s="158">
        <f t="shared" si="164"/>
        <v>3.1628479874985391</v>
      </c>
      <c r="BR101" s="158">
        <f t="shared" si="165"/>
        <v>2.5064467387669551</v>
      </c>
      <c r="BS101" s="158">
        <f t="shared" si="166"/>
        <v>2.6591115735290987</v>
      </c>
      <c r="BT101" s="158">
        <f t="shared" si="167"/>
        <v>2.5331806046741092</v>
      </c>
      <c r="BU101" s="158">
        <f t="shared" si="168"/>
        <v>2.1725461065727862</v>
      </c>
      <c r="BV101" s="158">
        <f t="shared" si="169"/>
        <v>1.7559785728921755</v>
      </c>
      <c r="BW101" s="158">
        <f t="shared" si="170"/>
        <v>1.9084248618860555</v>
      </c>
      <c r="BX101" s="158">
        <f t="shared" si="171"/>
        <v>1.7637435357961868</v>
      </c>
      <c r="BY101" s="158">
        <f t="shared" si="172"/>
        <v>2.1317383927421703</v>
      </c>
    </row>
    <row r="103" spans="1:77" ht="18">
      <c r="A103" s="407" t="s">
        <v>168</v>
      </c>
      <c r="B103" s="407"/>
      <c r="C103" s="407"/>
      <c r="D103" s="407"/>
      <c r="E103" s="407"/>
      <c r="F103" s="407"/>
      <c r="G103" s="407"/>
      <c r="H103" s="407"/>
      <c r="I103" s="407"/>
      <c r="J103" s="407"/>
      <c r="K103" s="407"/>
      <c r="L103" s="407"/>
      <c r="M103" s="407"/>
      <c r="N103" s="407"/>
      <c r="O103" s="407"/>
      <c r="P103" s="407"/>
      <c r="Q103" s="407"/>
      <c r="R103" s="407"/>
      <c r="S103" s="407"/>
      <c r="T103" s="407"/>
      <c r="U103" s="407"/>
      <c r="V103" s="407"/>
      <c r="W103" s="407"/>
      <c r="X103" s="407"/>
      <c r="Y103" s="407"/>
      <c r="Z103" s="408"/>
      <c r="AA103" s="408"/>
      <c r="AB103" s="408"/>
      <c r="AC103" s="408"/>
      <c r="AD103" s="408"/>
      <c r="AE103" s="408"/>
      <c r="AF103" s="408"/>
      <c r="AG103" s="408"/>
      <c r="AH103" s="408"/>
      <c r="AI103" s="408"/>
      <c r="AJ103" s="408"/>
      <c r="AK103" s="408"/>
      <c r="AL103" s="408"/>
      <c r="AM103" s="408"/>
      <c r="AN103" s="408"/>
      <c r="AO103" s="408"/>
      <c r="AP103" s="408"/>
      <c r="AQ103" s="408"/>
      <c r="AR103" s="408"/>
      <c r="AS103" s="408"/>
      <c r="AT103" s="408"/>
      <c r="AU103" s="408"/>
      <c r="AV103" s="408"/>
      <c r="AW103" s="408"/>
      <c r="AX103" s="408"/>
      <c r="AY103" s="408"/>
      <c r="AZ103" s="408"/>
      <c r="BA103" s="408"/>
      <c r="BB103" s="408"/>
      <c r="BC103" s="408"/>
      <c r="BD103" s="408"/>
      <c r="BE103" s="408"/>
      <c r="BF103" s="408"/>
      <c r="BG103" s="408"/>
      <c r="BH103" s="408"/>
    </row>
    <row r="104" spans="1:77" ht="13.5" thickBot="1">
      <c r="A104" s="1" t="s">
        <v>200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77" ht="13.5" thickBot="1">
      <c r="A105" s="144" t="s">
        <v>167</v>
      </c>
      <c r="B105" s="249" t="s">
        <v>285</v>
      </c>
      <c r="C105" s="248" t="s">
        <v>286</v>
      </c>
      <c r="D105" s="248" t="s">
        <v>287</v>
      </c>
      <c r="E105" s="248" t="s">
        <v>288</v>
      </c>
      <c r="F105" s="248" t="s">
        <v>284</v>
      </c>
      <c r="G105" s="248" t="s">
        <v>289</v>
      </c>
      <c r="H105" s="248" t="s">
        <v>290</v>
      </c>
      <c r="I105" s="248" t="s">
        <v>291</v>
      </c>
      <c r="J105" s="248" t="s">
        <v>292</v>
      </c>
      <c r="K105" s="248" t="s">
        <v>293</v>
      </c>
      <c r="L105" s="248" t="s">
        <v>294</v>
      </c>
      <c r="M105" s="248" t="s">
        <v>295</v>
      </c>
      <c r="N105" s="248" t="s">
        <v>296</v>
      </c>
      <c r="O105" s="248" t="s">
        <v>297</v>
      </c>
      <c r="P105" s="248" t="s">
        <v>298</v>
      </c>
      <c r="Q105" s="248" t="s">
        <v>299</v>
      </c>
      <c r="R105" s="248" t="s">
        <v>300</v>
      </c>
      <c r="S105" s="248" t="s">
        <v>301</v>
      </c>
      <c r="T105" s="248" t="s">
        <v>302</v>
      </c>
      <c r="U105" s="248" t="s">
        <v>303</v>
      </c>
      <c r="V105" s="248" t="s">
        <v>332</v>
      </c>
      <c r="W105" s="248" t="s">
        <v>333</v>
      </c>
      <c r="X105" s="248" t="s">
        <v>334</v>
      </c>
      <c r="Y105" s="248" t="s">
        <v>335</v>
      </c>
      <c r="Z105" s="248" t="s">
        <v>304</v>
      </c>
      <c r="AA105" s="248" t="s">
        <v>305</v>
      </c>
      <c r="AB105" s="248" t="s">
        <v>306</v>
      </c>
      <c r="AC105" s="248" t="s">
        <v>307</v>
      </c>
      <c r="AD105" s="248" t="s">
        <v>308</v>
      </c>
      <c r="AE105" s="248" t="s">
        <v>309</v>
      </c>
      <c r="AF105" s="248" t="s">
        <v>310</v>
      </c>
      <c r="AG105" s="248" t="s">
        <v>311</v>
      </c>
      <c r="AH105" s="248" t="s">
        <v>312</v>
      </c>
      <c r="AI105" s="248" t="s">
        <v>313</v>
      </c>
      <c r="AJ105" s="248" t="s">
        <v>314</v>
      </c>
      <c r="AK105" s="248" t="s">
        <v>315</v>
      </c>
      <c r="AL105" s="248" t="s">
        <v>316</v>
      </c>
      <c r="AM105" s="248" t="s">
        <v>317</v>
      </c>
      <c r="AN105" s="248" t="s">
        <v>318</v>
      </c>
      <c r="AO105" s="248" t="s">
        <v>319</v>
      </c>
      <c r="AP105" s="248" t="s">
        <v>320</v>
      </c>
      <c r="AQ105" s="248" t="s">
        <v>321</v>
      </c>
      <c r="AR105" s="248" t="s">
        <v>322</v>
      </c>
      <c r="AS105" s="248" t="s">
        <v>323</v>
      </c>
      <c r="AT105" s="248" t="s">
        <v>324</v>
      </c>
      <c r="AU105" s="248" t="s">
        <v>325</v>
      </c>
      <c r="AV105" s="248" t="s">
        <v>326</v>
      </c>
      <c r="AW105" s="248" t="s">
        <v>327</v>
      </c>
      <c r="AX105" s="248" t="s">
        <v>328</v>
      </c>
      <c r="AY105" s="248" t="s">
        <v>329</v>
      </c>
      <c r="AZ105" s="248" t="s">
        <v>330</v>
      </c>
      <c r="BA105" s="248" t="s">
        <v>331</v>
      </c>
      <c r="BB105" s="248" t="s">
        <v>227</v>
      </c>
      <c r="BC105" s="248" t="s">
        <v>228</v>
      </c>
      <c r="BD105" s="248" t="s">
        <v>229</v>
      </c>
      <c r="BE105" s="248" t="s">
        <v>230</v>
      </c>
      <c r="BF105" s="248" t="s">
        <v>224</v>
      </c>
      <c r="BG105" s="248" t="s">
        <v>225</v>
      </c>
      <c r="BH105" s="248" t="s">
        <v>226</v>
      </c>
      <c r="BI105" s="248" t="s">
        <v>346</v>
      </c>
      <c r="BJ105" s="248" t="str">
        <f>BJ85</f>
        <v>2010q1</v>
      </c>
      <c r="BK105" s="248" t="str">
        <f>BK85</f>
        <v>2010q2</v>
      </c>
      <c r="BL105" s="248" t="str">
        <f>BL85</f>
        <v>2010q3</v>
      </c>
      <c r="BM105" s="248" t="str">
        <f t="shared" ref="BM105" si="176">BM85</f>
        <v>2010q4</v>
      </c>
      <c r="BN105" s="248" t="str">
        <f t="shared" ref="BN105:BQ105" si="177">BN85</f>
        <v>2011q1</v>
      </c>
      <c r="BO105" s="248" t="str">
        <f t="shared" si="177"/>
        <v>2011q2</v>
      </c>
      <c r="BP105" s="248" t="str">
        <f t="shared" si="177"/>
        <v>2011q3</v>
      </c>
      <c r="BQ105" s="248" t="str">
        <f t="shared" si="177"/>
        <v>2011q4</v>
      </c>
      <c r="BR105" s="248" t="str">
        <f t="shared" ref="BR105" si="178">BR85</f>
        <v>2012q1</v>
      </c>
      <c r="BS105" s="248" t="str">
        <f t="shared" ref="BS105:BX105" si="179">BS85</f>
        <v>2012q2</v>
      </c>
      <c r="BT105" s="248" t="str">
        <f t="shared" si="179"/>
        <v>2012q3</v>
      </c>
      <c r="BU105" s="248" t="str">
        <f t="shared" si="179"/>
        <v>2012q4</v>
      </c>
      <c r="BV105" s="248" t="str">
        <f t="shared" si="179"/>
        <v>2013q1</v>
      </c>
      <c r="BW105" s="248" t="str">
        <f t="shared" si="179"/>
        <v>2013q2</v>
      </c>
      <c r="BX105" s="248" t="str">
        <f t="shared" si="179"/>
        <v>2013q3</v>
      </c>
      <c r="BY105" s="248" t="str">
        <f t="shared" ref="BY105" si="180">BY85</f>
        <v>2013q4</v>
      </c>
    </row>
    <row r="106" spans="1:77" ht="13.5" thickTop="1">
      <c r="A106" s="145" t="s">
        <v>0</v>
      </c>
      <c r="B106" s="251"/>
      <c r="C106" s="154"/>
      <c r="D106" s="154"/>
      <c r="E106" s="154"/>
      <c r="F106" s="154">
        <f t="shared" ref="F106:BH110" si="181">(F26-B26)/B26*100</f>
        <v>1.6810536209994911</v>
      </c>
      <c r="G106" s="154">
        <f t="shared" si="181"/>
        <v>24.113371788301436</v>
      </c>
      <c r="H106" s="154">
        <f t="shared" si="181"/>
        <v>37.341781011913483</v>
      </c>
      <c r="I106" s="154">
        <f t="shared" si="181"/>
        <v>38.73385065423858</v>
      </c>
      <c r="J106" s="154">
        <f t="shared" si="181"/>
        <v>8.4077422063460521</v>
      </c>
      <c r="K106" s="154">
        <f t="shared" si="181"/>
        <v>0.49503604777323001</v>
      </c>
      <c r="L106" s="154">
        <f t="shared" si="181"/>
        <v>-2.9307154736889771</v>
      </c>
      <c r="M106" s="154">
        <f t="shared" si="181"/>
        <v>-4.1581844875718739</v>
      </c>
      <c r="N106" s="154">
        <f t="shared" si="181"/>
        <v>1.8178226733009526</v>
      </c>
      <c r="O106" s="154">
        <f t="shared" si="181"/>
        <v>-0.69891838959663555</v>
      </c>
      <c r="P106" s="154">
        <f t="shared" si="181"/>
        <v>-1.3581312879735437</v>
      </c>
      <c r="Q106" s="154">
        <f t="shared" si="181"/>
        <v>0.32670059406483631</v>
      </c>
      <c r="R106" s="154">
        <f t="shared" si="181"/>
        <v>-14.784698906620939</v>
      </c>
      <c r="S106" s="154">
        <f t="shared" si="181"/>
        <v>-12.650211601139095</v>
      </c>
      <c r="T106" s="154">
        <f t="shared" si="181"/>
        <v>-11.138538576063404</v>
      </c>
      <c r="U106" s="154">
        <f t="shared" si="181"/>
        <v>-10.592551512041464</v>
      </c>
      <c r="V106" s="154">
        <f t="shared" si="181"/>
        <v>3.3244780316509481</v>
      </c>
      <c r="W106" s="154">
        <f t="shared" si="181"/>
        <v>3.0596366912019404</v>
      </c>
      <c r="X106" s="154">
        <f t="shared" si="181"/>
        <v>1.6702615219276633</v>
      </c>
      <c r="Y106" s="154">
        <f t="shared" si="181"/>
        <v>-1.0664285566033425</v>
      </c>
      <c r="Z106" s="154">
        <f t="shared" si="181"/>
        <v>-1.3554771282574243</v>
      </c>
      <c r="AA106" s="154">
        <f t="shared" si="181"/>
        <v>-2.0252522872036374</v>
      </c>
      <c r="AB106" s="154">
        <f t="shared" si="181"/>
        <v>-2.2431434926247338</v>
      </c>
      <c r="AC106" s="154">
        <f t="shared" si="181"/>
        <v>-1.6366376912233089</v>
      </c>
      <c r="AD106" s="154">
        <f t="shared" si="181"/>
        <v>-3.445722901806981</v>
      </c>
      <c r="AE106" s="154">
        <f t="shared" si="181"/>
        <v>-0.63053074903437356</v>
      </c>
      <c r="AF106" s="154">
        <f t="shared" si="181"/>
        <v>1.5464975855933583</v>
      </c>
      <c r="AG106" s="154">
        <f t="shared" si="181"/>
        <v>2.9907446033888325</v>
      </c>
      <c r="AH106" s="154">
        <f t="shared" si="181"/>
        <v>10.072827778436784</v>
      </c>
      <c r="AI106" s="154">
        <f t="shared" si="181"/>
        <v>6.8832687374564898</v>
      </c>
      <c r="AJ106" s="154">
        <f t="shared" si="181"/>
        <v>3.1465834435999733</v>
      </c>
      <c r="AK106" s="154">
        <f t="shared" si="181"/>
        <v>1.6247260274404061</v>
      </c>
      <c r="AL106" s="154">
        <f t="shared" si="181"/>
        <v>-2.182431113275686</v>
      </c>
      <c r="AM106" s="154">
        <f t="shared" si="181"/>
        <v>-1.494993614096835</v>
      </c>
      <c r="AN106" s="154">
        <f t="shared" si="181"/>
        <v>2.5996716759860399</v>
      </c>
      <c r="AO106" s="154">
        <f t="shared" si="181"/>
        <v>4.2106276585995781</v>
      </c>
      <c r="AP106" s="154">
        <f t="shared" si="181"/>
        <v>-4.0817816190202247</v>
      </c>
      <c r="AQ106" s="154">
        <f t="shared" si="181"/>
        <v>-4.7408642964011269</v>
      </c>
      <c r="AR106" s="154">
        <f t="shared" si="181"/>
        <v>-6.9244086815284795</v>
      </c>
      <c r="AS106" s="154">
        <f t="shared" si="181"/>
        <v>-7.9538861582415867</v>
      </c>
      <c r="AT106" s="154">
        <f t="shared" si="181"/>
        <v>1.2170108982418695</v>
      </c>
      <c r="AU106" s="154">
        <f t="shared" si="181"/>
        <v>-0.55808310996968091</v>
      </c>
      <c r="AV106" s="154">
        <f t="shared" si="181"/>
        <v>-1.4397402571190974</v>
      </c>
      <c r="AW106" s="154">
        <f t="shared" si="181"/>
        <v>-1.2648598764685042</v>
      </c>
      <c r="AX106" s="154">
        <f t="shared" si="181"/>
        <v>3.3528592849880773E-2</v>
      </c>
      <c r="AY106" s="154">
        <f t="shared" si="181"/>
        <v>3.1620794006813813</v>
      </c>
      <c r="AZ106" s="154">
        <f t="shared" si="181"/>
        <v>4.8890312139723706</v>
      </c>
      <c r="BA106" s="154">
        <f t="shared" si="181"/>
        <v>6.7039181017791538</v>
      </c>
      <c r="BB106" s="154">
        <f t="shared" si="181"/>
        <v>5.6690914946248565</v>
      </c>
      <c r="BC106" s="154">
        <f t="shared" si="181"/>
        <v>7.7226579700301139</v>
      </c>
      <c r="BD106" s="154">
        <f t="shared" si="181"/>
        <v>11.580169284162183</v>
      </c>
      <c r="BE106" s="154">
        <f t="shared" si="181"/>
        <v>11.331334613094556</v>
      </c>
      <c r="BF106" s="154">
        <f t="shared" si="181"/>
        <v>5.1751933534444978</v>
      </c>
      <c r="BG106" s="154">
        <f t="shared" si="181"/>
        <v>-0.65430679694918736</v>
      </c>
      <c r="BH106" s="154">
        <f t="shared" si="181"/>
        <v>-7.6046020456617871</v>
      </c>
      <c r="BI106" s="154">
        <f t="shared" ref="BI106:BL120" si="182">(BI26-BE26)/BE26*100</f>
        <v>-10.682923851500801</v>
      </c>
      <c r="BJ106" s="154">
        <f t="shared" si="182"/>
        <v>-3.3555778637184863</v>
      </c>
      <c r="BK106" s="154">
        <f t="shared" si="182"/>
        <v>5.0115461954638799E-2</v>
      </c>
      <c r="BL106" s="154">
        <f t="shared" si="182"/>
        <v>7.4860708177941824</v>
      </c>
      <c r="BM106" s="154">
        <f t="shared" ref="BM106:BM121" si="183">(BM26-BI26)/BI26*100</f>
        <v>11.987532092033772</v>
      </c>
      <c r="BN106" s="154">
        <f t="shared" ref="BN106:BN121" si="184">(BN26-BJ26)/BJ26*100</f>
        <v>6.7673674690197192</v>
      </c>
      <c r="BO106" s="154">
        <f t="shared" ref="BO106:BO121" si="185">(BO26-BK26)/BK26*100</f>
        <v>3.9993600205592812</v>
      </c>
      <c r="BP106" s="154">
        <f t="shared" ref="BP106:BP121" si="186">(BP26-BL26)/BL26*100</f>
        <v>-2.4790341838732091</v>
      </c>
      <c r="BQ106" s="154">
        <f t="shared" ref="BQ106:BQ121" si="187">(BQ26-BM26)/BM26*100</f>
        <v>-5.7141275421946771</v>
      </c>
      <c r="BR106" s="154">
        <f t="shared" ref="BR106:BR121" si="188">(BR26-BN26)/BN26*100</f>
        <v>-3.36113733301625</v>
      </c>
      <c r="BS106" s="154">
        <f t="shared" ref="BS106:BS121" si="189">(BS26-BO26)/BO26*100</f>
        <v>1.505208443923455</v>
      </c>
      <c r="BT106" s="154">
        <f t="shared" ref="BT106:BT121" si="190">(BT26-BP26)/BP26*100</f>
        <v>4.652743558679246</v>
      </c>
      <c r="BU106" s="154">
        <f t="shared" ref="BU106:BU121" si="191">(BU26-BQ26)/BQ26*100</f>
        <v>7.079931302282624</v>
      </c>
      <c r="BV106" s="154">
        <f t="shared" ref="BV106:BV121" si="192">(BV26-BR26)/BR26*100</f>
        <v>5.6021844962545826</v>
      </c>
      <c r="BW106" s="154">
        <f t="shared" ref="BW106:BW121" si="193">(BW26-BS26)/BS26*100</f>
        <v>1.6252401253071234</v>
      </c>
      <c r="BX106" s="154">
        <f t="shared" ref="BX106:BX121" si="194">(BX26-BT26)/BT26*100</f>
        <v>2.104650728006269</v>
      </c>
      <c r="BY106" s="154">
        <f t="shared" ref="BY106:BY121" si="195">(BY26-BU26)/BU26*100</f>
        <v>2.716485440760648</v>
      </c>
    </row>
    <row r="107" spans="1:77">
      <c r="A107" s="146" t="s">
        <v>1</v>
      </c>
      <c r="B107" s="252"/>
      <c r="C107" s="156"/>
      <c r="D107" s="156"/>
      <c r="E107" s="156"/>
      <c r="F107" s="156">
        <f t="shared" si="181"/>
        <v>-15.24009696826325</v>
      </c>
      <c r="G107" s="156">
        <f t="shared" si="181"/>
        <v>16.323205778134479</v>
      </c>
      <c r="H107" s="156">
        <f t="shared" si="181"/>
        <v>36.231203102792968</v>
      </c>
      <c r="I107" s="156">
        <f t="shared" si="181"/>
        <v>37.721669379215093</v>
      </c>
      <c r="J107" s="156">
        <f t="shared" si="181"/>
        <v>15.524432056550017</v>
      </c>
      <c r="K107" s="156">
        <f t="shared" si="181"/>
        <v>-0.12582156057442728</v>
      </c>
      <c r="L107" s="156">
        <f t="shared" si="181"/>
        <v>-5.958152793098062</v>
      </c>
      <c r="M107" s="156">
        <f t="shared" si="181"/>
        <v>-7.8120748070598323</v>
      </c>
      <c r="N107" s="156">
        <f t="shared" si="181"/>
        <v>2.1951160715534472</v>
      </c>
      <c r="O107" s="156">
        <f t="shared" si="181"/>
        <v>-0.52112923967120883</v>
      </c>
      <c r="P107" s="156">
        <f t="shared" si="181"/>
        <v>-0.54302441251054945</v>
      </c>
      <c r="Q107" s="156">
        <f t="shared" si="181"/>
        <v>2.514232118754959</v>
      </c>
      <c r="R107" s="156">
        <f t="shared" si="181"/>
        <v>-6.3373898266557482</v>
      </c>
      <c r="S107" s="156">
        <f t="shared" si="181"/>
        <v>-2.8205479005211584</v>
      </c>
      <c r="T107" s="156">
        <f t="shared" si="181"/>
        <v>-0.83634365877357253</v>
      </c>
      <c r="U107" s="156">
        <f t="shared" si="181"/>
        <v>-0.4720683278054979</v>
      </c>
      <c r="V107" s="156">
        <f t="shared" si="181"/>
        <v>6.1368989488115391</v>
      </c>
      <c r="W107" s="156">
        <f t="shared" si="181"/>
        <v>5.5011440039015387</v>
      </c>
      <c r="X107" s="156">
        <f t="shared" si="181"/>
        <v>3.8251074419645223</v>
      </c>
      <c r="Y107" s="156">
        <f t="shared" si="181"/>
        <v>-0.24184009585693661</v>
      </c>
      <c r="Z107" s="156">
        <f t="shared" si="181"/>
        <v>0.48941068601601007</v>
      </c>
      <c r="AA107" s="156">
        <f t="shared" si="181"/>
        <v>-0.83050959887292275</v>
      </c>
      <c r="AB107" s="156">
        <f t="shared" si="181"/>
        <v>-1.2262093066183677</v>
      </c>
      <c r="AC107" s="156">
        <f t="shared" si="181"/>
        <v>0.16078147758392974</v>
      </c>
      <c r="AD107" s="156">
        <f t="shared" si="181"/>
        <v>9.8622147755116199E-2</v>
      </c>
      <c r="AE107" s="156">
        <f t="shared" si="181"/>
        <v>4.0507574442592151</v>
      </c>
      <c r="AF107" s="156">
        <f t="shared" si="181"/>
        <v>6.5296961956629529</v>
      </c>
      <c r="AG107" s="156">
        <f t="shared" si="181"/>
        <v>7.9788048026604441</v>
      </c>
      <c r="AH107" s="156">
        <f t="shared" si="181"/>
        <v>11.775013066072813</v>
      </c>
      <c r="AI107" s="156">
        <f t="shared" si="181"/>
        <v>7.2523543729314675</v>
      </c>
      <c r="AJ107" s="156">
        <f t="shared" si="181"/>
        <v>2.0529996424534689</v>
      </c>
      <c r="AK107" s="156">
        <f t="shared" si="181"/>
        <v>9.6551265273349868E-2</v>
      </c>
      <c r="AL107" s="156">
        <f t="shared" si="181"/>
        <v>-4.3008393655030774</v>
      </c>
      <c r="AM107" s="156">
        <f t="shared" si="181"/>
        <v>-2.5548812532053056</v>
      </c>
      <c r="AN107" s="156">
        <f t="shared" si="181"/>
        <v>2.489500646508886</v>
      </c>
      <c r="AO107" s="156">
        <f t="shared" si="181"/>
        <v>5.866793043292887</v>
      </c>
      <c r="AP107" s="156">
        <f t="shared" si="181"/>
        <v>-3.5635076636659493</v>
      </c>
      <c r="AQ107" s="156">
        <f t="shared" si="181"/>
        <v>-4.6313158884082526</v>
      </c>
      <c r="AR107" s="156">
        <f t="shared" si="181"/>
        <v>-6.4509215660709014</v>
      </c>
      <c r="AS107" s="156">
        <f t="shared" si="181"/>
        <v>-8.5361932758094028</v>
      </c>
      <c r="AT107" s="156">
        <f t="shared" si="181"/>
        <v>4.1419442688641785</v>
      </c>
      <c r="AU107" s="156">
        <f t="shared" si="181"/>
        <v>0.84605729410278785</v>
      </c>
      <c r="AV107" s="156">
        <f t="shared" si="181"/>
        <v>-1.1453697895960178</v>
      </c>
      <c r="AW107" s="156">
        <f t="shared" si="181"/>
        <v>-1.7114030937547413</v>
      </c>
      <c r="AX107" s="156">
        <f t="shared" si="181"/>
        <v>-2.4555189249289771</v>
      </c>
      <c r="AY107" s="156">
        <f t="shared" si="181"/>
        <v>3.1975017807751631</v>
      </c>
      <c r="AZ107" s="156">
        <f t="shared" si="181"/>
        <v>6.1458921550302534</v>
      </c>
      <c r="BA107" s="156">
        <f t="shared" si="181"/>
        <v>9.8303564268195984</v>
      </c>
      <c r="BB107" s="156">
        <f t="shared" si="181"/>
        <v>11.135067855999857</v>
      </c>
      <c r="BC107" s="156">
        <f t="shared" si="181"/>
        <v>12.01997332969483</v>
      </c>
      <c r="BD107" s="156">
        <f t="shared" si="181"/>
        <v>17.936303397824179</v>
      </c>
      <c r="BE107" s="156">
        <f t="shared" si="181"/>
        <v>16.864913649754996</v>
      </c>
      <c r="BF107" s="156">
        <f t="shared" si="181"/>
        <v>9.0426823275332975</v>
      </c>
      <c r="BG107" s="156">
        <f t="shared" si="181"/>
        <v>1.2806448197730829</v>
      </c>
      <c r="BH107" s="156">
        <f t="shared" si="181"/>
        <v>-8.0317739723350066</v>
      </c>
      <c r="BI107" s="156">
        <f t="shared" si="182"/>
        <v>-12.291558816150495</v>
      </c>
      <c r="BJ107" s="156">
        <f t="shared" si="182"/>
        <v>-7.1391749679374605</v>
      </c>
      <c r="BK107" s="156">
        <f t="shared" si="182"/>
        <v>-0.49072307718814973</v>
      </c>
      <c r="BL107" s="156">
        <f t="shared" si="182"/>
        <v>6.5556225933508054</v>
      </c>
      <c r="BM107" s="156">
        <f t="shared" si="183"/>
        <v>11.591944121114691</v>
      </c>
      <c r="BN107" s="156">
        <f t="shared" si="184"/>
        <v>8.3971729242607367</v>
      </c>
      <c r="BO107" s="156">
        <f t="shared" si="185"/>
        <v>3.134005250137252</v>
      </c>
      <c r="BP107" s="156">
        <f t="shared" si="186"/>
        <v>-1.8341683493420171</v>
      </c>
      <c r="BQ107" s="156">
        <f t="shared" si="187"/>
        <v>-4.9006226431704363</v>
      </c>
      <c r="BR107" s="156">
        <f t="shared" si="188"/>
        <v>-3.3563720012674492</v>
      </c>
      <c r="BS107" s="156">
        <f t="shared" si="189"/>
        <v>1.1556306709343638</v>
      </c>
      <c r="BT107" s="156">
        <f t="shared" si="190"/>
        <v>4.5059032913261889</v>
      </c>
      <c r="BU107" s="156">
        <f t="shared" si="191"/>
        <v>8.0980265134213809</v>
      </c>
      <c r="BV107" s="156">
        <f t="shared" si="192"/>
        <v>6.4045517155479734</v>
      </c>
      <c r="BW107" s="156">
        <f t="shared" si="193"/>
        <v>3.3449179085222069</v>
      </c>
      <c r="BX107" s="156">
        <f t="shared" si="194"/>
        <v>2.4721664344296741</v>
      </c>
      <c r="BY107" s="156">
        <f t="shared" si="195"/>
        <v>1.642466779146877</v>
      </c>
    </row>
    <row r="108" spans="1:77">
      <c r="A108" s="149" t="s">
        <v>2</v>
      </c>
      <c r="B108" s="253"/>
      <c r="C108" s="157"/>
      <c r="D108" s="157"/>
      <c r="E108" s="157"/>
      <c r="F108" s="157">
        <f t="shared" si="181"/>
        <v>38.746645020284532</v>
      </c>
      <c r="G108" s="157">
        <f t="shared" si="181"/>
        <v>38.736056867754527</v>
      </c>
      <c r="H108" s="157">
        <f t="shared" si="181"/>
        <v>39.231146501603249</v>
      </c>
      <c r="I108" s="157">
        <f t="shared" si="181"/>
        <v>40.467724261560257</v>
      </c>
      <c r="J108" s="157">
        <f t="shared" si="181"/>
        <v>-1.1155485411398409</v>
      </c>
      <c r="K108" s="157">
        <f t="shared" si="181"/>
        <v>1.4721595009168054</v>
      </c>
      <c r="L108" s="157">
        <f t="shared" si="181"/>
        <v>2.1087247814922558</v>
      </c>
      <c r="M108" s="157">
        <f t="shared" si="181"/>
        <v>1.9785929900486481</v>
      </c>
      <c r="N108" s="157">
        <f t="shared" si="181"/>
        <v>1.2279829139364347</v>
      </c>
      <c r="O108" s="157">
        <f t="shared" si="181"/>
        <v>-0.97432160099281384</v>
      </c>
      <c r="P108" s="157">
        <f t="shared" si="181"/>
        <v>-2.6077571243309294</v>
      </c>
      <c r="Q108" s="157">
        <f t="shared" si="181"/>
        <v>-2.9945696495937333</v>
      </c>
      <c r="R108" s="157">
        <f t="shared" si="181"/>
        <v>-28.116928397793995</v>
      </c>
      <c r="S108" s="157">
        <f t="shared" si="181"/>
        <v>-27.946477582547306</v>
      </c>
      <c r="T108" s="157">
        <f t="shared" si="181"/>
        <v>-27.267488103793681</v>
      </c>
      <c r="U108" s="157">
        <f t="shared" si="181"/>
        <v>-26.830802805786519</v>
      </c>
      <c r="V108" s="157">
        <f t="shared" si="181"/>
        <v>-2.4592031504493983</v>
      </c>
      <c r="W108" s="157">
        <f t="shared" si="181"/>
        <v>-2.0645391670750515</v>
      </c>
      <c r="X108" s="157">
        <f t="shared" si="181"/>
        <v>-2.9293005826502747</v>
      </c>
      <c r="Y108" s="157">
        <f t="shared" si="181"/>
        <v>-2.8660947242119379</v>
      </c>
      <c r="Z108" s="157">
        <f t="shared" si="181"/>
        <v>-5.483804065285895</v>
      </c>
      <c r="AA108" s="157">
        <f t="shared" si="181"/>
        <v>-4.7264574785914526</v>
      </c>
      <c r="AB108" s="157">
        <f t="shared" si="181"/>
        <v>-4.5648501295591091</v>
      </c>
      <c r="AC108" s="157">
        <f t="shared" si="181"/>
        <v>-5.6654927917507703</v>
      </c>
      <c r="AD108" s="157">
        <f t="shared" si="181"/>
        <v>-11.878180793963297</v>
      </c>
      <c r="AE108" s="157">
        <f t="shared" si="181"/>
        <v>-11.647302216369599</v>
      </c>
      <c r="AF108" s="157">
        <f t="shared" si="181"/>
        <v>-10.228370593247194</v>
      </c>
      <c r="AG108" s="157">
        <f t="shared" si="181"/>
        <v>-8.8803587081443833</v>
      </c>
      <c r="AH108" s="157">
        <f t="shared" si="181"/>
        <v>5.4727024483946147</v>
      </c>
      <c r="AI108" s="157">
        <f t="shared" si="181"/>
        <v>5.8603490520374066</v>
      </c>
      <c r="AJ108" s="157">
        <f t="shared" si="181"/>
        <v>6.2130025072068129</v>
      </c>
      <c r="AK108" s="157">
        <f t="shared" si="181"/>
        <v>5.9345440808215235</v>
      </c>
      <c r="AL108" s="157">
        <f t="shared" si="181"/>
        <v>3.8846129172053185</v>
      </c>
      <c r="AM108" s="157">
        <f t="shared" si="181"/>
        <v>1.4811078488541465</v>
      </c>
      <c r="AN108" s="157">
        <f t="shared" si="181"/>
        <v>2.8964928877804925</v>
      </c>
      <c r="AO108" s="157">
        <f t="shared" si="181"/>
        <v>-0.20275037377758526</v>
      </c>
      <c r="AP108" s="157">
        <f t="shared" si="181"/>
        <v>-5.4491444644937941</v>
      </c>
      <c r="AQ108" s="157">
        <f t="shared" si="181"/>
        <v>-5.0362359852459289</v>
      </c>
      <c r="AR108" s="157">
        <f t="shared" si="181"/>
        <v>-8.1950251975541146</v>
      </c>
      <c r="AS108" s="157">
        <f t="shared" si="181"/>
        <v>-6.3077691233232036</v>
      </c>
      <c r="AT108" s="157">
        <f t="shared" si="181"/>
        <v>-6.6537425801820955</v>
      </c>
      <c r="AU108" s="157">
        <f t="shared" si="181"/>
        <v>-4.3601626849417441</v>
      </c>
      <c r="AV108" s="157">
        <f t="shared" si="181"/>
        <v>-2.2446994530049893</v>
      </c>
      <c r="AW108" s="157">
        <f t="shared" si="181"/>
        <v>-3.2556039751120015E-2</v>
      </c>
      <c r="AX108" s="157">
        <f t="shared" si="181"/>
        <v>7.5059660966698081</v>
      </c>
      <c r="AY108" s="157">
        <f t="shared" si="181"/>
        <v>3.0609427657366926</v>
      </c>
      <c r="AZ108" s="157">
        <f t="shared" si="181"/>
        <v>1.4134810665454367</v>
      </c>
      <c r="BA108" s="157">
        <f t="shared" si="181"/>
        <v>-1.7790672469975317</v>
      </c>
      <c r="BB108" s="157">
        <f t="shared" si="181"/>
        <v>-9.2199585386663099</v>
      </c>
      <c r="BC108" s="157">
        <f t="shared" si="181"/>
        <v>-4.5631312291256805</v>
      </c>
      <c r="BD108" s="157">
        <f t="shared" si="181"/>
        <v>-6.8164017872275942</v>
      </c>
      <c r="BE108" s="157">
        <f t="shared" si="181"/>
        <v>-5.4576065612651306</v>
      </c>
      <c r="BF108" s="157">
        <f t="shared" si="181"/>
        <v>-7.72181753910158</v>
      </c>
      <c r="BG108" s="157">
        <f t="shared" si="181"/>
        <v>-7.1474536714891261</v>
      </c>
      <c r="BH108" s="157">
        <f t="shared" si="181"/>
        <v>-6.0398174263331255</v>
      </c>
      <c r="BI108" s="157">
        <f t="shared" si="182"/>
        <v>-4.649938873589913</v>
      </c>
      <c r="BJ108" s="157">
        <f t="shared" si="182"/>
        <v>11.553897474782936</v>
      </c>
      <c r="BK108" s="157">
        <f t="shared" si="182"/>
        <v>2.0297516645977995</v>
      </c>
      <c r="BL108" s="157">
        <f t="shared" si="182"/>
        <v>10.822162935607837</v>
      </c>
      <c r="BM108" s="157">
        <f t="shared" si="183"/>
        <v>13.352235366363315</v>
      </c>
      <c r="BN108" s="157">
        <f t="shared" si="184"/>
        <v>1.4212187804637135</v>
      </c>
      <c r="BO108" s="157">
        <f t="shared" si="185"/>
        <v>7.0885789642833412</v>
      </c>
      <c r="BP108" s="157">
        <f t="shared" si="186"/>
        <v>-4.7021645958481706</v>
      </c>
      <c r="BQ108" s="157">
        <f t="shared" si="187"/>
        <v>-8.4769824848581159</v>
      </c>
      <c r="BR108" s="157">
        <f t="shared" si="188"/>
        <v>-3.3778439123371298</v>
      </c>
      <c r="BS108" s="157">
        <f t="shared" si="189"/>
        <v>2.7070771768434976</v>
      </c>
      <c r="BT108" s="157">
        <f t="shared" si="190"/>
        <v>5.1742000187346324</v>
      </c>
      <c r="BU108" s="157">
        <f t="shared" si="191"/>
        <v>3.4871262813190862</v>
      </c>
      <c r="BV108" s="157">
        <f t="shared" si="192"/>
        <v>2.788573358160261</v>
      </c>
      <c r="BW108" s="157">
        <f t="shared" si="193"/>
        <v>-4.1978028865508916</v>
      </c>
      <c r="BX108" s="157">
        <f t="shared" si="194"/>
        <v>0.80782864972449364</v>
      </c>
      <c r="BY108" s="157">
        <f t="shared" si="195"/>
        <v>6.6755129545685286</v>
      </c>
    </row>
    <row r="109" spans="1:77">
      <c r="A109" s="145" t="s">
        <v>3</v>
      </c>
      <c r="B109" s="256"/>
      <c r="C109" s="155"/>
      <c r="D109" s="155"/>
      <c r="E109" s="155"/>
      <c r="F109" s="155">
        <f>(F29-B29)/B29*100</f>
        <v>2.1738484148827002</v>
      </c>
      <c r="G109" s="155">
        <f t="shared" si="181"/>
        <v>1.395423153673031</v>
      </c>
      <c r="H109" s="155">
        <f t="shared" si="181"/>
        <v>1.8336047966829496</v>
      </c>
      <c r="I109" s="155">
        <f t="shared" si="181"/>
        <v>3.6527069028592161</v>
      </c>
      <c r="J109" s="155">
        <f t="shared" si="181"/>
        <v>3.0350313716365966</v>
      </c>
      <c r="K109" s="155">
        <f t="shared" si="181"/>
        <v>4.4411857226742288</v>
      </c>
      <c r="L109" s="155">
        <f t="shared" si="181"/>
        <v>3.0295977283241808</v>
      </c>
      <c r="M109" s="155">
        <f t="shared" si="181"/>
        <v>1.5167140835633826</v>
      </c>
      <c r="N109" s="155">
        <f t="shared" si="181"/>
        <v>3.0959916211550729E-2</v>
      </c>
      <c r="O109" s="155">
        <f t="shared" si="181"/>
        <v>-1.969282869859863</v>
      </c>
      <c r="P109" s="155">
        <f t="shared" si="181"/>
        <v>-2.97034693962804</v>
      </c>
      <c r="Q109" s="155">
        <f t="shared" si="181"/>
        <v>-2.9729070679198464</v>
      </c>
      <c r="R109" s="155">
        <f t="shared" si="181"/>
        <v>-1.8346801822838859</v>
      </c>
      <c r="S109" s="155">
        <f t="shared" si="181"/>
        <v>-0.77475955380572825</v>
      </c>
      <c r="T109" s="155">
        <f t="shared" si="181"/>
        <v>1.904009397621893</v>
      </c>
      <c r="U109" s="155">
        <f t="shared" si="181"/>
        <v>4.2365693232287756</v>
      </c>
      <c r="V109" s="155">
        <f t="shared" si="181"/>
        <v>6.9857678151073719</v>
      </c>
      <c r="W109" s="155">
        <f t="shared" si="181"/>
        <v>7.9463863245825088</v>
      </c>
      <c r="X109" s="155">
        <f t="shared" si="181"/>
        <v>8.5881526092546032</v>
      </c>
      <c r="Y109" s="155">
        <f t="shared" si="181"/>
        <v>8.3827589171715449</v>
      </c>
      <c r="Z109" s="155">
        <f t="shared" si="181"/>
        <v>8.076182439849914</v>
      </c>
      <c r="AA109" s="155">
        <f t="shared" si="181"/>
        <v>6.3305663628095825</v>
      </c>
      <c r="AB109" s="155">
        <f t="shared" si="181"/>
        <v>3.3433695689244445</v>
      </c>
      <c r="AC109" s="155">
        <f t="shared" si="181"/>
        <v>2.3464465791965332</v>
      </c>
      <c r="AD109" s="155">
        <f t="shared" si="181"/>
        <v>-1.2987399182442703</v>
      </c>
      <c r="AE109" s="155">
        <f t="shared" si="181"/>
        <v>0.50641614558721915</v>
      </c>
      <c r="AF109" s="155">
        <f t="shared" si="181"/>
        <v>2.6285283612244905</v>
      </c>
      <c r="AG109" s="155">
        <f t="shared" si="181"/>
        <v>2.2884479272584697</v>
      </c>
      <c r="AH109" s="155">
        <f t="shared" si="181"/>
        <v>1.6756294599175239</v>
      </c>
      <c r="AI109" s="155">
        <f t="shared" si="181"/>
        <v>-1.0652940115137417</v>
      </c>
      <c r="AJ109" s="155">
        <f t="shared" si="181"/>
        <v>-2.9432855837444949</v>
      </c>
      <c r="AK109" s="155">
        <f t="shared" si="181"/>
        <v>-3.5359538838076974</v>
      </c>
      <c r="AL109" s="155">
        <f t="shared" si="181"/>
        <v>0.8031060722251695</v>
      </c>
      <c r="AM109" s="155">
        <f t="shared" si="181"/>
        <v>4.2385882272252973</v>
      </c>
      <c r="AN109" s="155">
        <f t="shared" si="181"/>
        <v>7.5917130739020493</v>
      </c>
      <c r="AO109" s="155">
        <f t="shared" si="181"/>
        <v>8.6019621111462108</v>
      </c>
      <c r="AP109" s="155">
        <f t="shared" si="181"/>
        <v>6.1576182543282139</v>
      </c>
      <c r="AQ109" s="155">
        <f t="shared" si="181"/>
        <v>7.319688412873206</v>
      </c>
      <c r="AR109" s="155">
        <f t="shared" si="181"/>
        <v>7.0409926391000992</v>
      </c>
      <c r="AS109" s="155">
        <f t="shared" si="181"/>
        <v>6.6545067538545224</v>
      </c>
      <c r="AT109" s="155">
        <f t="shared" si="181"/>
        <v>7.0658899869648382</v>
      </c>
      <c r="AU109" s="155">
        <f t="shared" si="181"/>
        <v>5.3117852876878988</v>
      </c>
      <c r="AV109" s="155">
        <f t="shared" si="181"/>
        <v>4.9385416272853249</v>
      </c>
      <c r="AW109" s="155">
        <f t="shared" si="181"/>
        <v>6.4766788496794581</v>
      </c>
      <c r="AX109" s="155">
        <f t="shared" si="181"/>
        <v>7.5449005483739953</v>
      </c>
      <c r="AY109" s="155">
        <f t="shared" si="181"/>
        <v>6.3914540484822799</v>
      </c>
      <c r="AZ109" s="155">
        <f t="shared" si="181"/>
        <v>4.6993000176530382</v>
      </c>
      <c r="BA109" s="155">
        <f t="shared" si="181"/>
        <v>5.1823992428298578</v>
      </c>
      <c r="BB109" s="155">
        <f t="shared" si="181"/>
        <v>2.7901621744015754</v>
      </c>
      <c r="BC109" s="155">
        <f t="shared" si="181"/>
        <v>5.5500767901059875</v>
      </c>
      <c r="BD109" s="155">
        <f t="shared" si="181"/>
        <v>4.3351875659479937</v>
      </c>
      <c r="BE109" s="155">
        <f t="shared" si="181"/>
        <v>-2.194906769028282</v>
      </c>
      <c r="BF109" s="155">
        <f t="shared" si="181"/>
        <v>-6.6868328677075084</v>
      </c>
      <c r="BG109" s="155">
        <f t="shared" si="181"/>
        <v>-11.666094351382062</v>
      </c>
      <c r="BH109" s="155">
        <f t="shared" si="181"/>
        <v>-9.0452287629086836</v>
      </c>
      <c r="BI109" s="155">
        <f t="shared" si="182"/>
        <v>-2.9811346290506355</v>
      </c>
      <c r="BJ109" s="155">
        <f t="shared" si="182"/>
        <v>4.0667609686452266</v>
      </c>
      <c r="BK109" s="155">
        <f t="shared" si="182"/>
        <v>7.7873002097817192</v>
      </c>
      <c r="BL109" s="155">
        <f t="shared" si="182"/>
        <v>5.0730953930932801</v>
      </c>
      <c r="BM109" s="155">
        <f t="shared" si="183"/>
        <v>3.8550945975184545</v>
      </c>
      <c r="BN109" s="155">
        <f t="shared" si="184"/>
        <v>4.5379844439537234</v>
      </c>
      <c r="BO109" s="155">
        <f t="shared" si="185"/>
        <v>2.0471197155501963</v>
      </c>
      <c r="BP109" s="155">
        <f t="shared" si="186"/>
        <v>2.4195247564782512</v>
      </c>
      <c r="BQ109" s="155">
        <f t="shared" si="187"/>
        <v>2.1951177473073566</v>
      </c>
      <c r="BR109" s="155">
        <f t="shared" si="188"/>
        <v>0.99872517582512632</v>
      </c>
      <c r="BS109" s="155">
        <f t="shared" si="189"/>
        <v>1.686047997335256</v>
      </c>
      <c r="BT109" s="155">
        <f t="shared" si="190"/>
        <v>2.1385619114896235</v>
      </c>
      <c r="BU109" s="155">
        <f t="shared" si="191"/>
        <v>2.2238129180645529</v>
      </c>
      <c r="BV109" s="155">
        <f t="shared" si="192"/>
        <v>-0.73145358000353622</v>
      </c>
      <c r="BW109" s="155">
        <f t="shared" si="193"/>
        <v>2.0030626393422173</v>
      </c>
      <c r="BX109" s="155">
        <f t="shared" si="194"/>
        <v>0.43249986672514068</v>
      </c>
      <c r="BY109" s="155">
        <f t="shared" si="195"/>
        <v>1.8538280703101599</v>
      </c>
    </row>
    <row r="110" spans="1:77">
      <c r="A110" s="146" t="s">
        <v>4</v>
      </c>
      <c r="B110" s="252"/>
      <c r="C110" s="156"/>
      <c r="D110" s="156"/>
      <c r="E110" s="156"/>
      <c r="F110" s="156">
        <f t="shared" ref="F110:U121" si="196">(F30-B30)/B30*100</f>
        <v>2.6338516659577529</v>
      </c>
      <c r="G110" s="156">
        <f t="shared" si="181"/>
        <v>1.1091427408161472</v>
      </c>
      <c r="H110" s="156">
        <f t="shared" si="181"/>
        <v>0.89480796285481157</v>
      </c>
      <c r="I110" s="156">
        <f t="shared" si="181"/>
        <v>2.3716946484584538</v>
      </c>
      <c r="J110" s="156">
        <f t="shared" si="181"/>
        <v>1.6911079731994767</v>
      </c>
      <c r="K110" s="156">
        <f t="shared" si="181"/>
        <v>3.831086999216434</v>
      </c>
      <c r="L110" s="156">
        <f t="shared" si="181"/>
        <v>3.0420426869268695</v>
      </c>
      <c r="M110" s="156">
        <f t="shared" si="181"/>
        <v>2.0476538334383623</v>
      </c>
      <c r="N110" s="156">
        <f t="shared" si="181"/>
        <v>1.6447863069678732</v>
      </c>
      <c r="O110" s="156">
        <f t="shared" si="181"/>
        <v>-0.29516366393212634</v>
      </c>
      <c r="P110" s="156">
        <f t="shared" si="181"/>
        <v>-1.4158352222429942</v>
      </c>
      <c r="Q110" s="156">
        <f t="shared" si="181"/>
        <v>-1.7025569862095407</v>
      </c>
      <c r="R110" s="156">
        <f t="shared" si="181"/>
        <v>-1.0986989435826171</v>
      </c>
      <c r="S110" s="156">
        <f t="shared" si="181"/>
        <v>-0.29787590155715127</v>
      </c>
      <c r="T110" s="156">
        <f t="shared" si="181"/>
        <v>2.611474256444247</v>
      </c>
      <c r="U110" s="156">
        <f t="shared" si="181"/>
        <v>5.2792865485500391</v>
      </c>
      <c r="V110" s="156">
        <f t="shared" si="181"/>
        <v>7.6122972424611826</v>
      </c>
      <c r="W110" s="156">
        <f t="shared" si="181"/>
        <v>8.5790516085085482</v>
      </c>
      <c r="X110" s="156">
        <f t="shared" si="181"/>
        <v>9.1018480875806489</v>
      </c>
      <c r="Y110" s="156">
        <f t="shared" si="181"/>
        <v>9.034893090359752</v>
      </c>
      <c r="Z110" s="156">
        <f t="shared" si="181"/>
        <v>6.2132618599846019</v>
      </c>
      <c r="AA110" s="156">
        <f t="shared" si="181"/>
        <v>4.5041908601688201</v>
      </c>
      <c r="AB110" s="156">
        <f t="shared" si="181"/>
        <v>1.2699279050233272</v>
      </c>
      <c r="AC110" s="156">
        <f t="shared" si="181"/>
        <v>0.12258718175018565</v>
      </c>
      <c r="AD110" s="156">
        <f t="shared" si="181"/>
        <v>0.40406167746144206</v>
      </c>
      <c r="AE110" s="156">
        <f t="shared" si="181"/>
        <v>2.1578483758843712</v>
      </c>
      <c r="AF110" s="156">
        <f t="shared" si="181"/>
        <v>4.4209218043085547</v>
      </c>
      <c r="AG110" s="156">
        <f t="shared" si="181"/>
        <v>3.5809371005003836</v>
      </c>
      <c r="AH110" s="156">
        <f t="shared" si="181"/>
        <v>2.5651221223253851</v>
      </c>
      <c r="AI110" s="156">
        <f t="shared" si="181"/>
        <v>-0.4685036448704939</v>
      </c>
      <c r="AJ110" s="156">
        <f t="shared" si="181"/>
        <v>-2.5431609098826646</v>
      </c>
      <c r="AK110" s="156">
        <f t="shared" si="181"/>
        <v>-3.1143782804171098</v>
      </c>
      <c r="AL110" s="156">
        <f t="shared" si="181"/>
        <v>-8.5527900668879456E-2</v>
      </c>
      <c r="AM110" s="156">
        <f t="shared" si="181"/>
        <v>3.6497810943110602</v>
      </c>
      <c r="AN110" s="156">
        <f t="shared" si="181"/>
        <v>7.1811901126198894</v>
      </c>
      <c r="AO110" s="156">
        <f t="shared" si="181"/>
        <v>8.1947038816392528</v>
      </c>
      <c r="AP110" s="156">
        <f t="shared" si="181"/>
        <v>5.2200683799029495</v>
      </c>
      <c r="AQ110" s="156">
        <f t="shared" ref="AQ110:BH121" si="197">(AQ30-AM30)/AM30*100</f>
        <v>6.7053932694238885</v>
      </c>
      <c r="AR110" s="156">
        <f t="shared" si="197"/>
        <v>6.6043631861580483</v>
      </c>
      <c r="AS110" s="156">
        <f t="shared" si="197"/>
        <v>6.1144401217903095</v>
      </c>
      <c r="AT110" s="156">
        <f t="shared" si="197"/>
        <v>7.2291634867373817</v>
      </c>
      <c r="AU110" s="156">
        <f t="shared" si="197"/>
        <v>5.2015537730580776</v>
      </c>
      <c r="AV110" s="156">
        <f t="shared" si="197"/>
        <v>4.8564744067197889</v>
      </c>
      <c r="AW110" s="156">
        <f t="shared" si="197"/>
        <v>6.9092594421014342</v>
      </c>
      <c r="AX110" s="156">
        <f t="shared" si="197"/>
        <v>7.4538587917413368</v>
      </c>
      <c r="AY110" s="156">
        <f t="shared" si="197"/>
        <v>5.8879422021523169</v>
      </c>
      <c r="AZ110" s="156">
        <f t="shared" si="197"/>
        <v>3.8258114296108516</v>
      </c>
      <c r="BA110" s="156">
        <f t="shared" si="197"/>
        <v>4.1447692790476065</v>
      </c>
      <c r="BB110" s="156">
        <f t="shared" si="197"/>
        <v>2.4611396372450409</v>
      </c>
      <c r="BC110" s="156">
        <f t="shared" si="197"/>
        <v>6.1666524556639901</v>
      </c>
      <c r="BD110" s="156">
        <f t="shared" si="197"/>
        <v>4.3963555672457755</v>
      </c>
      <c r="BE110" s="156">
        <f t="shared" si="197"/>
        <v>-2.672757833043411</v>
      </c>
      <c r="BF110" s="156">
        <f t="shared" si="197"/>
        <v>-8.8359594404168273</v>
      </c>
      <c r="BG110" s="156">
        <f t="shared" si="197"/>
        <v>-14.742565697313722</v>
      </c>
      <c r="BH110" s="156">
        <f t="shared" si="197"/>
        <v>-11.390385062568999</v>
      </c>
      <c r="BI110" s="156">
        <f t="shared" si="182"/>
        <v>-4.4817745792894286</v>
      </c>
      <c r="BJ110" s="156">
        <f t="shared" si="182"/>
        <v>4.3137487096479923</v>
      </c>
      <c r="BK110" s="156">
        <f t="shared" si="182"/>
        <v>9.2047386103527966</v>
      </c>
      <c r="BL110" s="156">
        <f t="shared" si="182"/>
        <v>6.2468255712305609</v>
      </c>
      <c r="BM110" s="156">
        <f t="shared" si="183"/>
        <v>4.6839098354319404</v>
      </c>
      <c r="BN110" s="156">
        <f t="shared" si="184"/>
        <v>5.5180824759591847</v>
      </c>
      <c r="BO110" s="156">
        <f t="shared" si="185"/>
        <v>2.296067419798923</v>
      </c>
      <c r="BP110" s="156">
        <f t="shared" si="186"/>
        <v>2.7438876154822589</v>
      </c>
      <c r="BQ110" s="156">
        <f t="shared" si="187"/>
        <v>2.5912894688837302</v>
      </c>
      <c r="BR110" s="156">
        <f t="shared" si="188"/>
        <v>1.1825262072449099</v>
      </c>
      <c r="BS110" s="156">
        <f t="shared" si="189"/>
        <v>2.1689072877500326</v>
      </c>
      <c r="BT110" s="156">
        <f t="shared" si="190"/>
        <v>2.5554812730880601</v>
      </c>
      <c r="BU110" s="156">
        <f t="shared" si="191"/>
        <v>2.5985256368424317</v>
      </c>
      <c r="BV110" s="156">
        <f t="shared" si="192"/>
        <v>-1.0320814846005886</v>
      </c>
      <c r="BW110" s="156">
        <f t="shared" si="193"/>
        <v>2.0183112861009422</v>
      </c>
      <c r="BX110" s="156">
        <f t="shared" si="194"/>
        <v>6.5703522692260916E-2</v>
      </c>
      <c r="BY110" s="156">
        <f t="shared" si="195"/>
        <v>1.9241157028022273</v>
      </c>
    </row>
    <row r="111" spans="1:77">
      <c r="A111" s="146" t="s">
        <v>5</v>
      </c>
      <c r="B111" s="252"/>
      <c r="C111" s="156"/>
      <c r="D111" s="156"/>
      <c r="E111" s="156"/>
      <c r="F111" s="156">
        <f t="shared" si="196"/>
        <v>2.5721150832951438</v>
      </c>
      <c r="G111" s="156">
        <f t="shared" si="196"/>
        <v>6.8311995803866834</v>
      </c>
      <c r="H111" s="156">
        <f t="shared" si="196"/>
        <v>13.964142654239703</v>
      </c>
      <c r="I111" s="156">
        <f t="shared" si="196"/>
        <v>21.133198569721223</v>
      </c>
      <c r="J111" s="156">
        <f t="shared" si="196"/>
        <v>12.953736651598152</v>
      </c>
      <c r="K111" s="156">
        <f t="shared" si="196"/>
        <v>8.6922054414295946</v>
      </c>
      <c r="L111" s="156">
        <f t="shared" si="196"/>
        <v>0.44178766780612999</v>
      </c>
      <c r="M111" s="156">
        <f t="shared" si="196"/>
        <v>-6.6198956436506347</v>
      </c>
      <c r="N111" s="156">
        <f t="shared" si="196"/>
        <v>-5.8006401571799246</v>
      </c>
      <c r="O111" s="156">
        <f t="shared" si="196"/>
        <v>-7.3076388528749163</v>
      </c>
      <c r="P111" s="156">
        <f t="shared" si="196"/>
        <v>-6.7753460123941123</v>
      </c>
      <c r="Q111" s="156">
        <f t="shared" si="196"/>
        <v>-4.504051017802067</v>
      </c>
      <c r="R111" s="156">
        <f t="shared" si="196"/>
        <v>-3.0619469059432953</v>
      </c>
      <c r="S111" s="156">
        <f t="shared" si="196"/>
        <v>-0.75201480876123372</v>
      </c>
      <c r="T111" s="156">
        <f t="shared" si="196"/>
        <v>1.2127688813559652</v>
      </c>
      <c r="U111" s="156">
        <f t="shared" si="196"/>
        <v>2.9396586064421757</v>
      </c>
      <c r="V111" s="156">
        <f t="shared" ref="V111:AP121" si="198">(V31-R31)/R31*100</f>
        <v>7.0046780862299274</v>
      </c>
      <c r="W111" s="156">
        <f t="shared" si="198"/>
        <v>6.7053085873517677</v>
      </c>
      <c r="X111" s="156">
        <f t="shared" si="198"/>
        <v>6.5937743195949432</v>
      </c>
      <c r="Y111" s="156">
        <f t="shared" si="198"/>
        <v>3.2306263313683838</v>
      </c>
      <c r="Z111" s="156">
        <f t="shared" si="198"/>
        <v>1.486240450566122</v>
      </c>
      <c r="AA111" s="156">
        <f t="shared" si="198"/>
        <v>-0.65745784897426884</v>
      </c>
      <c r="AB111" s="156">
        <f t="shared" si="198"/>
        <v>-1.2153482924207295</v>
      </c>
      <c r="AC111" s="156">
        <f t="shared" si="198"/>
        <v>-0.22012567540689409</v>
      </c>
      <c r="AD111" s="156">
        <f t="shared" si="198"/>
        <v>5.3261602921868567</v>
      </c>
      <c r="AE111" s="156">
        <f t="shared" si="198"/>
        <v>9.3078431490081464</v>
      </c>
      <c r="AF111" s="156">
        <f t="shared" si="198"/>
        <v>10.870268024566849</v>
      </c>
      <c r="AG111" s="156">
        <f t="shared" si="198"/>
        <v>13.40340631444557</v>
      </c>
      <c r="AH111" s="156">
        <f t="shared" si="198"/>
        <v>-9.4919071702715652</v>
      </c>
      <c r="AI111" s="156">
        <f t="shared" si="198"/>
        <v>-11.522698851614949</v>
      </c>
      <c r="AJ111" s="156">
        <f t="shared" si="198"/>
        <v>-12.224310528667825</v>
      </c>
      <c r="AK111" s="156">
        <f t="shared" si="198"/>
        <v>-12.710518150532286</v>
      </c>
      <c r="AL111" s="156">
        <f t="shared" si="198"/>
        <v>4.0388517281189094</v>
      </c>
      <c r="AM111" s="156">
        <f t="shared" si="198"/>
        <v>6.0237265881246884</v>
      </c>
      <c r="AN111" s="156">
        <f t="shared" si="198"/>
        <v>9.1346031828523682</v>
      </c>
      <c r="AO111" s="156">
        <f t="shared" si="198"/>
        <v>10.024899543717769</v>
      </c>
      <c r="AP111" s="156">
        <f t="shared" si="198"/>
        <v>8.6756446781241756</v>
      </c>
      <c r="AQ111" s="156">
        <f t="shared" si="197"/>
        <v>7.6060505900990405</v>
      </c>
      <c r="AR111" s="156">
        <f t="shared" si="197"/>
        <v>4.884886544573229</v>
      </c>
      <c r="AS111" s="156">
        <f t="shared" si="197"/>
        <v>5.0524952206318323</v>
      </c>
      <c r="AT111" s="156">
        <f t="shared" si="197"/>
        <v>4.494615379211635</v>
      </c>
      <c r="AU111" s="156">
        <f t="shared" si="197"/>
        <v>3.8181577638103805</v>
      </c>
      <c r="AV111" s="156">
        <f t="shared" si="197"/>
        <v>3.2133949951525436</v>
      </c>
      <c r="AW111" s="156">
        <f t="shared" si="197"/>
        <v>1.738284044381021</v>
      </c>
      <c r="AX111" s="156">
        <f t="shared" si="197"/>
        <v>2.6131788846814255</v>
      </c>
      <c r="AY111" s="156">
        <f t="shared" si="197"/>
        <v>3.2216713905201457</v>
      </c>
      <c r="AZ111" s="156">
        <f t="shared" si="197"/>
        <v>4.0410580923743593</v>
      </c>
      <c r="BA111" s="156">
        <f t="shared" si="197"/>
        <v>3.4532426850256273</v>
      </c>
      <c r="BB111" s="156">
        <f t="shared" si="197"/>
        <v>-3.2415819993324964</v>
      </c>
      <c r="BC111" s="156">
        <f t="shared" si="197"/>
        <v>-4.5356756164663379</v>
      </c>
      <c r="BD111" s="156">
        <f t="shared" si="197"/>
        <v>-2.393617759194798</v>
      </c>
      <c r="BE111" s="156">
        <f t="shared" si="197"/>
        <v>-5.913980326122072</v>
      </c>
      <c r="BF111" s="156">
        <f t="shared" si="197"/>
        <v>-4.4356956203711464</v>
      </c>
      <c r="BG111" s="156">
        <f t="shared" si="197"/>
        <v>-3.4827492799918272</v>
      </c>
      <c r="BH111" s="156">
        <f t="shared" si="197"/>
        <v>-5.7145758075265309</v>
      </c>
      <c r="BI111" s="156">
        <f t="shared" si="182"/>
        <v>-1.968299331047747</v>
      </c>
      <c r="BJ111" s="156">
        <f t="shared" si="182"/>
        <v>1.9507391259026692</v>
      </c>
      <c r="BK111" s="156">
        <f t="shared" si="182"/>
        <v>1.3032099889064457</v>
      </c>
      <c r="BL111" s="156">
        <f t="shared" si="182"/>
        <v>0.19409006741767412</v>
      </c>
      <c r="BM111" s="156">
        <f t="shared" si="183"/>
        <v>1.3276470385273216</v>
      </c>
      <c r="BN111" s="156">
        <f t="shared" si="184"/>
        <v>1.3653789228005</v>
      </c>
      <c r="BO111" s="156">
        <f t="shared" si="185"/>
        <v>1.7183040220170056</v>
      </c>
      <c r="BP111" s="156">
        <f t="shared" si="186"/>
        <v>1.479535612722628</v>
      </c>
      <c r="BQ111" s="156">
        <f t="shared" si="187"/>
        <v>0.22953317441488413</v>
      </c>
      <c r="BR111" s="156">
        <f t="shared" si="188"/>
        <v>-2.2638636761820394</v>
      </c>
      <c r="BS111" s="156">
        <f t="shared" si="189"/>
        <v>-3.7717231181724737</v>
      </c>
      <c r="BT111" s="156">
        <f t="shared" si="190"/>
        <v>-3.1775654728579781</v>
      </c>
      <c r="BU111" s="156">
        <f t="shared" si="191"/>
        <v>-3.998569299793568</v>
      </c>
      <c r="BV111" s="156">
        <f t="shared" si="192"/>
        <v>-2.7912946981435902</v>
      </c>
      <c r="BW111" s="156">
        <f t="shared" si="193"/>
        <v>-0.26807377828599627</v>
      </c>
      <c r="BX111" s="156">
        <f t="shared" si="194"/>
        <v>0.53538536457535235</v>
      </c>
      <c r="BY111" s="156">
        <f t="shared" si="195"/>
        <v>-0.24946353935605281</v>
      </c>
    </row>
    <row r="112" spans="1:77">
      <c r="A112" s="149" t="s">
        <v>6</v>
      </c>
      <c r="B112" s="253"/>
      <c r="C112" s="157"/>
      <c r="D112" s="157"/>
      <c r="E112" s="157"/>
      <c r="F112" s="157">
        <f t="shared" si="196"/>
        <v>-2.3155435350606122</v>
      </c>
      <c r="G112" s="157">
        <f t="shared" si="196"/>
        <v>-1.3968746275614372</v>
      </c>
      <c r="H112" s="157">
        <f t="shared" si="196"/>
        <v>-1.5289420483019143</v>
      </c>
      <c r="I112" s="157">
        <f t="shared" si="196"/>
        <v>-1.683148344763723</v>
      </c>
      <c r="J112" s="157">
        <f t="shared" si="196"/>
        <v>5.3096898400560857</v>
      </c>
      <c r="K112" s="157">
        <f t="shared" si="196"/>
        <v>5.5254693825987102</v>
      </c>
      <c r="L112" s="157">
        <f t="shared" si="196"/>
        <v>5.8345994355076938</v>
      </c>
      <c r="M112" s="157">
        <f t="shared" si="196"/>
        <v>6.1975595359396216</v>
      </c>
      <c r="N112" s="157">
        <f t="shared" si="196"/>
        <v>-8.0534089949159711</v>
      </c>
      <c r="O112" s="157">
        <f t="shared" si="196"/>
        <v>-11.2974863141825</v>
      </c>
      <c r="P112" s="157">
        <f t="shared" si="196"/>
        <v>-12.877312515250303</v>
      </c>
      <c r="Q112" s="157">
        <f t="shared" si="196"/>
        <v>-12.714058867763034</v>
      </c>
      <c r="R112" s="157">
        <f t="shared" si="196"/>
        <v>-7.7840830786265931</v>
      </c>
      <c r="S112" s="157">
        <f t="shared" si="196"/>
        <v>-5.6725013211117972</v>
      </c>
      <c r="T112" s="157">
        <f t="shared" si="196"/>
        <v>-4.5041017090231801</v>
      </c>
      <c r="U112" s="157">
        <f t="shared" si="196"/>
        <v>-4.7640539621083722</v>
      </c>
      <c r="V112" s="157">
        <f t="shared" si="198"/>
        <v>0.25302665208700525</v>
      </c>
      <c r="W112" s="157">
        <f t="shared" si="198"/>
        <v>2.619871739789283</v>
      </c>
      <c r="X112" s="157">
        <f t="shared" si="198"/>
        <v>5.3925841678284367</v>
      </c>
      <c r="Y112" s="157">
        <f t="shared" si="198"/>
        <v>7.4682392857617002</v>
      </c>
      <c r="Z112" s="157">
        <f t="shared" si="198"/>
        <v>37.927434954266893</v>
      </c>
      <c r="AA112" s="157">
        <f t="shared" si="198"/>
        <v>36.005097735200124</v>
      </c>
      <c r="AB112" s="157">
        <f t="shared" si="198"/>
        <v>32.415557556034393</v>
      </c>
      <c r="AC112" s="157">
        <f t="shared" si="198"/>
        <v>30.428399786944315</v>
      </c>
      <c r="AD112" s="157">
        <f t="shared" si="198"/>
        <v>-22.61253203033467</v>
      </c>
      <c r="AE112" s="157">
        <f t="shared" si="198"/>
        <v>-22.094770382863032</v>
      </c>
      <c r="AF112" s="157">
        <f t="shared" si="198"/>
        <v>-20.442054119152893</v>
      </c>
      <c r="AG112" s="157">
        <f t="shared" si="198"/>
        <v>-18.919893051775365</v>
      </c>
      <c r="AH112" s="157">
        <f t="shared" si="198"/>
        <v>5.773851823378533</v>
      </c>
      <c r="AI112" s="157">
        <f t="shared" si="198"/>
        <v>5.5755506240143342</v>
      </c>
      <c r="AJ112" s="157">
        <f t="shared" si="198"/>
        <v>4.3615897020367704</v>
      </c>
      <c r="AK112" s="157">
        <f t="shared" si="198"/>
        <v>3.3862038095547118</v>
      </c>
      <c r="AL112" s="157">
        <f t="shared" si="198"/>
        <v>7.1510679074424059</v>
      </c>
      <c r="AM112" s="157">
        <f t="shared" si="198"/>
        <v>8.6955826126607771</v>
      </c>
      <c r="AN112" s="157">
        <f t="shared" si="198"/>
        <v>10.290972917649665</v>
      </c>
      <c r="AO112" s="157">
        <f t="shared" si="198"/>
        <v>11.302253415590457</v>
      </c>
      <c r="AP112" s="157">
        <f t="shared" si="198"/>
        <v>13.21259429564399</v>
      </c>
      <c r="AQ112" s="157">
        <f t="shared" si="197"/>
        <v>13.374202192886278</v>
      </c>
      <c r="AR112" s="157">
        <f t="shared" si="197"/>
        <v>13.835228841097011</v>
      </c>
      <c r="AS112" s="157">
        <f t="shared" si="197"/>
        <v>13.777727546674903</v>
      </c>
      <c r="AT112" s="157">
        <f t="shared" si="197"/>
        <v>8.1185452079853722</v>
      </c>
      <c r="AU112" s="157">
        <f t="shared" si="197"/>
        <v>7.8825825398803397</v>
      </c>
      <c r="AV112" s="157">
        <f t="shared" si="197"/>
        <v>7.4203987936238862</v>
      </c>
      <c r="AW112" s="157">
        <f t="shared" si="197"/>
        <v>7.0249158031530161</v>
      </c>
      <c r="AX112" s="157">
        <f t="shared" si="197"/>
        <v>13.289021718124291</v>
      </c>
      <c r="AY112" s="157">
        <f t="shared" si="197"/>
        <v>14.231231329817357</v>
      </c>
      <c r="AZ112" s="157">
        <f t="shared" si="197"/>
        <v>13.553004221468621</v>
      </c>
      <c r="BA112" s="157">
        <f t="shared" si="197"/>
        <v>16.510695820577343</v>
      </c>
      <c r="BB112" s="157">
        <f t="shared" si="197"/>
        <v>11.175390724027825</v>
      </c>
      <c r="BC112" s="157">
        <f t="shared" si="197"/>
        <v>8.9129976323023641</v>
      </c>
      <c r="BD112" s="157">
        <f t="shared" si="197"/>
        <v>9.6085391173708423</v>
      </c>
      <c r="BE112" s="157">
        <f t="shared" si="197"/>
        <v>4.8634801832806591</v>
      </c>
      <c r="BF112" s="157">
        <f t="shared" si="197"/>
        <v>9.5433729927110598</v>
      </c>
      <c r="BG112" s="157">
        <f t="shared" si="197"/>
        <v>8.4837372299668488</v>
      </c>
      <c r="BH112" s="157">
        <f t="shared" si="197"/>
        <v>7.6507491698460983</v>
      </c>
      <c r="BI112" s="157">
        <f t="shared" si="182"/>
        <v>7.9464637056809648</v>
      </c>
      <c r="BJ112" s="157">
        <f t="shared" si="182"/>
        <v>3.7845404081827501</v>
      </c>
      <c r="BK112" s="157">
        <f t="shared" si="182"/>
        <v>2.6348223290221222</v>
      </c>
      <c r="BL112" s="157">
        <f t="shared" si="182"/>
        <v>0.42202326474935326</v>
      </c>
      <c r="BM112" s="157">
        <f t="shared" si="183"/>
        <v>-0.15930979773688012</v>
      </c>
      <c r="BN112" s="157">
        <f t="shared" si="184"/>
        <v>-0.20449449414896301</v>
      </c>
      <c r="BO112" s="157">
        <f t="shared" si="185"/>
        <v>0.48121284246303686</v>
      </c>
      <c r="BP112" s="157">
        <f t="shared" si="186"/>
        <v>0.73107676349962647</v>
      </c>
      <c r="BQ112" s="157">
        <f t="shared" si="187"/>
        <v>0.67024600751817831</v>
      </c>
      <c r="BR112" s="157">
        <f t="shared" si="188"/>
        <v>1.8503722738608464</v>
      </c>
      <c r="BS112" s="157">
        <f t="shared" si="189"/>
        <v>1.8651384591729534</v>
      </c>
      <c r="BT112" s="157">
        <f t="shared" si="190"/>
        <v>2.6909403700499555</v>
      </c>
      <c r="BU112" s="157">
        <f t="shared" si="191"/>
        <v>3.6737047194784269</v>
      </c>
      <c r="BV112" s="157">
        <f t="shared" si="192"/>
        <v>2.8189087759171514</v>
      </c>
      <c r="BW112" s="157">
        <f t="shared" si="193"/>
        <v>3.348477001892221</v>
      </c>
      <c r="BX112" s="157">
        <f t="shared" si="194"/>
        <v>3.0382059525281169</v>
      </c>
      <c r="BY112" s="157">
        <f t="shared" si="195"/>
        <v>2.6587005875484166</v>
      </c>
    </row>
    <row r="113" spans="1:77">
      <c r="A113" s="145" t="s">
        <v>7</v>
      </c>
      <c r="B113" s="256"/>
      <c r="C113" s="155"/>
      <c r="D113" s="155"/>
      <c r="E113" s="155"/>
      <c r="F113" s="155">
        <f>(F33-B33)/B33*100</f>
        <v>4.3505650452309652</v>
      </c>
      <c r="G113" s="155">
        <f t="shared" si="196"/>
        <v>4.1108148235360602</v>
      </c>
      <c r="H113" s="155">
        <f t="shared" si="196"/>
        <v>4.0770024132199847</v>
      </c>
      <c r="I113" s="155">
        <f t="shared" si="196"/>
        <v>4.2603695367931422</v>
      </c>
      <c r="J113" s="155">
        <f t="shared" si="196"/>
        <v>2.6473443297695751</v>
      </c>
      <c r="K113" s="155">
        <f t="shared" si="196"/>
        <v>2.0100647201592632</v>
      </c>
      <c r="L113" s="155">
        <f t="shared" si="196"/>
        <v>1.202683358914729</v>
      </c>
      <c r="M113" s="155">
        <f t="shared" si="196"/>
        <v>0.24214084722301224</v>
      </c>
      <c r="N113" s="155">
        <f t="shared" si="196"/>
        <v>2.3761589457775489</v>
      </c>
      <c r="O113" s="155">
        <f t="shared" si="196"/>
        <v>2.8643752127380262</v>
      </c>
      <c r="P113" s="155">
        <f t="shared" si="196"/>
        <v>2.7958840513239842</v>
      </c>
      <c r="Q113" s="155">
        <f t="shared" si="196"/>
        <v>2.9481481261968372</v>
      </c>
      <c r="R113" s="155">
        <f t="shared" si="196"/>
        <v>2.2425021211825324</v>
      </c>
      <c r="S113" s="155">
        <f t="shared" si="196"/>
        <v>2.621113238579428</v>
      </c>
      <c r="T113" s="155">
        <f t="shared" si="196"/>
        <v>3.5936042599622393</v>
      </c>
      <c r="U113" s="155">
        <f t="shared" si="196"/>
        <v>4.3476724601594876</v>
      </c>
      <c r="V113" s="155">
        <f t="shared" si="198"/>
        <v>4.0471845137166103</v>
      </c>
      <c r="W113" s="155">
        <f t="shared" si="198"/>
        <v>3.8541606188982986</v>
      </c>
      <c r="X113" s="155">
        <f t="shared" si="198"/>
        <v>3.5674121578452058</v>
      </c>
      <c r="Y113" s="155">
        <f t="shared" si="198"/>
        <v>3.3256141729747397</v>
      </c>
      <c r="Z113" s="155">
        <f t="shared" si="198"/>
        <v>4.6718560332789938</v>
      </c>
      <c r="AA113" s="155">
        <f t="shared" si="198"/>
        <v>4.4281575460357177</v>
      </c>
      <c r="AB113" s="155">
        <f t="shared" si="198"/>
        <v>4.2647065533322195</v>
      </c>
      <c r="AC113" s="155">
        <f t="shared" si="198"/>
        <v>4.5518720654997828</v>
      </c>
      <c r="AD113" s="155">
        <f t="shared" si="198"/>
        <v>3.8640280966541236</v>
      </c>
      <c r="AE113" s="155">
        <f t="shared" si="198"/>
        <v>4.247613249517487</v>
      </c>
      <c r="AF113" s="155">
        <f t="shared" si="198"/>
        <v>4.0036459762252274</v>
      </c>
      <c r="AG113" s="155">
        <f t="shared" si="198"/>
        <v>3.9019996549336091</v>
      </c>
      <c r="AH113" s="155">
        <f t="shared" si="198"/>
        <v>4.625933784966838</v>
      </c>
      <c r="AI113" s="155">
        <f t="shared" si="198"/>
        <v>4.4273850798051662</v>
      </c>
      <c r="AJ113" s="155">
        <f t="shared" si="198"/>
        <v>4.8855328039252193</v>
      </c>
      <c r="AK113" s="155">
        <f t="shared" si="198"/>
        <v>4.7984313239228529</v>
      </c>
      <c r="AL113" s="155">
        <f t="shared" si="198"/>
        <v>4.0177757571254471</v>
      </c>
      <c r="AM113" s="155">
        <f t="shared" si="198"/>
        <v>4.3107362764672263</v>
      </c>
      <c r="AN113" s="155">
        <f t="shared" si="198"/>
        <v>4.4939478920428755</v>
      </c>
      <c r="AO113" s="155">
        <f t="shared" si="198"/>
        <v>5.1737978505803746</v>
      </c>
      <c r="AP113" s="155">
        <f t="shared" si="198"/>
        <v>6.6045884374536001</v>
      </c>
      <c r="AQ113" s="155">
        <f t="shared" si="197"/>
        <v>6.9039530230342576</v>
      </c>
      <c r="AR113" s="155">
        <f t="shared" si="197"/>
        <v>7.0723153480248797</v>
      </c>
      <c r="AS113" s="155">
        <f t="shared" si="197"/>
        <v>6.5157362509500665</v>
      </c>
      <c r="AT113" s="155">
        <f t="shared" si="197"/>
        <v>5.6341206930254302</v>
      </c>
      <c r="AU113" s="155">
        <f t="shared" si="197"/>
        <v>5.6523341669370915</v>
      </c>
      <c r="AV113" s="155">
        <f t="shared" si="197"/>
        <v>5.7507264043826893</v>
      </c>
      <c r="AW113" s="155">
        <f t="shared" si="197"/>
        <v>5.9735403504466573</v>
      </c>
      <c r="AX113" s="155">
        <f t="shared" si="197"/>
        <v>6.2903411906717608</v>
      </c>
      <c r="AY113" s="155">
        <f t="shared" si="197"/>
        <v>5.9733592713472259</v>
      </c>
      <c r="AZ113" s="155">
        <f t="shared" si="197"/>
        <v>6.2112552671177665</v>
      </c>
      <c r="BA113" s="155">
        <f t="shared" si="197"/>
        <v>6.4483990610430713</v>
      </c>
      <c r="BB113" s="155">
        <f t="shared" si="197"/>
        <v>5.96925998910418</v>
      </c>
      <c r="BC113" s="155">
        <f t="shared" si="197"/>
        <v>4.9139217223651919</v>
      </c>
      <c r="BD113" s="155">
        <f t="shared" si="197"/>
        <v>3.9922514660995652</v>
      </c>
      <c r="BE113" s="155">
        <f t="shared" si="197"/>
        <v>3.2477633818822951</v>
      </c>
      <c r="BF113" s="155">
        <f t="shared" si="197"/>
        <v>2.2986695165285078</v>
      </c>
      <c r="BG113" s="155">
        <f t="shared" si="197"/>
        <v>1.7770664303201635</v>
      </c>
      <c r="BH113" s="155">
        <f t="shared" si="197"/>
        <v>1.2123405181073721</v>
      </c>
      <c r="BI113" s="155">
        <f t="shared" si="182"/>
        <v>0.8906295019785182</v>
      </c>
      <c r="BJ113" s="155">
        <f t="shared" si="182"/>
        <v>1.4892702702821807</v>
      </c>
      <c r="BK113" s="155">
        <f t="shared" si="182"/>
        <v>2.8516409254864414</v>
      </c>
      <c r="BL113" s="155">
        <f t="shared" si="182"/>
        <v>3.3831726435695724</v>
      </c>
      <c r="BM113" s="155">
        <f t="shared" si="183"/>
        <v>3.905268003048032</v>
      </c>
      <c r="BN113" s="155">
        <f t="shared" si="184"/>
        <v>3.9679102894313161</v>
      </c>
      <c r="BO113" s="155">
        <f t="shared" si="185"/>
        <v>3.9661958959911634</v>
      </c>
      <c r="BP113" s="155">
        <f t="shared" si="186"/>
        <v>4.2722045900473464</v>
      </c>
      <c r="BQ113" s="155">
        <f t="shared" si="187"/>
        <v>4.4159771401859347</v>
      </c>
      <c r="BR113" s="155">
        <f t="shared" si="188"/>
        <v>3.8457037275034689</v>
      </c>
      <c r="BS113" s="155">
        <f t="shared" si="189"/>
        <v>3.298337497948181</v>
      </c>
      <c r="BT113" s="155">
        <f t="shared" si="190"/>
        <v>2.7433151161105536</v>
      </c>
      <c r="BU113" s="155">
        <f t="shared" si="191"/>
        <v>2.3424349410933236</v>
      </c>
      <c r="BV113" s="155">
        <f t="shared" si="192"/>
        <v>2.3141107519269735</v>
      </c>
      <c r="BW113" s="155">
        <f t="shared" si="193"/>
        <v>2.324413004191086</v>
      </c>
      <c r="BX113" s="155">
        <f t="shared" si="194"/>
        <v>2.1806252895866032</v>
      </c>
      <c r="BY113" s="155">
        <f t="shared" si="195"/>
        <v>1.9339186846750185</v>
      </c>
    </row>
    <row r="114" spans="1:77">
      <c r="A114" s="152" t="s">
        <v>8</v>
      </c>
      <c r="B114" s="252"/>
      <c r="C114" s="156"/>
      <c r="D114" s="156"/>
      <c r="E114" s="156"/>
      <c r="F114" s="156">
        <f t="shared" si="196"/>
        <v>4.0136291623092708</v>
      </c>
      <c r="G114" s="156">
        <f t="shared" si="196"/>
        <v>2.685497862181867</v>
      </c>
      <c r="H114" s="156">
        <f t="shared" si="196"/>
        <v>1.4196205024547073</v>
      </c>
      <c r="I114" s="156">
        <f t="shared" si="196"/>
        <v>0.96694213184586664</v>
      </c>
      <c r="J114" s="156">
        <f t="shared" si="196"/>
        <v>3.0153909422570084</v>
      </c>
      <c r="K114" s="156">
        <f t="shared" si="196"/>
        <v>1.7069189559284974</v>
      </c>
      <c r="L114" s="156">
        <f t="shared" si="196"/>
        <v>0.26192355797885158</v>
      </c>
      <c r="M114" s="156">
        <f t="shared" si="196"/>
        <v>-2.6871429029622513</v>
      </c>
      <c r="N114" s="156">
        <f t="shared" si="196"/>
        <v>-1.2127399806832351</v>
      </c>
      <c r="O114" s="156">
        <f t="shared" si="196"/>
        <v>0.28663841990180755</v>
      </c>
      <c r="P114" s="156">
        <f t="shared" si="196"/>
        <v>1.2730978815884761</v>
      </c>
      <c r="Q114" s="156">
        <f t="shared" si="196"/>
        <v>3.2515896356970253</v>
      </c>
      <c r="R114" s="156">
        <f t="shared" si="196"/>
        <v>4.2131160203339251</v>
      </c>
      <c r="S114" s="156">
        <f t="shared" si="196"/>
        <v>5.7284114799258568</v>
      </c>
      <c r="T114" s="156">
        <f t="shared" si="196"/>
        <v>8.0563146838060629</v>
      </c>
      <c r="U114" s="156">
        <f t="shared" si="196"/>
        <v>10.573637514085746</v>
      </c>
      <c r="V114" s="156">
        <f t="shared" si="198"/>
        <v>9.7718946815869447</v>
      </c>
      <c r="W114" s="156">
        <f t="shared" si="198"/>
        <v>9.3166382025822649</v>
      </c>
      <c r="X114" s="156">
        <f t="shared" si="198"/>
        <v>7.9382811473948598</v>
      </c>
      <c r="Y114" s="156">
        <f t="shared" si="198"/>
        <v>6.1001255865009494</v>
      </c>
      <c r="Z114" s="156">
        <f t="shared" si="198"/>
        <v>10.082996016803632</v>
      </c>
      <c r="AA114" s="156">
        <f t="shared" si="198"/>
        <v>8.146371497449767</v>
      </c>
      <c r="AB114" s="156">
        <f t="shared" si="198"/>
        <v>6.7499890111763774</v>
      </c>
      <c r="AC114" s="156">
        <f t="shared" si="198"/>
        <v>6.3524642234359527</v>
      </c>
      <c r="AD114" s="156">
        <f t="shared" si="198"/>
        <v>1.2354007116908732</v>
      </c>
      <c r="AE114" s="156">
        <f t="shared" si="198"/>
        <v>1.9662010319877583</v>
      </c>
      <c r="AF114" s="156">
        <f t="shared" si="198"/>
        <v>2.5878457747386117</v>
      </c>
      <c r="AG114" s="156">
        <f t="shared" si="198"/>
        <v>4.0040252715973379</v>
      </c>
      <c r="AH114" s="156">
        <f t="shared" si="198"/>
        <v>4.0211684117109057</v>
      </c>
      <c r="AI114" s="156">
        <f t="shared" si="198"/>
        <v>3.599621989435335</v>
      </c>
      <c r="AJ114" s="156">
        <f t="shared" si="198"/>
        <v>3.6695578004221705</v>
      </c>
      <c r="AK114" s="156">
        <f t="shared" si="198"/>
        <v>2.6063064330072709</v>
      </c>
      <c r="AL114" s="156">
        <f t="shared" si="198"/>
        <v>3.0850454172153463</v>
      </c>
      <c r="AM114" s="156">
        <f t="shared" si="198"/>
        <v>4.5856710293690606</v>
      </c>
      <c r="AN114" s="156">
        <f t="shared" si="198"/>
        <v>6.0583869510367743</v>
      </c>
      <c r="AO114" s="156">
        <f t="shared" si="198"/>
        <v>7.9721454973216446</v>
      </c>
      <c r="AP114" s="156">
        <f t="shared" si="198"/>
        <v>7.2239758799569964</v>
      </c>
      <c r="AQ114" s="156">
        <f t="shared" si="197"/>
        <v>6.8397817285066385</v>
      </c>
      <c r="AR114" s="156">
        <f t="shared" si="197"/>
        <v>6.1561506917647018</v>
      </c>
      <c r="AS114" s="156">
        <f t="shared" si="197"/>
        <v>5.7060603229828901</v>
      </c>
      <c r="AT114" s="156">
        <f t="shared" si="197"/>
        <v>6.5787327601946028</v>
      </c>
      <c r="AU114" s="156">
        <f t="shared" si="197"/>
        <v>6.5350432224735453</v>
      </c>
      <c r="AV114" s="156">
        <f t="shared" si="197"/>
        <v>6.5455940329013043</v>
      </c>
      <c r="AW114" s="156">
        <f t="shared" si="197"/>
        <v>5.9672217762582065</v>
      </c>
      <c r="AX114" s="156">
        <f t="shared" si="197"/>
        <v>6.0720662293671692</v>
      </c>
      <c r="AY114" s="156">
        <f t="shared" si="197"/>
        <v>5.7986440135947355</v>
      </c>
      <c r="AZ114" s="156">
        <f t="shared" si="197"/>
        <v>5.493746540355942</v>
      </c>
      <c r="BA114" s="156">
        <f t="shared" si="197"/>
        <v>5.0287196348962366</v>
      </c>
      <c r="BB114" s="156">
        <f t="shared" si="197"/>
        <v>4.2966010098456087</v>
      </c>
      <c r="BC114" s="156">
        <f t="shared" si="197"/>
        <v>2.1076863716947578</v>
      </c>
      <c r="BD114" s="156">
        <f t="shared" si="197"/>
        <v>-0.5034603857564226</v>
      </c>
      <c r="BE114" s="156">
        <f t="shared" si="197"/>
        <v>-1.5554950560598846</v>
      </c>
      <c r="BF114" s="156">
        <f t="shared" si="197"/>
        <v>-1.3198424806811846</v>
      </c>
      <c r="BG114" s="156">
        <f t="shared" si="197"/>
        <v>-0.91210405615954859</v>
      </c>
      <c r="BH114" s="156">
        <f t="shared" si="197"/>
        <v>0.97852935654023487</v>
      </c>
      <c r="BI114" s="156">
        <f t="shared" si="182"/>
        <v>1.5564766694935526</v>
      </c>
      <c r="BJ114" s="156">
        <f t="shared" si="182"/>
        <v>1.9320489067954967</v>
      </c>
      <c r="BK114" s="156">
        <f t="shared" si="182"/>
        <v>4.1710000074744205</v>
      </c>
      <c r="BL114" s="156">
        <f t="shared" si="182"/>
        <v>4.892312083561694</v>
      </c>
      <c r="BM114" s="156">
        <f t="shared" si="183"/>
        <v>5.6774026637919333</v>
      </c>
      <c r="BN114" s="156">
        <f t="shared" si="184"/>
        <v>5.3335194280660492</v>
      </c>
      <c r="BO114" s="156">
        <f t="shared" si="185"/>
        <v>4.8700712494418488</v>
      </c>
      <c r="BP114" s="156">
        <f t="shared" si="186"/>
        <v>5.0850556734364494</v>
      </c>
      <c r="BQ114" s="156">
        <f t="shared" si="187"/>
        <v>5.060334656120502</v>
      </c>
      <c r="BR114" s="156">
        <f t="shared" si="188"/>
        <v>4.7594131973973628</v>
      </c>
      <c r="BS114" s="156">
        <f t="shared" si="189"/>
        <v>4.2289877502779643</v>
      </c>
      <c r="BT114" s="156">
        <f t="shared" si="190"/>
        <v>3.3923811042389049</v>
      </c>
      <c r="BU114" s="156">
        <f t="shared" si="191"/>
        <v>2.6174256125214654</v>
      </c>
      <c r="BV114" s="156">
        <f t="shared" si="192"/>
        <v>2.8691638058331281</v>
      </c>
      <c r="BW114" s="156">
        <f t="shared" si="193"/>
        <v>2.9057439385302084</v>
      </c>
      <c r="BX114" s="156">
        <f t="shared" si="194"/>
        <v>2.702014719681987</v>
      </c>
      <c r="BY114" s="156">
        <f t="shared" si="195"/>
        <v>2.8470937136455388</v>
      </c>
    </row>
    <row r="115" spans="1:77">
      <c r="A115" s="152" t="s">
        <v>9</v>
      </c>
      <c r="B115" s="252"/>
      <c r="C115" s="156"/>
      <c r="D115" s="156"/>
      <c r="E115" s="156"/>
      <c r="F115" s="156">
        <f t="shared" si="196"/>
        <v>6.4226933786107026</v>
      </c>
      <c r="G115" s="156">
        <f t="shared" si="196"/>
        <v>5.0032108411928871</v>
      </c>
      <c r="H115" s="156">
        <f t="shared" si="196"/>
        <v>4.0650422339725027</v>
      </c>
      <c r="I115" s="156">
        <f t="shared" si="196"/>
        <v>2.5300567073849209</v>
      </c>
      <c r="J115" s="156">
        <f t="shared" si="196"/>
        <v>4.1697344131497829</v>
      </c>
      <c r="K115" s="156">
        <f t="shared" si="196"/>
        <v>4.9432222409855795</v>
      </c>
      <c r="L115" s="156">
        <f t="shared" si="196"/>
        <v>5.63510007524118</v>
      </c>
      <c r="M115" s="156">
        <f t="shared" si="196"/>
        <v>7.4305457255782263</v>
      </c>
      <c r="N115" s="156">
        <f t="shared" si="196"/>
        <v>7.3450960648329673</v>
      </c>
      <c r="O115" s="156">
        <f t="shared" si="196"/>
        <v>6.0270761020216712</v>
      </c>
      <c r="P115" s="156">
        <f t="shared" si="196"/>
        <v>3.1993070243544288</v>
      </c>
      <c r="Q115" s="156">
        <f t="shared" si="196"/>
        <v>1.7591280937842531</v>
      </c>
      <c r="R115" s="156">
        <f t="shared" si="196"/>
        <v>0.85957928668972094</v>
      </c>
      <c r="S115" s="156">
        <f t="shared" si="196"/>
        <v>2.2848333341154095</v>
      </c>
      <c r="T115" s="156">
        <f t="shared" si="196"/>
        <v>4.9849755483042637</v>
      </c>
      <c r="U115" s="156">
        <f t="shared" si="196"/>
        <v>6.0505614449827672</v>
      </c>
      <c r="V115" s="156">
        <f t="shared" si="198"/>
        <v>7.1337443515158983</v>
      </c>
      <c r="W115" s="156">
        <f t="shared" si="198"/>
        <v>7.1020641285487685</v>
      </c>
      <c r="X115" s="156">
        <f t="shared" si="198"/>
        <v>6.3854929702743535</v>
      </c>
      <c r="Y115" s="156">
        <f t="shared" si="198"/>
        <v>5.2621610187397234</v>
      </c>
      <c r="Z115" s="156">
        <f t="shared" si="198"/>
        <v>4.0943794160606304</v>
      </c>
      <c r="AA115" s="156">
        <f t="shared" si="198"/>
        <v>3.3589718440367546</v>
      </c>
      <c r="AB115" s="156">
        <f t="shared" si="198"/>
        <v>4.0177237373764694</v>
      </c>
      <c r="AC115" s="156">
        <f t="shared" si="198"/>
        <v>5.7501374333342241</v>
      </c>
      <c r="AD115" s="156">
        <f t="shared" si="198"/>
        <v>9.2162041894395443</v>
      </c>
      <c r="AE115" s="156">
        <f t="shared" si="198"/>
        <v>10.052761303528564</v>
      </c>
      <c r="AF115" s="156">
        <f t="shared" si="198"/>
        <v>9.6128183781196554</v>
      </c>
      <c r="AG115" s="156">
        <f t="shared" si="198"/>
        <v>8.5682839775900526</v>
      </c>
      <c r="AH115" s="156">
        <f t="shared" si="198"/>
        <v>8.1990943302393937</v>
      </c>
      <c r="AI115" s="156">
        <f t="shared" si="198"/>
        <v>7.0067729360710178</v>
      </c>
      <c r="AJ115" s="156">
        <f t="shared" si="198"/>
        <v>6.3205291550184093</v>
      </c>
      <c r="AK115" s="156">
        <f t="shared" si="198"/>
        <v>6.4926190764688672</v>
      </c>
      <c r="AL115" s="156">
        <f t="shared" si="198"/>
        <v>4.550057066926823</v>
      </c>
      <c r="AM115" s="156">
        <f t="shared" si="198"/>
        <v>4.3586304746224958</v>
      </c>
      <c r="AN115" s="156">
        <f t="shared" si="198"/>
        <v>4.7151436517591891</v>
      </c>
      <c r="AO115" s="156">
        <f t="shared" si="198"/>
        <v>4.2952317624871839</v>
      </c>
      <c r="AP115" s="156">
        <f t="shared" si="198"/>
        <v>5.5536078909247504</v>
      </c>
      <c r="AQ115" s="156">
        <f t="shared" si="197"/>
        <v>6.0790905333392109</v>
      </c>
      <c r="AR115" s="156">
        <f t="shared" si="197"/>
        <v>6.0254600974815276</v>
      </c>
      <c r="AS115" s="156">
        <f t="shared" si="197"/>
        <v>5.9968997489760705</v>
      </c>
      <c r="AT115" s="156">
        <f t="shared" si="197"/>
        <v>5.7128944874644647</v>
      </c>
      <c r="AU115" s="156">
        <f t="shared" si="197"/>
        <v>5.4803135279833919</v>
      </c>
      <c r="AV115" s="156">
        <f t="shared" si="197"/>
        <v>5.0978531511597032</v>
      </c>
      <c r="AW115" s="156">
        <f t="shared" si="197"/>
        <v>4.5362915550193348</v>
      </c>
      <c r="AX115" s="156">
        <f t="shared" si="197"/>
        <v>5.8775767150058709</v>
      </c>
      <c r="AY115" s="156">
        <f t="shared" si="197"/>
        <v>7.0495757390445721</v>
      </c>
      <c r="AZ115" s="156">
        <f t="shared" si="197"/>
        <v>7.5954061681155052</v>
      </c>
      <c r="BA115" s="156">
        <f t="shared" si="197"/>
        <v>7.9719545505857763</v>
      </c>
      <c r="BB115" s="156">
        <f t="shared" si="197"/>
        <v>5.9688732678998937</v>
      </c>
      <c r="BC115" s="156">
        <f t="shared" si="197"/>
        <v>4.3135880093555468</v>
      </c>
      <c r="BD115" s="156">
        <f t="shared" si="197"/>
        <v>3.6124125632166209</v>
      </c>
      <c r="BE115" s="156">
        <f t="shared" si="197"/>
        <v>2.9426806257938076</v>
      </c>
      <c r="BF115" s="156">
        <f t="shared" si="197"/>
        <v>2.3093995953587592</v>
      </c>
      <c r="BG115" s="156">
        <f t="shared" si="197"/>
        <v>1.431769295856252</v>
      </c>
      <c r="BH115" s="156">
        <f t="shared" si="197"/>
        <v>1.1860935376720803</v>
      </c>
      <c r="BI115" s="156">
        <f t="shared" si="182"/>
        <v>1.4525317334743884</v>
      </c>
      <c r="BJ115" s="156">
        <f t="shared" si="182"/>
        <v>2.0614415740570546</v>
      </c>
      <c r="BK115" s="156">
        <f t="shared" si="182"/>
        <v>2.8826044278857799</v>
      </c>
      <c r="BL115" s="156">
        <f t="shared" si="182"/>
        <v>2.8824571410061028</v>
      </c>
      <c r="BM115" s="156">
        <f t="shared" si="183"/>
        <v>2.8704668978472609</v>
      </c>
      <c r="BN115" s="156">
        <f t="shared" si="184"/>
        <v>2.7237937640372762</v>
      </c>
      <c r="BO115" s="156">
        <f t="shared" si="185"/>
        <v>3.0211847179666282</v>
      </c>
      <c r="BP115" s="156">
        <f t="shared" si="186"/>
        <v>2.9445289698658783</v>
      </c>
      <c r="BQ115" s="156">
        <f t="shared" si="187"/>
        <v>2.9164563500205598</v>
      </c>
      <c r="BR115" s="156">
        <f t="shared" si="188"/>
        <v>3.0030936270175497</v>
      </c>
      <c r="BS115" s="156">
        <f t="shared" si="189"/>
        <v>2.5842053476916194</v>
      </c>
      <c r="BT115" s="156">
        <f t="shared" si="190"/>
        <v>2.4202045868540703</v>
      </c>
      <c r="BU115" s="156">
        <f t="shared" si="191"/>
        <v>2.2538105933232822</v>
      </c>
      <c r="BV115" s="156">
        <f t="shared" si="192"/>
        <v>1.7563001249236567</v>
      </c>
      <c r="BW115" s="156">
        <f t="shared" si="193"/>
        <v>1.5359020568144295</v>
      </c>
      <c r="BX115" s="156">
        <f t="shared" si="194"/>
        <v>1.8426075718023813</v>
      </c>
      <c r="BY115" s="156">
        <f t="shared" si="195"/>
        <v>1.7274532770266515</v>
      </c>
    </row>
    <row r="116" spans="1:77">
      <c r="A116" s="152" t="s">
        <v>10</v>
      </c>
      <c r="B116" s="252"/>
      <c r="C116" s="156"/>
      <c r="D116" s="156"/>
      <c r="E116" s="156"/>
      <c r="F116" s="156">
        <f t="shared" si="196"/>
        <v>4.1772510384525567</v>
      </c>
      <c r="G116" s="156">
        <f t="shared" si="196"/>
        <v>5.9920540567566487</v>
      </c>
      <c r="H116" s="156">
        <f t="shared" si="196"/>
        <v>7.6378897026715906</v>
      </c>
      <c r="I116" s="156">
        <f t="shared" si="196"/>
        <v>9.5149679572817938</v>
      </c>
      <c r="J116" s="156">
        <f t="shared" si="196"/>
        <v>7.2826547489898141</v>
      </c>
      <c r="K116" s="156">
        <f t="shared" si="196"/>
        <v>5.3677570345373127</v>
      </c>
      <c r="L116" s="156">
        <f t="shared" si="196"/>
        <v>3.2301139440960664</v>
      </c>
      <c r="M116" s="156">
        <f t="shared" si="196"/>
        <v>1.3120277921369705</v>
      </c>
      <c r="N116" s="156">
        <f t="shared" si="196"/>
        <v>1.6438879242184106</v>
      </c>
      <c r="O116" s="156">
        <f t="shared" si="196"/>
        <v>2.5219470449725745</v>
      </c>
      <c r="P116" s="156">
        <f t="shared" si="196"/>
        <v>2.9549893119993795</v>
      </c>
      <c r="Q116" s="156">
        <f t="shared" si="196"/>
        <v>2.579728788582214</v>
      </c>
      <c r="R116" s="156">
        <f t="shared" si="196"/>
        <v>5.9623025584856144</v>
      </c>
      <c r="S116" s="156">
        <f t="shared" si="196"/>
        <v>5.6435210681497274</v>
      </c>
      <c r="T116" s="156">
        <f t="shared" si="196"/>
        <v>6.036961467767477</v>
      </c>
      <c r="U116" s="156">
        <f t="shared" si="196"/>
        <v>6.676618931499914</v>
      </c>
      <c r="V116" s="156">
        <f t="shared" si="198"/>
        <v>1.4219370041053967</v>
      </c>
      <c r="W116" s="156">
        <f t="shared" si="198"/>
        <v>0.69067800171667615</v>
      </c>
      <c r="X116" s="156">
        <f t="shared" si="198"/>
        <v>0.79126425415202928</v>
      </c>
      <c r="Y116" s="156">
        <f t="shared" si="198"/>
        <v>1.8645807797332461</v>
      </c>
      <c r="Z116" s="156">
        <f t="shared" si="198"/>
        <v>3.7679010116899905</v>
      </c>
      <c r="AA116" s="156">
        <f t="shared" si="198"/>
        <v>5.7064645240746623</v>
      </c>
      <c r="AB116" s="156">
        <f t="shared" si="198"/>
        <v>6.4996444517495355</v>
      </c>
      <c r="AC116" s="156">
        <f t="shared" si="198"/>
        <v>6.7776767752468654</v>
      </c>
      <c r="AD116" s="156">
        <f t="shared" si="198"/>
        <v>7.4933557425959281</v>
      </c>
      <c r="AE116" s="156">
        <f t="shared" si="198"/>
        <v>6.5034973861008138</v>
      </c>
      <c r="AF116" s="156">
        <f t="shared" si="198"/>
        <v>4.068593194814329</v>
      </c>
      <c r="AG116" s="156">
        <f t="shared" si="198"/>
        <v>2.3352915123617661</v>
      </c>
      <c r="AH116" s="156">
        <f t="shared" si="198"/>
        <v>4.4128545626193807</v>
      </c>
      <c r="AI116" s="156">
        <f t="shared" si="198"/>
        <v>4.4622295029193211</v>
      </c>
      <c r="AJ116" s="156">
        <f t="shared" si="198"/>
        <v>6.4241769052081992</v>
      </c>
      <c r="AK116" s="156">
        <f t="shared" si="198"/>
        <v>7.0481311952294305</v>
      </c>
      <c r="AL116" s="156">
        <f t="shared" si="198"/>
        <v>6.8827913393657072</v>
      </c>
      <c r="AM116" s="156">
        <f t="shared" si="198"/>
        <v>7.4880575795814623</v>
      </c>
      <c r="AN116" s="156">
        <f t="shared" si="198"/>
        <v>6.9543339323778364</v>
      </c>
      <c r="AO116" s="156">
        <f t="shared" si="198"/>
        <v>7.5664664707581375</v>
      </c>
      <c r="AP116" s="156">
        <f t="shared" si="198"/>
        <v>10.353056097097625</v>
      </c>
      <c r="AQ116" s="156">
        <f t="shared" si="197"/>
        <v>10.331337121086309</v>
      </c>
      <c r="AR116" s="156">
        <f t="shared" si="197"/>
        <v>11.236545984329998</v>
      </c>
      <c r="AS116" s="156">
        <f t="shared" si="197"/>
        <v>10.377166622014977</v>
      </c>
      <c r="AT116" s="156">
        <f t="shared" si="197"/>
        <v>6.5727691610843824</v>
      </c>
      <c r="AU116" s="156">
        <f t="shared" si="197"/>
        <v>7.2871246722671579</v>
      </c>
      <c r="AV116" s="156">
        <f t="shared" si="197"/>
        <v>8.0020954575772869</v>
      </c>
      <c r="AW116" s="156">
        <f t="shared" si="197"/>
        <v>8.8603252819357099</v>
      </c>
      <c r="AX116" s="156">
        <f t="shared" si="197"/>
        <v>8.5822353162267646</v>
      </c>
      <c r="AY116" s="156">
        <f t="shared" si="197"/>
        <v>7.1317326407567867</v>
      </c>
      <c r="AZ116" s="156">
        <f t="shared" si="197"/>
        <v>7.293779830085394</v>
      </c>
      <c r="BA116" s="156">
        <f t="shared" si="197"/>
        <v>8.0532929633085288</v>
      </c>
      <c r="BB116" s="156">
        <f t="shared" si="197"/>
        <v>8.5435551242149366</v>
      </c>
      <c r="BC116" s="156">
        <f t="shared" si="197"/>
        <v>7.8029997513996294</v>
      </c>
      <c r="BD116" s="156">
        <f t="shared" si="197"/>
        <v>7.0100605065515245</v>
      </c>
      <c r="BE116" s="156">
        <f t="shared" si="197"/>
        <v>6.2619381703266406</v>
      </c>
      <c r="BF116" s="156">
        <f t="shared" si="197"/>
        <v>4.0455999526395221</v>
      </c>
      <c r="BG116" s="156">
        <f t="shared" si="197"/>
        <v>2.3426684800839115</v>
      </c>
      <c r="BH116" s="156">
        <f t="shared" si="197"/>
        <v>0.57963157038482915</v>
      </c>
      <c r="BI116" s="156">
        <f t="shared" si="182"/>
        <v>-0.38367962132174283</v>
      </c>
      <c r="BJ116" s="156">
        <f t="shared" si="182"/>
        <v>0.64086633053438202</v>
      </c>
      <c r="BK116" s="156">
        <f t="shared" si="182"/>
        <v>2.740988333180463</v>
      </c>
      <c r="BL116" s="156">
        <f t="shared" si="182"/>
        <v>3.0837896213131688</v>
      </c>
      <c r="BM116" s="156">
        <f t="shared" si="183"/>
        <v>3.3288317955020879</v>
      </c>
      <c r="BN116" s="156">
        <f t="shared" si="184"/>
        <v>3.9780150758941106</v>
      </c>
      <c r="BO116" s="156">
        <f t="shared" si="185"/>
        <v>4.2276221793417843</v>
      </c>
      <c r="BP116" s="156">
        <f t="shared" si="186"/>
        <v>5.2768854753911674</v>
      </c>
      <c r="BQ116" s="156">
        <f t="shared" si="187"/>
        <v>5.7489759252521697</v>
      </c>
      <c r="BR116" s="156">
        <f t="shared" si="188"/>
        <v>4.6862723314753243</v>
      </c>
      <c r="BS116" s="156">
        <f t="shared" si="189"/>
        <v>3.9568898940332677</v>
      </c>
      <c r="BT116" s="156">
        <f t="shared" si="190"/>
        <v>2.7088561864885641</v>
      </c>
      <c r="BU116" s="156">
        <f t="shared" si="191"/>
        <v>2.0809285746426545</v>
      </c>
      <c r="BV116" s="156">
        <f t="shared" si="192"/>
        <v>2.2476513833299694</v>
      </c>
      <c r="BW116" s="156">
        <f t="shared" si="193"/>
        <v>2.6367555547936146</v>
      </c>
      <c r="BX116" s="156">
        <f t="shared" si="194"/>
        <v>2.6447534534005102</v>
      </c>
      <c r="BY116" s="156">
        <f t="shared" si="195"/>
        <v>2.4506580168465861</v>
      </c>
    </row>
    <row r="117" spans="1:77">
      <c r="A117" s="152" t="s">
        <v>11</v>
      </c>
      <c r="B117" s="252"/>
      <c r="C117" s="156"/>
      <c r="D117" s="156"/>
      <c r="E117" s="156"/>
      <c r="F117" s="156">
        <f t="shared" si="196"/>
        <v>5.8180109172862187</v>
      </c>
      <c r="G117" s="156">
        <f t="shared" si="196"/>
        <v>2.4675980816256611</v>
      </c>
      <c r="H117" s="156">
        <f t="shared" si="196"/>
        <v>1.077962936672114</v>
      </c>
      <c r="I117" s="156">
        <f t="shared" si="196"/>
        <v>1.1187966383924379</v>
      </c>
      <c r="J117" s="156">
        <f t="shared" si="196"/>
        <v>-1.8231322919902122</v>
      </c>
      <c r="K117" s="156">
        <f t="shared" si="196"/>
        <v>-9.9578266641414722E-3</v>
      </c>
      <c r="L117" s="156">
        <f t="shared" si="196"/>
        <v>0.92932300887911601</v>
      </c>
      <c r="M117" s="156">
        <f t="shared" si="196"/>
        <v>0.53656335953612511</v>
      </c>
      <c r="N117" s="156">
        <f t="shared" si="196"/>
        <v>3.7319282889539687</v>
      </c>
      <c r="O117" s="156">
        <f t="shared" si="196"/>
        <v>5.612943071228484</v>
      </c>
      <c r="P117" s="156">
        <f t="shared" si="196"/>
        <v>7.1213464282969987</v>
      </c>
      <c r="Q117" s="156">
        <f t="shared" si="196"/>
        <v>8.3857556027853803</v>
      </c>
      <c r="R117" s="156">
        <f t="shared" si="196"/>
        <v>5.52280887467355</v>
      </c>
      <c r="S117" s="156">
        <f t="shared" si="196"/>
        <v>4.0134777688093708</v>
      </c>
      <c r="T117" s="156">
        <f t="shared" si="196"/>
        <v>2.9364407639351926</v>
      </c>
      <c r="U117" s="156">
        <f t="shared" si="196"/>
        <v>2.4024369934948004</v>
      </c>
      <c r="V117" s="156">
        <f t="shared" si="198"/>
        <v>3.7702506573250423</v>
      </c>
      <c r="W117" s="156">
        <f t="shared" si="198"/>
        <v>4.4190588999147691</v>
      </c>
      <c r="X117" s="156">
        <f t="shared" si="198"/>
        <v>5.1191795304787391</v>
      </c>
      <c r="Y117" s="156">
        <f t="shared" si="198"/>
        <v>5.5010830793111811</v>
      </c>
      <c r="Z117" s="156">
        <f t="shared" si="198"/>
        <v>4.0761827411078135</v>
      </c>
      <c r="AA117" s="156">
        <f t="shared" si="198"/>
        <v>2.8247175198615153</v>
      </c>
      <c r="AB117" s="156">
        <f t="shared" si="198"/>
        <v>1.6062731211648702</v>
      </c>
      <c r="AC117" s="156">
        <f t="shared" si="198"/>
        <v>0.8864690743584549</v>
      </c>
      <c r="AD117" s="156">
        <f t="shared" si="198"/>
        <v>1.1339420321807272</v>
      </c>
      <c r="AE117" s="156">
        <f t="shared" si="198"/>
        <v>1.9545538033202932</v>
      </c>
      <c r="AF117" s="156">
        <f t="shared" si="198"/>
        <v>2.755481764804331</v>
      </c>
      <c r="AG117" s="156">
        <f t="shared" si="198"/>
        <v>3.7913116649487226</v>
      </c>
      <c r="AH117" s="156">
        <f t="shared" si="198"/>
        <v>5.2828837447081698</v>
      </c>
      <c r="AI117" s="156">
        <f t="shared" si="198"/>
        <v>5.9960231588719406</v>
      </c>
      <c r="AJ117" s="156">
        <f t="shared" si="198"/>
        <v>6.05535191809353</v>
      </c>
      <c r="AK117" s="156">
        <f t="shared" si="198"/>
        <v>4.959092128139007</v>
      </c>
      <c r="AL117" s="156">
        <f t="shared" si="198"/>
        <v>3.2806074436813661</v>
      </c>
      <c r="AM117" s="156">
        <f t="shared" si="198"/>
        <v>1.486756854183136</v>
      </c>
      <c r="AN117" s="156">
        <f t="shared" si="198"/>
        <v>0.98167574373778466</v>
      </c>
      <c r="AO117" s="156">
        <f t="shared" si="198"/>
        <v>1.3616187057174247</v>
      </c>
      <c r="AP117" s="156">
        <f t="shared" si="198"/>
        <v>1.7038796271962722</v>
      </c>
      <c r="AQ117" s="156">
        <f t="shared" si="197"/>
        <v>3.3866860613199554</v>
      </c>
      <c r="AR117" s="156">
        <f t="shared" si="197"/>
        <v>4.0486717243217285</v>
      </c>
      <c r="AS117" s="156">
        <f t="shared" si="197"/>
        <v>4.3553035676093526</v>
      </c>
      <c r="AT117" s="156">
        <f t="shared" si="197"/>
        <v>5.7038468514269365</v>
      </c>
      <c r="AU117" s="156">
        <f t="shared" si="197"/>
        <v>5.4281917477735817</v>
      </c>
      <c r="AV117" s="156">
        <f t="shared" si="197"/>
        <v>5.2165836595618336</v>
      </c>
      <c r="AW117" s="156">
        <f t="shared" si="197"/>
        <v>4.8899257421018429</v>
      </c>
      <c r="AX117" s="156">
        <f t="shared" si="197"/>
        <v>4.5853439199501151</v>
      </c>
      <c r="AY117" s="156">
        <f t="shared" si="197"/>
        <v>4.9789214562629791</v>
      </c>
      <c r="AZ117" s="156">
        <f t="shared" si="197"/>
        <v>5.643695486588471</v>
      </c>
      <c r="BA117" s="156">
        <f t="shared" si="197"/>
        <v>6.7880482954297907</v>
      </c>
      <c r="BB117" s="156">
        <f t="shared" si="197"/>
        <v>5.4918506450770721</v>
      </c>
      <c r="BC117" s="156">
        <f t="shared" si="197"/>
        <v>4.2902248328853094</v>
      </c>
      <c r="BD117" s="156">
        <f t="shared" si="197"/>
        <v>3.3753846116647042</v>
      </c>
      <c r="BE117" s="156">
        <f t="shared" si="197"/>
        <v>2.017363869666287</v>
      </c>
      <c r="BF117" s="156">
        <f t="shared" si="197"/>
        <v>1.8384774556426953</v>
      </c>
      <c r="BG117" s="156">
        <f t="shared" si="197"/>
        <v>1.0979175960165373</v>
      </c>
      <c r="BH117" s="156">
        <f t="shared" si="197"/>
        <v>-0.72328282291250434</v>
      </c>
      <c r="BI117" s="156">
        <f t="shared" si="182"/>
        <v>-2.2638363560130719</v>
      </c>
      <c r="BJ117" s="156">
        <f t="shared" si="182"/>
        <v>-1.6343411246263984</v>
      </c>
      <c r="BK117" s="156">
        <f t="shared" si="182"/>
        <v>-0.28035670993092027</v>
      </c>
      <c r="BL117" s="156">
        <f t="shared" si="182"/>
        <v>1.4813006769412327</v>
      </c>
      <c r="BM117" s="156">
        <f t="shared" si="183"/>
        <v>3.16633355240331</v>
      </c>
      <c r="BN117" s="156">
        <f t="shared" si="184"/>
        <v>3.0282677428878135</v>
      </c>
      <c r="BO117" s="156">
        <f t="shared" si="185"/>
        <v>2.5821191972945514</v>
      </c>
      <c r="BP117" s="156">
        <f t="shared" si="186"/>
        <v>2.3145711002499825</v>
      </c>
      <c r="BQ117" s="156">
        <f t="shared" si="187"/>
        <v>2.3036131625274252</v>
      </c>
      <c r="BR117" s="156">
        <f t="shared" si="188"/>
        <v>2.2206286297892714</v>
      </c>
      <c r="BS117" s="156">
        <f t="shared" si="189"/>
        <v>2.1716477753836743</v>
      </c>
      <c r="BT117" s="156">
        <f t="shared" si="190"/>
        <v>2.3003131429263477</v>
      </c>
      <c r="BU117" s="156">
        <f t="shared" si="191"/>
        <v>2.3362538037623697</v>
      </c>
      <c r="BV117" s="156">
        <f t="shared" si="192"/>
        <v>2.2685558518605546</v>
      </c>
      <c r="BW117" s="156">
        <f t="shared" si="193"/>
        <v>2.1236765593642861</v>
      </c>
      <c r="BX117" s="156">
        <f t="shared" si="194"/>
        <v>1.9262952487694325</v>
      </c>
      <c r="BY117" s="156">
        <f t="shared" si="195"/>
        <v>1.6549791510733252</v>
      </c>
    </row>
    <row r="118" spans="1:77">
      <c r="A118" s="149" t="s">
        <v>12</v>
      </c>
      <c r="B118" s="253"/>
      <c r="C118" s="157"/>
      <c r="D118" s="157"/>
      <c r="E118" s="157"/>
      <c r="F118" s="157">
        <f t="shared" si="196"/>
        <v>2.8636187889412237</v>
      </c>
      <c r="G118" s="157">
        <f t="shared" si="196"/>
        <v>3.5813614989191209</v>
      </c>
      <c r="H118" s="157">
        <f t="shared" si="196"/>
        <v>4.1518091517919675</v>
      </c>
      <c r="I118" s="157">
        <f t="shared" si="196"/>
        <v>4.5396585519151111</v>
      </c>
      <c r="J118" s="157">
        <f t="shared" si="196"/>
        <v>-1.202626296054967</v>
      </c>
      <c r="K118" s="157">
        <f t="shared" si="196"/>
        <v>-2.1156142919509793</v>
      </c>
      <c r="L118" s="157">
        <f t="shared" si="196"/>
        <v>-2.9027788869727256</v>
      </c>
      <c r="M118" s="157">
        <f t="shared" si="196"/>
        <v>-3.4353375982666607</v>
      </c>
      <c r="N118" s="157">
        <f t="shared" si="196"/>
        <v>2.0914449846546548</v>
      </c>
      <c r="O118" s="157">
        <f t="shared" si="196"/>
        <v>1.9802868901215849</v>
      </c>
      <c r="P118" s="157">
        <f t="shared" si="196"/>
        <v>1.8396491836216642</v>
      </c>
      <c r="Q118" s="157">
        <f t="shared" si="196"/>
        <v>1.7611371708242916</v>
      </c>
      <c r="R118" s="157">
        <f t="shared" si="196"/>
        <v>-3.4536159901218286</v>
      </c>
      <c r="S118" s="157">
        <f t="shared" si="196"/>
        <v>-3.3817829254028409</v>
      </c>
      <c r="T118" s="157">
        <f t="shared" si="196"/>
        <v>-3.403684107053969</v>
      </c>
      <c r="U118" s="157">
        <f t="shared" si="196"/>
        <v>-3.6879705892308627</v>
      </c>
      <c r="V118" s="157">
        <f t="shared" si="198"/>
        <v>-0.31173732615236011</v>
      </c>
      <c r="W118" s="157">
        <f t="shared" si="198"/>
        <v>-0.31500072231792881</v>
      </c>
      <c r="X118" s="157">
        <f t="shared" si="198"/>
        <v>-0.29641871240804285</v>
      </c>
      <c r="Y118" s="157">
        <f t="shared" si="198"/>
        <v>-0.23977629345928783</v>
      </c>
      <c r="Z118" s="157">
        <f t="shared" si="198"/>
        <v>1.2283635307953791</v>
      </c>
      <c r="AA118" s="157">
        <f t="shared" si="198"/>
        <v>0.97429865501752144</v>
      </c>
      <c r="AB118" s="157">
        <f t="shared" si="198"/>
        <v>0.68240452317158273</v>
      </c>
      <c r="AC118" s="157">
        <f t="shared" si="198"/>
        <v>0.83861454054577311</v>
      </c>
      <c r="AD118" s="157">
        <f t="shared" si="198"/>
        <v>-0.85653197330615816</v>
      </c>
      <c r="AE118" s="157">
        <f t="shared" si="198"/>
        <v>1.2388094346484206E-2</v>
      </c>
      <c r="AF118" s="157">
        <f t="shared" si="198"/>
        <v>1.0135116754584161</v>
      </c>
      <c r="AG118" s="157">
        <f t="shared" si="198"/>
        <v>1.5139969601813987</v>
      </c>
      <c r="AH118" s="157">
        <f t="shared" si="198"/>
        <v>1.858198990710638</v>
      </c>
      <c r="AI118" s="157">
        <f t="shared" si="198"/>
        <v>2.0317237612597672</v>
      </c>
      <c r="AJ118" s="157">
        <f t="shared" si="198"/>
        <v>2.2854269946730055</v>
      </c>
      <c r="AK118" s="157">
        <f t="shared" si="198"/>
        <v>2.6103032563102748</v>
      </c>
      <c r="AL118" s="157">
        <f t="shared" si="198"/>
        <v>1.1806502388151441</v>
      </c>
      <c r="AM118" s="157">
        <f t="shared" si="198"/>
        <v>1.2697381796070364</v>
      </c>
      <c r="AN118" s="157">
        <f t="shared" si="198"/>
        <v>1.1315440934439338</v>
      </c>
      <c r="AO118" s="157">
        <f t="shared" si="198"/>
        <v>1.8108122312343247</v>
      </c>
      <c r="AP118" s="157">
        <f t="shared" si="198"/>
        <v>4.4148829696151175</v>
      </c>
      <c r="AQ118" s="157">
        <f t="shared" si="197"/>
        <v>4.8969658631193314</v>
      </c>
      <c r="AR118" s="157">
        <f t="shared" si="197"/>
        <v>4.9860717254259201</v>
      </c>
      <c r="AS118" s="157">
        <f t="shared" si="197"/>
        <v>3.7281294778989773</v>
      </c>
      <c r="AT118" s="157">
        <f t="shared" si="197"/>
        <v>3.0817104318052921</v>
      </c>
      <c r="AU118" s="157">
        <f t="shared" si="197"/>
        <v>2.5570639150739107</v>
      </c>
      <c r="AV118" s="157">
        <f t="shared" si="197"/>
        <v>2.4795521197725154</v>
      </c>
      <c r="AW118" s="157">
        <f t="shared" si="197"/>
        <v>3.8011518696092406</v>
      </c>
      <c r="AX118" s="157">
        <f t="shared" si="197"/>
        <v>4.4540862976575246</v>
      </c>
      <c r="AY118" s="157">
        <f t="shared" si="197"/>
        <v>3.777784826354718</v>
      </c>
      <c r="AZ118" s="157">
        <f t="shared" si="197"/>
        <v>4.1957725922639248</v>
      </c>
      <c r="BA118" s="157">
        <f t="shared" si="197"/>
        <v>3.8547605775721818</v>
      </c>
      <c r="BB118" s="157">
        <f t="shared" si="197"/>
        <v>4.240315901205709</v>
      </c>
      <c r="BC118" s="157">
        <f t="shared" si="197"/>
        <v>4.7943746418232003</v>
      </c>
      <c r="BD118" s="157">
        <f t="shared" si="197"/>
        <v>5.4145627020240692</v>
      </c>
      <c r="BE118" s="157">
        <f t="shared" si="197"/>
        <v>5.2392401814417369</v>
      </c>
      <c r="BF118" s="157">
        <f t="shared" si="197"/>
        <v>4.0643284592369939</v>
      </c>
      <c r="BG118" s="157">
        <f t="shared" si="197"/>
        <v>4.7908268012562187</v>
      </c>
      <c r="BH118" s="157">
        <f t="shared" si="197"/>
        <v>3.5368661849327419</v>
      </c>
      <c r="BI118" s="157">
        <f t="shared" si="182"/>
        <v>3.2200400938792257</v>
      </c>
      <c r="BJ118" s="157">
        <f t="shared" si="182"/>
        <v>3.3267747558557277</v>
      </c>
      <c r="BK118" s="157">
        <f t="shared" si="182"/>
        <v>3.087671027207286</v>
      </c>
      <c r="BL118" s="157">
        <f t="shared" si="182"/>
        <v>3.6402479233467582</v>
      </c>
      <c r="BM118" s="157">
        <f t="shared" si="183"/>
        <v>4.2964652702860056</v>
      </c>
      <c r="BN118" s="157">
        <f t="shared" si="184"/>
        <v>4.2049439670925208</v>
      </c>
      <c r="BO118" s="157">
        <f t="shared" si="185"/>
        <v>4.2144224034882907</v>
      </c>
      <c r="BP118" s="157">
        <f t="shared" si="186"/>
        <v>4.1424927981459847</v>
      </c>
      <c r="BQ118" s="157">
        <f t="shared" si="187"/>
        <v>4.2173880750034805</v>
      </c>
      <c r="BR118" s="157">
        <f t="shared" si="188"/>
        <v>3.159992761913355</v>
      </c>
      <c r="BS118" s="157">
        <f t="shared" si="189"/>
        <v>2.4966879670729938</v>
      </c>
      <c r="BT118" s="157">
        <f t="shared" si="190"/>
        <v>2.6051330341997003</v>
      </c>
      <c r="BU118" s="157">
        <f t="shared" si="191"/>
        <v>2.5363978478855844</v>
      </c>
      <c r="BV118" s="157">
        <f t="shared" si="192"/>
        <v>2.3885248307166727</v>
      </c>
      <c r="BW118" s="157">
        <f t="shared" si="193"/>
        <v>2.0823047046655581</v>
      </c>
      <c r="BX118" s="157">
        <f t="shared" si="194"/>
        <v>1.3195561389561363</v>
      </c>
      <c r="BY118" s="157">
        <f t="shared" si="195"/>
        <v>0.41968475263883481</v>
      </c>
    </row>
    <row r="119" spans="1:77">
      <c r="A119" s="145" t="s">
        <v>13</v>
      </c>
      <c r="B119" s="256"/>
      <c r="C119" s="155"/>
      <c r="D119" s="155"/>
      <c r="E119" s="155"/>
      <c r="F119" s="155">
        <f>(F39-B39)/B39*100</f>
        <v>3.4472757983049274</v>
      </c>
      <c r="G119" s="155">
        <f t="shared" si="196"/>
        <v>4.8290452121563581</v>
      </c>
      <c r="H119" s="155">
        <f t="shared" si="196"/>
        <v>5.8002449016349633</v>
      </c>
      <c r="I119" s="155">
        <f t="shared" si="196"/>
        <v>6.5689202502785431</v>
      </c>
      <c r="J119" s="155">
        <f t="shared" si="196"/>
        <v>3.2620086734431841</v>
      </c>
      <c r="K119" s="155">
        <f t="shared" si="196"/>
        <v>2.5997027224710085</v>
      </c>
      <c r="L119" s="155">
        <f t="shared" si="196"/>
        <v>1.3590526138693164</v>
      </c>
      <c r="M119" s="155">
        <f t="shared" si="196"/>
        <v>0.20912305941773826</v>
      </c>
      <c r="N119" s="155">
        <f t="shared" si="196"/>
        <v>1.6152701682819486</v>
      </c>
      <c r="O119" s="155">
        <f t="shared" si="196"/>
        <v>1.0652965248076542</v>
      </c>
      <c r="P119" s="155">
        <f t="shared" si="196"/>
        <v>0.66552398987549466</v>
      </c>
      <c r="Q119" s="155">
        <f t="shared" si="196"/>
        <v>0.91561596467702111</v>
      </c>
      <c r="R119" s="155">
        <f t="shared" si="196"/>
        <v>-0.51846010174985824</v>
      </c>
      <c r="S119" s="155">
        <f t="shared" si="196"/>
        <v>0.25713248454789567</v>
      </c>
      <c r="T119" s="155">
        <f t="shared" si="196"/>
        <v>1.7919558992751845</v>
      </c>
      <c r="U119" s="155">
        <f t="shared" si="196"/>
        <v>2.9764786039536619</v>
      </c>
      <c r="V119" s="155">
        <f t="shared" si="198"/>
        <v>4.855574195268292</v>
      </c>
      <c r="W119" s="155">
        <f t="shared" si="198"/>
        <v>4.9927483648039717</v>
      </c>
      <c r="X119" s="155">
        <f t="shared" si="198"/>
        <v>4.8947105247930143</v>
      </c>
      <c r="Y119" s="155">
        <f t="shared" si="198"/>
        <v>4.4770048500899273</v>
      </c>
      <c r="Z119" s="155">
        <f t="shared" si="198"/>
        <v>5.2320789268496215</v>
      </c>
      <c r="AA119" s="155">
        <f t="shared" si="198"/>
        <v>4.5110968971344265</v>
      </c>
      <c r="AB119" s="155">
        <f t="shared" si="198"/>
        <v>3.4964745219837048</v>
      </c>
      <c r="AC119" s="155">
        <f t="shared" si="198"/>
        <v>3.4204563614354679</v>
      </c>
      <c r="AD119" s="155">
        <f t="shared" si="198"/>
        <v>1.7474093903499612</v>
      </c>
      <c r="AE119" s="155">
        <f t="shared" si="198"/>
        <v>2.7522168623755454</v>
      </c>
      <c r="AF119" s="155">
        <f t="shared" si="198"/>
        <v>3.4121984588232617</v>
      </c>
      <c r="AG119" s="155">
        <f t="shared" si="198"/>
        <v>3.3490754963832972</v>
      </c>
      <c r="AH119" s="155">
        <f t="shared" si="198"/>
        <v>4.11475037456478</v>
      </c>
      <c r="AI119" s="155">
        <f t="shared" si="198"/>
        <v>2.9485091202573259</v>
      </c>
      <c r="AJ119" s="155">
        <f t="shared" si="198"/>
        <v>2.4065271410200313</v>
      </c>
      <c r="AK119" s="155">
        <f t="shared" si="198"/>
        <v>2.0765699380915894</v>
      </c>
      <c r="AL119" s="155">
        <f t="shared" si="198"/>
        <v>2.6321826062034708</v>
      </c>
      <c r="AM119" s="155">
        <f t="shared" si="198"/>
        <v>3.8744350827849092</v>
      </c>
      <c r="AN119" s="155">
        <f t="shared" si="198"/>
        <v>5.2454894162937871</v>
      </c>
      <c r="AO119" s="155">
        <f t="shared" si="198"/>
        <v>6.0787138208043494</v>
      </c>
      <c r="AP119" s="155">
        <f t="shared" si="198"/>
        <v>5.7425919994338406</v>
      </c>
      <c r="AQ119" s="155">
        <f t="shared" si="197"/>
        <v>6.2339566874969616</v>
      </c>
      <c r="AR119" s="155">
        <f t="shared" si="197"/>
        <v>6.1069345857339394</v>
      </c>
      <c r="AS119" s="155">
        <f t="shared" si="197"/>
        <v>5.5678103750375518</v>
      </c>
      <c r="AT119" s="155">
        <f t="shared" si="197"/>
        <v>5.7713335204251894</v>
      </c>
      <c r="AU119" s="155">
        <f t="shared" si="197"/>
        <v>5.174838955885031</v>
      </c>
      <c r="AV119" s="155">
        <f t="shared" si="197"/>
        <v>5.0807106586656472</v>
      </c>
      <c r="AW119" s="155">
        <f t="shared" si="197"/>
        <v>5.6900468875660941</v>
      </c>
      <c r="AX119" s="155">
        <f t="shared" si="197"/>
        <v>6.2831352859669609</v>
      </c>
      <c r="AY119" s="155">
        <f t="shared" si="197"/>
        <v>5.9339845556564974</v>
      </c>
      <c r="AZ119" s="155">
        <f t="shared" si="197"/>
        <v>5.6924243473818787</v>
      </c>
      <c r="BA119" s="155">
        <f t="shared" si="197"/>
        <v>6.0886233899202171</v>
      </c>
      <c r="BB119" s="155">
        <f t="shared" si="197"/>
        <v>5.01466855333718</v>
      </c>
      <c r="BC119" s="155">
        <f t="shared" si="197"/>
        <v>5.2583209347615334</v>
      </c>
      <c r="BD119" s="155">
        <f t="shared" si="197"/>
        <v>4.5153986681645586</v>
      </c>
      <c r="BE119" s="155">
        <f t="shared" si="197"/>
        <v>2.1059627541647696</v>
      </c>
      <c r="BF119" s="155">
        <f t="shared" si="197"/>
        <v>-0.13330403393661344</v>
      </c>
      <c r="BG119" s="155">
        <f t="shared" si="197"/>
        <v>-2.3253324566475686</v>
      </c>
      <c r="BH119" s="155">
        <f t="shared" si="197"/>
        <v>-2.2949345480958376</v>
      </c>
      <c r="BI119" s="155">
        <f t="shared" si="182"/>
        <v>-0.90166097330871531</v>
      </c>
      <c r="BJ119" s="155">
        <f t="shared" si="182"/>
        <v>1.8966030428589686</v>
      </c>
      <c r="BK119" s="155">
        <f t="shared" si="182"/>
        <v>4.0041004426294</v>
      </c>
      <c r="BL119" s="155">
        <f t="shared" si="182"/>
        <v>4.0716042460939681</v>
      </c>
      <c r="BM119" s="155">
        <f t="shared" si="183"/>
        <v>4.3358927480936824</v>
      </c>
      <c r="BN119" s="155">
        <f t="shared" si="184"/>
        <v>4.2828257451456411</v>
      </c>
      <c r="BO119" s="155">
        <f t="shared" si="185"/>
        <v>3.4378143463138833</v>
      </c>
      <c r="BP119" s="155">
        <f t="shared" si="186"/>
        <v>3.3732782294956962</v>
      </c>
      <c r="BQ119" s="155">
        <f t="shared" si="187"/>
        <v>3.2109438347031478</v>
      </c>
      <c r="BR119" s="155">
        <f t="shared" si="188"/>
        <v>2.6433361803957309</v>
      </c>
      <c r="BS119" s="155">
        <f t="shared" si="189"/>
        <v>2.7576935308183574</v>
      </c>
      <c r="BT119" s="155">
        <f t="shared" si="190"/>
        <v>2.6843643685711638</v>
      </c>
      <c r="BU119" s="155">
        <f t="shared" si="191"/>
        <v>2.5657415233599727</v>
      </c>
      <c r="BV119" s="155">
        <f t="shared" si="192"/>
        <v>1.6651170761767777</v>
      </c>
      <c r="BW119" s="155">
        <f t="shared" si="193"/>
        <v>2.1987689977652001</v>
      </c>
      <c r="BX119" s="155">
        <f t="shared" si="194"/>
        <v>1.7056243976646686</v>
      </c>
      <c r="BY119" s="155">
        <f t="shared" si="195"/>
        <v>1.9563583164896541</v>
      </c>
    </row>
    <row r="120" spans="1:77">
      <c r="A120" s="171" t="s">
        <v>14</v>
      </c>
      <c r="B120" s="252"/>
      <c r="C120" s="156"/>
      <c r="D120" s="156"/>
      <c r="E120" s="156"/>
      <c r="F120" s="156">
        <f t="shared" si="196"/>
        <v>2.6369933732011401</v>
      </c>
      <c r="G120" s="156">
        <f t="shared" si="196"/>
        <v>5.6826642465108526</v>
      </c>
      <c r="H120" s="156">
        <f t="shared" si="196"/>
        <v>5.9027458997403501</v>
      </c>
      <c r="I120" s="156">
        <f t="shared" si="196"/>
        <v>6.7639126830686651</v>
      </c>
      <c r="J120" s="156">
        <f t="shared" si="196"/>
        <v>5.5646964030254038</v>
      </c>
      <c r="K120" s="156">
        <f t="shared" si="196"/>
        <v>2.8326742288840223</v>
      </c>
      <c r="L120" s="156">
        <f t="shared" si="196"/>
        <v>1.9231481072198626</v>
      </c>
      <c r="M120" s="156">
        <f t="shared" si="196"/>
        <v>0.85122186399748356</v>
      </c>
      <c r="N120" s="156">
        <f t="shared" si="196"/>
        <v>0.71624951721651087</v>
      </c>
      <c r="O120" s="156">
        <f t="shared" si="196"/>
        <v>-0.50508436808959378</v>
      </c>
      <c r="P120" s="156">
        <f t="shared" si="196"/>
        <v>-1.1547578808376018</v>
      </c>
      <c r="Q120" s="156">
        <f t="shared" si="196"/>
        <v>-1.289465649766139</v>
      </c>
      <c r="R120" s="156">
        <f t="shared" si="196"/>
        <v>-3.2786463415507181</v>
      </c>
      <c r="S120" s="156">
        <f t="shared" si="196"/>
        <v>-2.4822106071145198</v>
      </c>
      <c r="T120" s="156">
        <f t="shared" si="196"/>
        <v>-1.3505867408863779</v>
      </c>
      <c r="U120" s="156">
        <f t="shared" si="196"/>
        <v>-0.71650678317988603</v>
      </c>
      <c r="V120" s="156">
        <f t="shared" si="198"/>
        <v>2.2575677655692155</v>
      </c>
      <c r="W120" s="156">
        <f t="shared" si="198"/>
        <v>2.6002858436635559</v>
      </c>
      <c r="X120" s="156">
        <f t="shared" si="198"/>
        <v>2.6938044008100825</v>
      </c>
      <c r="Y120" s="156">
        <f t="shared" si="198"/>
        <v>2.6390344766285221</v>
      </c>
      <c r="Z120" s="156">
        <f t="shared" si="198"/>
        <v>6.423145517830962</v>
      </c>
      <c r="AA120" s="156">
        <f t="shared" si="198"/>
        <v>6.35533653729967</v>
      </c>
      <c r="AB120" s="156">
        <f t="shared" si="198"/>
        <v>5.9934180479227637</v>
      </c>
      <c r="AC120" s="156">
        <f t="shared" si="198"/>
        <v>6.1441381990511674</v>
      </c>
      <c r="AD120" s="156">
        <f t="shared" si="198"/>
        <v>-1.0613075808132222</v>
      </c>
      <c r="AE120" s="156">
        <f t="shared" si="198"/>
        <v>-0.71595834598837615</v>
      </c>
      <c r="AF120" s="156">
        <f t="shared" si="198"/>
        <v>0.3766677495787889</v>
      </c>
      <c r="AG120" s="156">
        <f t="shared" si="198"/>
        <v>-0.47462483277634865</v>
      </c>
      <c r="AH120" s="156">
        <f t="shared" si="198"/>
        <v>2.0440316056998227</v>
      </c>
      <c r="AI120" s="156">
        <f t="shared" si="198"/>
        <v>1.8898213383684852</v>
      </c>
      <c r="AJ120" s="156">
        <f t="shared" si="198"/>
        <v>0.79669550728774774</v>
      </c>
      <c r="AK120" s="156">
        <f t="shared" si="198"/>
        <v>1.8786982966744377</v>
      </c>
      <c r="AL120" s="156">
        <f t="shared" si="198"/>
        <v>2.7652981286884968</v>
      </c>
      <c r="AM120" s="156">
        <f t="shared" si="198"/>
        <v>4.361802946270541</v>
      </c>
      <c r="AN120" s="156">
        <f t="shared" si="198"/>
        <v>5.8387150146472049</v>
      </c>
      <c r="AO120" s="156">
        <f t="shared" si="198"/>
        <v>6.0966128952484508</v>
      </c>
      <c r="AP120" s="156">
        <f t="shared" si="198"/>
        <v>4.8648224898661638</v>
      </c>
      <c r="AQ120" s="156">
        <f t="shared" si="197"/>
        <v>4.9865983640462925</v>
      </c>
      <c r="AR120" s="156">
        <f t="shared" si="197"/>
        <v>4.4710239830570044</v>
      </c>
      <c r="AS120" s="156">
        <f t="shared" si="197"/>
        <v>3.768498015597757</v>
      </c>
      <c r="AT120" s="156">
        <f t="shared" si="197"/>
        <v>5.607157419821875</v>
      </c>
      <c r="AU120" s="156">
        <f t="shared" si="197"/>
        <v>6.1517904429737635</v>
      </c>
      <c r="AV120" s="156">
        <f t="shared" si="197"/>
        <v>5.6067779019842607</v>
      </c>
      <c r="AW120" s="156">
        <f t="shared" si="197"/>
        <v>8.2258506987696176</v>
      </c>
      <c r="AX120" s="156">
        <f t="shared" si="197"/>
        <v>7.1206456289295517</v>
      </c>
      <c r="AY120" s="156">
        <f t="shared" si="197"/>
        <v>4.5632531698048941</v>
      </c>
      <c r="AZ120" s="156">
        <f t="shared" si="197"/>
        <v>4.9865899988526001</v>
      </c>
      <c r="BA120" s="156">
        <f t="shared" si="197"/>
        <v>2.874459705866903</v>
      </c>
      <c r="BB120" s="156">
        <f t="shared" si="197"/>
        <v>3.3176895136216578</v>
      </c>
      <c r="BC120" s="156">
        <f t="shared" si="197"/>
        <v>3.5205185828271013</v>
      </c>
      <c r="BD120" s="156">
        <f t="shared" si="197"/>
        <v>2.8189006414619153</v>
      </c>
      <c r="BE120" s="156">
        <f t="shared" si="197"/>
        <v>0.90613690834968996</v>
      </c>
      <c r="BF120" s="156">
        <f t="shared" si="197"/>
        <v>-1.7165123061169625</v>
      </c>
      <c r="BG120" s="156">
        <f t="shared" si="197"/>
        <v>-3.9311914121930891</v>
      </c>
      <c r="BH120" s="156">
        <f t="shared" si="197"/>
        <v>-3.9693135837517781</v>
      </c>
      <c r="BI120" s="156">
        <f t="shared" si="182"/>
        <v>-1.5050166756281556</v>
      </c>
      <c r="BJ120" s="156">
        <f t="shared" si="182"/>
        <v>2.9140598975936287</v>
      </c>
      <c r="BK120" s="156">
        <f t="shared" si="182"/>
        <v>5.6421277697246888</v>
      </c>
      <c r="BL120" s="156">
        <f t="shared" si="182"/>
        <v>6.3126694063541642</v>
      </c>
      <c r="BM120" s="156">
        <f t="shared" si="183"/>
        <v>5.6054244496267058</v>
      </c>
      <c r="BN120" s="156">
        <f t="shared" si="184"/>
        <v>3.1814056263090822</v>
      </c>
      <c r="BO120" s="156">
        <f t="shared" si="185"/>
        <v>3.4966357602181612</v>
      </c>
      <c r="BP120" s="156">
        <f t="shared" si="186"/>
        <v>3.2878135226967213</v>
      </c>
      <c r="BQ120" s="156">
        <f t="shared" si="187"/>
        <v>3.8075719155604077</v>
      </c>
      <c r="BR120" s="156">
        <f t="shared" si="188"/>
        <v>4.9831708231307728</v>
      </c>
      <c r="BS120" s="156">
        <f t="shared" si="189"/>
        <v>4.5421747823745573</v>
      </c>
      <c r="BT120" s="156">
        <f t="shared" si="190"/>
        <v>3.8871779650867384</v>
      </c>
      <c r="BU120" s="156">
        <f t="shared" si="191"/>
        <v>2.7130927741391564</v>
      </c>
      <c r="BV120" s="156">
        <f t="shared" si="192"/>
        <v>0.27201082724356218</v>
      </c>
      <c r="BW120" s="156">
        <f t="shared" si="193"/>
        <v>0.48224699754758082</v>
      </c>
      <c r="BX120" s="156">
        <f t="shared" si="194"/>
        <v>0.65149370144421859</v>
      </c>
      <c r="BY120" s="156">
        <f t="shared" si="195"/>
        <v>0.80229612669527151</v>
      </c>
    </row>
    <row r="121" spans="1:77" ht="13.5" thickBot="1">
      <c r="A121" s="172" t="s">
        <v>282</v>
      </c>
      <c r="B121" s="255"/>
      <c r="C121" s="158"/>
      <c r="D121" s="158"/>
      <c r="E121" s="158"/>
      <c r="F121" s="158">
        <f t="shared" si="196"/>
        <v>3.3527316793841986</v>
      </c>
      <c r="G121" s="158">
        <f t="shared" si="196"/>
        <v>4.9285732684224133</v>
      </c>
      <c r="H121" s="158">
        <f t="shared" si="196"/>
        <v>5.8122410935260094</v>
      </c>
      <c r="I121" s="158">
        <f t="shared" si="196"/>
        <v>6.5917549921072141</v>
      </c>
      <c r="J121" s="158">
        <f t="shared" si="196"/>
        <v>3.5288266633321097</v>
      </c>
      <c r="K121" s="158">
        <f t="shared" si="196"/>
        <v>2.6270613448710858</v>
      </c>
      <c r="L121" s="158">
        <f t="shared" si="196"/>
        <v>1.4251279297345425</v>
      </c>
      <c r="M121" s="158">
        <f t="shared" si="196"/>
        <v>0.28443798965172684</v>
      </c>
      <c r="N121" s="158">
        <f t="shared" si="196"/>
        <v>1.5090499620703772</v>
      </c>
      <c r="O121" s="158">
        <f t="shared" si="196"/>
        <v>0.88051197478987986</v>
      </c>
      <c r="P121" s="158">
        <f t="shared" si="196"/>
        <v>0.45125835273158088</v>
      </c>
      <c r="Q121" s="158">
        <f t="shared" si="196"/>
        <v>0.65550928559888477</v>
      </c>
      <c r="R121" s="158">
        <f t="shared" si="196"/>
        <v>-0.84203188378494198</v>
      </c>
      <c r="S121" s="158">
        <f t="shared" si="196"/>
        <v>-6.0774956992572716E-2</v>
      </c>
      <c r="T121" s="158">
        <f t="shared" si="196"/>
        <v>1.4279608723505026</v>
      </c>
      <c r="U121" s="158">
        <f t="shared" si="196"/>
        <v>2.5492794562819179</v>
      </c>
      <c r="V121" s="158">
        <f>V119</f>
        <v>4.855574195268292</v>
      </c>
      <c r="W121" s="158">
        <f>W119</f>
        <v>4.9927483648039717</v>
      </c>
      <c r="X121" s="158">
        <f>X119</f>
        <v>4.8947105247930143</v>
      </c>
      <c r="Y121" s="158">
        <f>Y119</f>
        <v>4.4770048500899273</v>
      </c>
      <c r="Z121" s="158">
        <f t="shared" si="198"/>
        <v>5.3652773751010105</v>
      </c>
      <c r="AA121" s="158">
        <f t="shared" si="198"/>
        <v>4.7157087830213582</v>
      </c>
      <c r="AB121" s="158">
        <f t="shared" si="198"/>
        <v>3.7725184699209677</v>
      </c>
      <c r="AC121" s="158">
        <f t="shared" si="198"/>
        <v>3.7207194472564984</v>
      </c>
      <c r="AD121" s="158">
        <f t="shared" si="198"/>
        <v>1.4301535124842197</v>
      </c>
      <c r="AE121" s="158">
        <f t="shared" si="198"/>
        <v>2.3614101767939766</v>
      </c>
      <c r="AF121" s="158">
        <f t="shared" si="198"/>
        <v>3.0694301344182349</v>
      </c>
      <c r="AG121" s="158">
        <f t="shared" si="198"/>
        <v>2.9176955899391301</v>
      </c>
      <c r="AH121" s="158">
        <f t="shared" si="198"/>
        <v>3.8865996237887153</v>
      </c>
      <c r="AI121" s="158">
        <f t="shared" si="198"/>
        <v>2.832798813743191</v>
      </c>
      <c r="AJ121" s="158">
        <f t="shared" si="198"/>
        <v>2.2294961065713039</v>
      </c>
      <c r="AK121" s="158">
        <f t="shared" si="198"/>
        <v>2.0549823864337045</v>
      </c>
      <c r="AL121" s="158">
        <f t="shared" si="198"/>
        <v>2.6465890755897186</v>
      </c>
      <c r="AM121" s="158">
        <f t="shared" si="198"/>
        <v>3.9272139635646734</v>
      </c>
      <c r="AN121" s="158">
        <f t="shared" si="198"/>
        <v>5.3098113226401473</v>
      </c>
      <c r="AO121" s="158">
        <f t="shared" si="198"/>
        <v>6.0806632146156421</v>
      </c>
      <c r="AP121" s="158">
        <f t="shared" si="198"/>
        <v>5.6474852552444004</v>
      </c>
      <c r="AQ121" s="158">
        <f t="shared" si="197"/>
        <v>6.0983107457212862</v>
      </c>
      <c r="AR121" s="158">
        <f t="shared" si="197"/>
        <v>5.9286662068078995</v>
      </c>
      <c r="AS121" s="158">
        <f t="shared" si="197"/>
        <v>5.3718172376881244</v>
      </c>
      <c r="AT121" s="158">
        <f t="shared" si="197"/>
        <v>5.7536767438282581</v>
      </c>
      <c r="AU121" s="158">
        <f t="shared" si="197"/>
        <v>5.2799658828179803</v>
      </c>
      <c r="AV121" s="158">
        <f t="shared" si="197"/>
        <v>5.1372483871758785</v>
      </c>
      <c r="AW121" s="158">
        <f t="shared" si="197"/>
        <v>5.9620607346543952</v>
      </c>
      <c r="AX121" s="158">
        <f t="shared" si="197"/>
        <v>6.3730828782160964</v>
      </c>
      <c r="AY121" s="158">
        <f t="shared" si="197"/>
        <v>5.7852626587134521</v>
      </c>
      <c r="AZ121" s="158">
        <f t="shared" si="197"/>
        <v>5.616227839074817</v>
      </c>
      <c r="BA121" s="158">
        <f t="shared" si="197"/>
        <v>5.7364764127839081</v>
      </c>
      <c r="BB121" s="158">
        <f t="shared" si="197"/>
        <v>4.8311342375879152</v>
      </c>
      <c r="BC121" s="158">
        <f t="shared" si="197"/>
        <v>5.071950568932821</v>
      </c>
      <c r="BD121" s="158">
        <f t="shared" si="197"/>
        <v>4.3333494501196457</v>
      </c>
      <c r="BE121" s="158">
        <f t="shared" si="197"/>
        <v>1.9780667661001961</v>
      </c>
      <c r="BF121" s="158">
        <f t="shared" si="197"/>
        <v>-0.30206159881328565</v>
      </c>
      <c r="BG121" s="158">
        <f t="shared" si="197"/>
        <v>-2.4950096685544811</v>
      </c>
      <c r="BH121" s="158">
        <f>(BH41-BD41)/BD41*100</f>
        <v>-2.4720021244400678</v>
      </c>
      <c r="BI121" s="158">
        <f>(BI41-BE41)/BE41*100</f>
        <v>-0.96529991303877172</v>
      </c>
      <c r="BJ121" s="158">
        <f>(BJ41-BF41)/BF41*100</f>
        <v>2.0035172902843819</v>
      </c>
      <c r="BK121" s="158">
        <f>(BK41-BG41)/BG41*100</f>
        <v>4.1746273144320192</v>
      </c>
      <c r="BL121" s="158">
        <f>(BL41-BH41)/BH41*100</f>
        <v>4.3049610529914357</v>
      </c>
      <c r="BM121" s="158">
        <f t="shared" si="183"/>
        <v>4.4690668523000872</v>
      </c>
      <c r="BN121" s="158">
        <f t="shared" si="184"/>
        <v>4.1660555112222557</v>
      </c>
      <c r="BO121" s="158">
        <f t="shared" si="185"/>
        <v>3.4440242137102874</v>
      </c>
      <c r="BP121" s="158">
        <f t="shared" si="186"/>
        <v>3.3642076955231532</v>
      </c>
      <c r="BQ121" s="158">
        <f t="shared" si="187"/>
        <v>3.2742110085616032</v>
      </c>
      <c r="BR121" s="158">
        <f t="shared" si="188"/>
        <v>2.8890556293791998</v>
      </c>
      <c r="BS121" s="158">
        <f t="shared" si="189"/>
        <v>2.9461797842851212</v>
      </c>
      <c r="BT121" s="158">
        <f t="shared" si="190"/>
        <v>2.8119269443042518</v>
      </c>
      <c r="BU121" s="158">
        <f t="shared" si="191"/>
        <v>2.5814475279063265</v>
      </c>
      <c r="BV121" s="158">
        <f t="shared" si="192"/>
        <v>1.5158413780279207</v>
      </c>
      <c r="BW121" s="158">
        <f t="shared" si="193"/>
        <v>2.0146501018165641</v>
      </c>
      <c r="BX121" s="158">
        <f t="shared" si="194"/>
        <v>1.592660970076492</v>
      </c>
      <c r="BY121" s="158">
        <f t="shared" si="195"/>
        <v>1.8331902601652554</v>
      </c>
    </row>
  </sheetData>
  <mergeCells count="5">
    <mergeCell ref="A103:BH103"/>
    <mergeCell ref="A43:BH43"/>
    <mergeCell ref="A63:BH63"/>
    <mergeCell ref="A83:BH83"/>
    <mergeCell ref="A1:BY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selection sqref="A1:Q1"/>
    </sheetView>
  </sheetViews>
  <sheetFormatPr defaultRowHeight="12.75"/>
  <cols>
    <col min="1" max="1" width="13" customWidth="1"/>
    <col min="2" max="2" width="11.375" customWidth="1"/>
    <col min="3" max="3" width="9.75" customWidth="1"/>
    <col min="4" max="4" width="9.875" customWidth="1"/>
    <col min="5" max="5" width="11.25" customWidth="1"/>
    <col min="6" max="6" width="12.75" customWidth="1"/>
    <col min="8" max="8" width="13" customWidth="1"/>
    <col min="9" max="9" width="10.5" customWidth="1"/>
    <col min="10" max="10" width="10.25" customWidth="1"/>
    <col min="11" max="12" width="13.75" customWidth="1"/>
    <col min="14" max="14" width="12.125" customWidth="1"/>
    <col min="15" max="15" width="11.5" customWidth="1"/>
    <col min="16" max="16" width="11.125" customWidth="1"/>
    <col min="17" max="17" width="10.5" customWidth="1"/>
  </cols>
  <sheetData>
    <row r="1" spans="1:17" ht="55.5" customHeight="1" thickBot="1">
      <c r="A1" s="409" t="s">
        <v>21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1"/>
      <c r="O1" s="411"/>
      <c r="P1" s="411"/>
      <c r="Q1" s="412"/>
    </row>
    <row r="2" spans="1:17" ht="77.25" thickBot="1">
      <c r="A2" s="174"/>
      <c r="B2" s="197" t="s">
        <v>0</v>
      </c>
      <c r="C2" s="198" t="s">
        <v>1</v>
      </c>
      <c r="D2" s="198" t="s">
        <v>2</v>
      </c>
      <c r="E2" s="197" t="s">
        <v>3</v>
      </c>
      <c r="F2" s="198" t="s">
        <v>4</v>
      </c>
      <c r="G2" s="198" t="s">
        <v>5</v>
      </c>
      <c r="H2" s="198" t="s">
        <v>6</v>
      </c>
      <c r="I2" s="197" t="s">
        <v>7</v>
      </c>
      <c r="J2" s="198" t="s">
        <v>8</v>
      </c>
      <c r="K2" s="198" t="s">
        <v>9</v>
      </c>
      <c r="L2" s="198" t="s">
        <v>10</v>
      </c>
      <c r="M2" s="198" t="s">
        <v>11</v>
      </c>
      <c r="N2" s="198" t="s">
        <v>12</v>
      </c>
      <c r="O2" s="197" t="s">
        <v>13</v>
      </c>
      <c r="P2" s="198" t="s">
        <v>14</v>
      </c>
      <c r="Q2" s="199" t="s">
        <v>15</v>
      </c>
    </row>
    <row r="3" spans="1:17">
      <c r="A3" s="178">
        <v>1996</v>
      </c>
      <c r="B3" s="175">
        <v>24.327178822247081</v>
      </c>
      <c r="C3" s="189">
        <v>16.333389661194087</v>
      </c>
      <c r="D3" s="189">
        <v>39.29112934414519</v>
      </c>
      <c r="E3" s="176">
        <v>2.2634245211871051</v>
      </c>
      <c r="F3" s="189">
        <v>1.7479865100412453</v>
      </c>
      <c r="G3" s="189">
        <v>11.074059626964919</v>
      </c>
      <c r="H3" s="189">
        <v>-1.7304780763978587</v>
      </c>
      <c r="I3" s="176">
        <v>4.1991954303656254</v>
      </c>
      <c r="J3" s="189">
        <v>2.2470205122525559</v>
      </c>
      <c r="K3" s="189">
        <v>4.4671965229658666</v>
      </c>
      <c r="L3" s="189">
        <v>6.8454417881424288</v>
      </c>
      <c r="M3" s="189">
        <v>2.5993756666897951</v>
      </c>
      <c r="N3" s="189">
        <v>3.784687181258374</v>
      </c>
      <c r="O3" s="176">
        <v>5.1652471014777701</v>
      </c>
      <c r="P3" s="189">
        <v>5.2529069260921979</v>
      </c>
      <c r="Q3" s="177">
        <v>5.175490589482723</v>
      </c>
    </row>
    <row r="4" spans="1:17">
      <c r="A4" s="178">
        <f>A3+1</f>
        <v>1997</v>
      </c>
      <c r="B4" s="175">
        <v>0.21275362758618852</v>
      </c>
      <c r="C4" s="189">
        <v>-0.3577582931626867</v>
      </c>
      <c r="D4" s="189">
        <v>1.1047009794468841</v>
      </c>
      <c r="E4" s="176">
        <v>2.9974216511283585</v>
      </c>
      <c r="F4" s="189">
        <v>2.6509811171693163</v>
      </c>
      <c r="G4" s="189">
        <v>3.4431570966822234</v>
      </c>
      <c r="H4" s="189">
        <v>5.7190779192565628</v>
      </c>
      <c r="I4" s="176">
        <v>1.5145199579551749</v>
      </c>
      <c r="J4" s="189">
        <v>0.55422679345200143</v>
      </c>
      <c r="K4" s="189">
        <v>5.5598837816904023</v>
      </c>
      <c r="L4" s="189">
        <v>4.2397690664207577</v>
      </c>
      <c r="M4" s="189">
        <v>-0.10203571415376578</v>
      </c>
      <c r="N4" s="189">
        <v>-2.419891015264688</v>
      </c>
      <c r="O4" s="176">
        <v>1.8406538219796784</v>
      </c>
      <c r="P4" s="189">
        <v>2.759255025684257</v>
      </c>
      <c r="Q4" s="177">
        <v>1.9480759691223581</v>
      </c>
    </row>
    <row r="5" spans="1:17">
      <c r="A5" s="178">
        <f t="shared" ref="A5:A16" si="0">A4+1</f>
        <v>1998</v>
      </c>
      <c r="B5" s="175">
        <v>1.8089305926057522E-2</v>
      </c>
      <c r="C5" s="189">
        <v>0.90679689008445941</v>
      </c>
      <c r="D5" s="189">
        <v>-1.351232499277359</v>
      </c>
      <c r="E5" s="176">
        <v>-1.9763677256198697</v>
      </c>
      <c r="F5" s="189">
        <v>-0.45016265487669321</v>
      </c>
      <c r="G5" s="189">
        <v>-6.1115588922262223</v>
      </c>
      <c r="H5" s="189">
        <v>-11.254456509814501</v>
      </c>
      <c r="I5" s="176">
        <v>2.7470317028769098</v>
      </c>
      <c r="J5" s="189">
        <v>0.88094178663700917</v>
      </c>
      <c r="K5" s="189">
        <v>4.5286472045194284</v>
      </c>
      <c r="L5" s="189">
        <v>2.4268725064224799</v>
      </c>
      <c r="M5" s="189">
        <v>6.2204660235137315</v>
      </c>
      <c r="N5" s="189">
        <v>1.9185776304905107</v>
      </c>
      <c r="O5" s="176">
        <v>1.0643415175973707</v>
      </c>
      <c r="P5" s="189">
        <v>-0.56017125576327509</v>
      </c>
      <c r="Q5" s="177">
        <v>0.87285779483851178</v>
      </c>
    </row>
    <row r="6" spans="1:17">
      <c r="A6" s="178">
        <f t="shared" si="0"/>
        <v>1999</v>
      </c>
      <c r="B6" s="175">
        <v>-12.301400422253449</v>
      </c>
      <c r="C6" s="189">
        <v>-2.6298178119234397</v>
      </c>
      <c r="D6" s="189">
        <v>-27.54448783377434</v>
      </c>
      <c r="E6" s="176">
        <v>0.86303659176368785</v>
      </c>
      <c r="F6" s="189">
        <v>1.6032162029260777</v>
      </c>
      <c r="G6" s="189">
        <v>5.8738189568442158E-2</v>
      </c>
      <c r="H6" s="189">
        <v>-5.6966269183352605</v>
      </c>
      <c r="I6" s="176">
        <v>3.205049508043869</v>
      </c>
      <c r="J6" s="189">
        <v>7.153438110640173</v>
      </c>
      <c r="K6" s="189">
        <v>3.5515228165262891</v>
      </c>
      <c r="L6" s="189">
        <v>6.0813331708891418</v>
      </c>
      <c r="M6" s="189">
        <v>3.6957968062409501</v>
      </c>
      <c r="N6" s="189">
        <v>-3.4818138516285417</v>
      </c>
      <c r="O6" s="176">
        <v>1.1269369893373067</v>
      </c>
      <c r="P6" s="189">
        <v>-1.9620211950230222</v>
      </c>
      <c r="Q6" s="177">
        <v>0.76800943160552615</v>
      </c>
    </row>
    <row r="7" spans="1:17">
      <c r="A7" s="178">
        <f t="shared" si="0"/>
        <v>2000</v>
      </c>
      <c r="B7" s="175">
        <v>1.7227066681637493</v>
      </c>
      <c r="C7" s="189">
        <v>3.7541218973935253</v>
      </c>
      <c r="D7" s="189">
        <v>-2.5798703215106769</v>
      </c>
      <c r="E7" s="176">
        <v>7.9829223019315849</v>
      </c>
      <c r="F7" s="189">
        <v>8.5899492696371755</v>
      </c>
      <c r="G7" s="189">
        <v>5.8676268172194277</v>
      </c>
      <c r="H7" s="189">
        <v>3.941044202206661</v>
      </c>
      <c r="I7" s="176">
        <v>3.6950185386219956</v>
      </c>
      <c r="J7" s="189">
        <v>8.2442430596969913</v>
      </c>
      <c r="K7" s="189">
        <v>6.4544516753365295</v>
      </c>
      <c r="L7" s="189">
        <v>1.1933287562376913</v>
      </c>
      <c r="M7" s="189">
        <v>4.7073160157575709</v>
      </c>
      <c r="N7" s="189">
        <v>-0.29083884431686502</v>
      </c>
      <c r="O7" s="176">
        <v>4.6799296586110222</v>
      </c>
      <c r="P7" s="189">
        <v>2.5481394302657341</v>
      </c>
      <c r="Q7" s="177">
        <v>4.6799296586110222</v>
      </c>
    </row>
    <row r="8" spans="1:17">
      <c r="A8" s="178">
        <f t="shared" si="0"/>
        <v>2001</v>
      </c>
      <c r="B8" s="175">
        <v>-1.8158586540644353</v>
      </c>
      <c r="C8" s="189">
        <v>-0.35508425423581069</v>
      </c>
      <c r="D8" s="189">
        <v>-5.1109673962744733</v>
      </c>
      <c r="E8" s="176">
        <v>4.9791564011893703</v>
      </c>
      <c r="F8" s="189">
        <v>2.9761256863385848</v>
      </c>
      <c r="G8" s="189">
        <v>-0.15546150218985691</v>
      </c>
      <c r="H8" s="189">
        <v>34.108681314950161</v>
      </c>
      <c r="I8" s="176">
        <v>4.4785613796745904</v>
      </c>
      <c r="J8" s="189">
        <v>7.8119454402685991</v>
      </c>
      <c r="K8" s="189">
        <v>4.3137983896882419</v>
      </c>
      <c r="L8" s="189">
        <v>5.7000743655677866</v>
      </c>
      <c r="M8" s="189">
        <v>2.3313694955157054</v>
      </c>
      <c r="N8" s="189">
        <v>0.93167194546765941</v>
      </c>
      <c r="O8" s="176">
        <v>4.232601503084334</v>
      </c>
      <c r="P8" s="189">
        <v>6.2281326850870817</v>
      </c>
      <c r="Q8" s="177">
        <v>4.4541099648747133</v>
      </c>
    </row>
    <row r="9" spans="1:17">
      <c r="A9" s="178">
        <f t="shared" si="0"/>
        <v>2002</v>
      </c>
      <c r="B9" s="175">
        <v>0.10661873370909471</v>
      </c>
      <c r="C9" s="189">
        <v>4.6535995212617367</v>
      </c>
      <c r="D9" s="189">
        <v>-10.664217301363346</v>
      </c>
      <c r="E9" s="176">
        <v>1.0269937440988337</v>
      </c>
      <c r="F9" s="189">
        <v>2.6356048186201808</v>
      </c>
      <c r="G9" s="189">
        <v>9.7037840654843333</v>
      </c>
      <c r="H9" s="189">
        <v>-21.006937512957489</v>
      </c>
      <c r="I9" s="176">
        <v>4.0041102129596284</v>
      </c>
      <c r="J9" s="189">
        <v>2.4495687567601099</v>
      </c>
      <c r="K9" s="189">
        <v>9.3551417802024215</v>
      </c>
      <c r="L9" s="189">
        <v>5.0548030717983794</v>
      </c>
      <c r="M9" s="189">
        <v>2.411459265991736</v>
      </c>
      <c r="N9" s="189">
        <v>0.41607279782576079</v>
      </c>
      <c r="O9" s="176">
        <v>2.8635373900991805</v>
      </c>
      <c r="P9" s="189">
        <v>-0.46973395138075258</v>
      </c>
      <c r="Q9" s="177">
        <v>2.4874919405530238</v>
      </c>
    </row>
    <row r="10" spans="1:17">
      <c r="A10" s="178">
        <f t="shared" si="0"/>
        <v>2003</v>
      </c>
      <c r="B10" s="175">
        <v>5.3662048379077429</v>
      </c>
      <c r="C10" s="189">
        <v>5.1810405632529344</v>
      </c>
      <c r="D10" s="189">
        <v>5.8719380036837112</v>
      </c>
      <c r="E10" s="176">
        <v>-1.4938695307479761</v>
      </c>
      <c r="F10" s="189">
        <v>-0.91605471872023903</v>
      </c>
      <c r="G10" s="189">
        <v>-11.509926472880784</v>
      </c>
      <c r="H10" s="189">
        <v>4.7497428617470439</v>
      </c>
      <c r="I10" s="176">
        <v>4.6851053389306321</v>
      </c>
      <c r="J10" s="189">
        <v>3.4685181819147157</v>
      </c>
      <c r="K10" s="189">
        <v>6.9910452895022734</v>
      </c>
      <c r="L10" s="189">
        <v>5.5895925346991957</v>
      </c>
      <c r="M10" s="189">
        <v>5.5714173598928376</v>
      </c>
      <c r="N10" s="189">
        <v>2.1974951064812722</v>
      </c>
      <c r="O10" s="176">
        <v>2.8779538583667152</v>
      </c>
      <c r="P10" s="189">
        <v>1.6514798963572088</v>
      </c>
      <c r="Q10" s="177">
        <v>2.7432639906487406</v>
      </c>
    </row>
    <row r="11" spans="1:17">
      <c r="A11" s="178">
        <f t="shared" si="0"/>
        <v>2004</v>
      </c>
      <c r="B11" s="175">
        <v>0.75567788508223666</v>
      </c>
      <c r="C11" s="189">
        <v>0.30146776810064102</v>
      </c>
      <c r="D11" s="189">
        <v>2.0029645322294729</v>
      </c>
      <c r="E11" s="176">
        <v>5.2864306206426095</v>
      </c>
      <c r="F11" s="189">
        <v>4.7001760233957999</v>
      </c>
      <c r="G11" s="189">
        <v>7.3184307014032184</v>
      </c>
      <c r="H11" s="189">
        <v>9.3854882281274872</v>
      </c>
      <c r="I11" s="176">
        <v>4.5034154413494942</v>
      </c>
      <c r="J11" s="189">
        <v>5.436724967095766</v>
      </c>
      <c r="K11" s="189">
        <v>4.4789047295174713</v>
      </c>
      <c r="L11" s="189">
        <v>7.2250771810823515</v>
      </c>
      <c r="M11" s="189">
        <v>1.7682853612014979</v>
      </c>
      <c r="N11" s="189">
        <v>1.3494582078885304</v>
      </c>
      <c r="O11" s="176">
        <v>4.4630634375444576</v>
      </c>
      <c r="P11" s="189">
        <v>4.7734817746311</v>
      </c>
      <c r="Q11" s="177">
        <v>4.4967464894428772</v>
      </c>
    </row>
    <row r="12" spans="1:17">
      <c r="A12" s="178">
        <f t="shared" si="0"/>
        <v>2005</v>
      </c>
      <c r="B12" s="175">
        <v>-5.9574073835498673</v>
      </c>
      <c r="C12" s="189">
        <v>-5.8366160720212283</v>
      </c>
      <c r="D12" s="189">
        <v>-6.257482883260959</v>
      </c>
      <c r="E12" s="176">
        <v>6.7971079153581915</v>
      </c>
      <c r="F12" s="189">
        <v>6.1687914449954455</v>
      </c>
      <c r="G12" s="189">
        <v>6.5109752045458391</v>
      </c>
      <c r="H12" s="189">
        <v>13.557312528495702</v>
      </c>
      <c r="I12" s="176">
        <v>6.7740470832468134</v>
      </c>
      <c r="J12" s="189">
        <v>6.467755570474333</v>
      </c>
      <c r="K12" s="189">
        <v>5.9155791352759435</v>
      </c>
      <c r="L12" s="189">
        <v>10.575790858750496</v>
      </c>
      <c r="M12" s="189">
        <v>3.3769873624156377</v>
      </c>
      <c r="N12" s="189">
        <v>4.5039283876418814</v>
      </c>
      <c r="O12" s="176">
        <v>5.9113280445307756</v>
      </c>
      <c r="P12" s="189">
        <v>4.515040792438942</v>
      </c>
      <c r="Q12" s="177">
        <v>5.7593018540806664</v>
      </c>
    </row>
    <row r="13" spans="1:17">
      <c r="A13" s="178">
        <f t="shared" si="0"/>
        <v>2006</v>
      </c>
      <c r="B13" s="175">
        <v>-0.50635611208716658</v>
      </c>
      <c r="C13" s="189">
        <v>0.5295114378516087</v>
      </c>
      <c r="D13" s="189">
        <v>-3.3422109236834716</v>
      </c>
      <c r="E13" s="176">
        <v>5.9365850043237858</v>
      </c>
      <c r="F13" s="189">
        <v>6.036168576729219</v>
      </c>
      <c r="G13" s="189">
        <v>3.3018254086246044</v>
      </c>
      <c r="H13" s="189">
        <v>7.5978260116048659</v>
      </c>
      <c r="I13" s="176">
        <v>5.7542002180562237</v>
      </c>
      <c r="J13" s="189">
        <v>6.4027775150125237</v>
      </c>
      <c r="K13" s="189">
        <v>5.2002254287003886</v>
      </c>
      <c r="L13" s="189">
        <v>7.6947753159013086</v>
      </c>
      <c r="M13" s="189">
        <v>5.3055692510047248</v>
      </c>
      <c r="N13" s="189">
        <v>2.9800543201634762</v>
      </c>
      <c r="O13" s="176">
        <v>5.4278525455709392</v>
      </c>
      <c r="P13" s="189">
        <v>6.4079118011499832</v>
      </c>
      <c r="Q13" s="177">
        <v>5.5333278654310973</v>
      </c>
    </row>
    <row r="14" spans="1:17">
      <c r="A14" s="178">
        <f t="shared" si="0"/>
        <v>2007</v>
      </c>
      <c r="B14" s="175">
        <v>3.6647028392462868</v>
      </c>
      <c r="C14" s="189">
        <v>4.0860734635827018</v>
      </c>
      <c r="D14" s="189">
        <v>2.492336595723593</v>
      </c>
      <c r="E14" s="176">
        <v>5.9345847172376498</v>
      </c>
      <c r="F14" s="189">
        <v>5.2996246307200439</v>
      </c>
      <c r="G14" s="189">
        <v>3.3333848851099455</v>
      </c>
      <c r="H14" s="189">
        <v>14.424716897190359</v>
      </c>
      <c r="I14" s="176">
        <v>6.2681907143523734</v>
      </c>
      <c r="J14" s="189">
        <v>5.5921563971629666</v>
      </c>
      <c r="K14" s="189">
        <v>7.1322797925044883</v>
      </c>
      <c r="L14" s="189">
        <v>7.7600516477831105</v>
      </c>
      <c r="M14" s="189">
        <v>5.5076826940719625</v>
      </c>
      <c r="N14" s="189">
        <v>4.0691697388377337</v>
      </c>
      <c r="O14" s="176">
        <v>6.0213236528969771</v>
      </c>
      <c r="P14" s="189">
        <v>4.8528676076738195</v>
      </c>
      <c r="Q14" s="177">
        <v>5.8948084570002708</v>
      </c>
    </row>
    <row r="15" spans="1:17">
      <c r="A15" s="178">
        <f t="shared" si="0"/>
        <v>2008</v>
      </c>
      <c r="B15" s="175">
        <v>9.1361298427343591</v>
      </c>
      <c r="C15" s="189">
        <v>14.542220760037633</v>
      </c>
      <c r="D15" s="189">
        <v>-6.5363134879644038</v>
      </c>
      <c r="E15" s="176">
        <v>2.687272694892648</v>
      </c>
      <c r="F15" s="189">
        <v>2.5596069215934913</v>
      </c>
      <c r="G15" s="189">
        <v>-4.0239550888765931</v>
      </c>
      <c r="H15" s="189">
        <v>8.5556573784848684</v>
      </c>
      <c r="I15" s="176">
        <v>4.3522368737448147</v>
      </c>
      <c r="J15" s="189">
        <v>1.0583020032393908</v>
      </c>
      <c r="K15" s="189">
        <v>4.18879282917261</v>
      </c>
      <c r="L15" s="189">
        <v>7.3847387311771424</v>
      </c>
      <c r="M15" s="189">
        <v>3.7697570928601003</v>
      </c>
      <c r="N15" s="189">
        <v>4.9247090623668122</v>
      </c>
      <c r="O15" s="176">
        <v>4.1317427446187338</v>
      </c>
      <c r="P15" s="189">
        <v>2.6315268504046929</v>
      </c>
      <c r="Q15" s="177">
        <v>3.9731293461308819</v>
      </c>
    </row>
    <row r="16" spans="1:17">
      <c r="A16" s="178">
        <f t="shared" si="0"/>
        <v>2009</v>
      </c>
      <c r="B16" s="175">
        <v>-1.8424699641277273</v>
      </c>
      <c r="C16" s="351">
        <v>-2.8799951416067211</v>
      </c>
      <c r="D16" s="351">
        <v>-6.3954457596395118</v>
      </c>
      <c r="E16" s="176">
        <v>-8.3894488920458841</v>
      </c>
      <c r="F16" s="351">
        <v>-9.9543463069773903</v>
      </c>
      <c r="G16" s="351">
        <v>-3.9174595548279525</v>
      </c>
      <c r="H16" s="351">
        <v>8.3931078425761161</v>
      </c>
      <c r="I16" s="176">
        <v>1.3057585421395359</v>
      </c>
      <c r="J16" s="351">
        <v>6.3531302635537995E-2</v>
      </c>
      <c r="K16" s="351">
        <v>1.5923054248031046</v>
      </c>
      <c r="L16" s="351">
        <v>1.6209403006868479</v>
      </c>
      <c r="M16" s="351">
        <v>-2.2682734021946482E-2</v>
      </c>
      <c r="N16" s="351">
        <v>3.8975244164054477</v>
      </c>
      <c r="O16" s="176">
        <v>-1.6819698066760109</v>
      </c>
      <c r="P16" s="351">
        <v>-2.7842296849027819</v>
      </c>
      <c r="Q16" s="177">
        <v>-1.781471351225947</v>
      </c>
    </row>
    <row r="17" spans="1:17">
      <c r="A17" s="178">
        <v>2010</v>
      </c>
      <c r="B17" s="175">
        <v>1.928555932876326</v>
      </c>
      <c r="C17" s="351">
        <v>2.3561205061513402</v>
      </c>
      <c r="D17" s="351">
        <v>9.4190030483959752</v>
      </c>
      <c r="E17" s="176">
        <v>5.9145179254686644</v>
      </c>
      <c r="F17" s="351">
        <v>6.0837594194649842</v>
      </c>
      <c r="G17" s="351">
        <v>1.1912040995581175</v>
      </c>
      <c r="H17" s="351">
        <v>1.6492341187670074</v>
      </c>
      <c r="I17" s="176">
        <v>3.272210809599045</v>
      </c>
      <c r="J17" s="351">
        <v>4.1695925907504501</v>
      </c>
      <c r="K17" s="351">
        <v>2.6750308403047143</v>
      </c>
      <c r="L17" s="351">
        <v>2.4452309646419557</v>
      </c>
      <c r="M17" s="351">
        <v>0.66604117936195084</v>
      </c>
      <c r="N17" s="351">
        <v>3.590002353916137</v>
      </c>
      <c r="O17" s="176">
        <v>3.9053853946402386</v>
      </c>
      <c r="P17" s="351">
        <v>5.112079499669929</v>
      </c>
      <c r="Q17" s="177">
        <v>4.0111945616728821</v>
      </c>
    </row>
    <row r="18" spans="1:17">
      <c r="A18" s="178">
        <v>2011</v>
      </c>
      <c r="B18" s="175">
        <v>0.49440363995346853</v>
      </c>
      <c r="C18" s="351">
        <v>1.0426824996273878</v>
      </c>
      <c r="D18" s="351">
        <v>-1.3813072964211506</v>
      </c>
      <c r="E18" s="176">
        <v>2.7934196697021081</v>
      </c>
      <c r="F18" s="351">
        <v>3.2768041468602385</v>
      </c>
      <c r="G18" s="351">
        <v>1.1951674328474109</v>
      </c>
      <c r="H18" s="351">
        <v>0.41834048042517591</v>
      </c>
      <c r="I18" s="176">
        <v>4.1573386689550826</v>
      </c>
      <c r="J18" s="351">
        <v>5.0860616415897564</v>
      </c>
      <c r="K18" s="351">
        <v>2.9019164395214703</v>
      </c>
      <c r="L18" s="351">
        <v>4.8132820447818787</v>
      </c>
      <c r="M18" s="351">
        <v>2.5547119095466639</v>
      </c>
      <c r="N18" s="351">
        <v>4.1947895632822823</v>
      </c>
      <c r="O18" s="176">
        <v>3.5724346657527795</v>
      </c>
      <c r="P18" s="351">
        <v>3.4452675342734809</v>
      </c>
      <c r="Q18" s="177">
        <v>3.5589624319056061</v>
      </c>
    </row>
    <row r="19" spans="1:17">
      <c r="A19" s="178">
        <v>2012</v>
      </c>
      <c r="B19" s="175">
        <v>2.3917533896266869</v>
      </c>
      <c r="C19" s="351">
        <v>2.5222650964121804</v>
      </c>
      <c r="D19" s="351">
        <v>1.9342866696991108</v>
      </c>
      <c r="E19" s="176">
        <v>1.7605599259382085</v>
      </c>
      <c r="F19" s="351">
        <v>2.1242757927267482</v>
      </c>
      <c r="G19" s="351">
        <v>-3.3031718719698002</v>
      </c>
      <c r="H19" s="351">
        <v>2.5206935625257496</v>
      </c>
      <c r="I19" s="176">
        <v>3.0508918256614113</v>
      </c>
      <c r="J19" s="351">
        <v>3.7381161108823671</v>
      </c>
      <c r="K19" s="351">
        <v>2.5631789056679177</v>
      </c>
      <c r="L19" s="351">
        <v>3.3433570285832568</v>
      </c>
      <c r="M19" s="351">
        <v>2.2575201417636266</v>
      </c>
      <c r="N19" s="351">
        <v>2.6974343637254323</v>
      </c>
      <c r="O19" s="176">
        <v>2.6624916427019754</v>
      </c>
      <c r="P19" s="351">
        <v>4.0207593256717695</v>
      </c>
      <c r="Q19" s="177">
        <v>2.8062301206934368</v>
      </c>
    </row>
    <row r="20" spans="1:17">
      <c r="A20" s="178">
        <v>2013</v>
      </c>
      <c r="B20" s="175">
        <v>2.9899081775716629</v>
      </c>
      <c r="C20" s="351">
        <v>3.4274041478283586</v>
      </c>
      <c r="D20" s="351">
        <v>1.4475615159219939</v>
      </c>
      <c r="E20" s="176">
        <v>0.89089645608922385</v>
      </c>
      <c r="F20" s="351">
        <v>0.74625617331509708</v>
      </c>
      <c r="G20" s="351">
        <v>-0.70049305668010831</v>
      </c>
      <c r="H20" s="351">
        <v>2.9647373067400324</v>
      </c>
      <c r="I20" s="176">
        <v>2.1873694084255932</v>
      </c>
      <c r="J20" s="351">
        <v>2.8308062428081819</v>
      </c>
      <c r="K20" s="351">
        <v>1.7156017825355701</v>
      </c>
      <c r="L20" s="351">
        <v>2.4952662435787505</v>
      </c>
      <c r="M20" s="351">
        <v>1.9919065978230448</v>
      </c>
      <c r="N20" s="351">
        <v>1.545640534648169</v>
      </c>
      <c r="O20" s="176">
        <v>1.881730358109486</v>
      </c>
      <c r="P20" s="351">
        <v>0.55289001372347713</v>
      </c>
      <c r="Q20" s="177">
        <v>1.7394447202940613</v>
      </c>
    </row>
    <row r="21" spans="1:17" ht="39" thickBot="1">
      <c r="A21" s="190" t="s">
        <v>19</v>
      </c>
      <c r="B21" s="191">
        <f t="shared" ref="B21:Q21" si="1">AVERAGE(B3:B20)</f>
        <v>1.7050661759193497</v>
      </c>
      <c r="C21" s="257">
        <f t="shared" si="1"/>
        <v>2.6431901466571506</v>
      </c>
      <c r="D21" s="257">
        <f t="shared" si="1"/>
        <v>-0.42220083410687553</v>
      </c>
      <c r="E21" s="192">
        <f t="shared" si="1"/>
        <v>2.5697024440299057</v>
      </c>
      <c r="F21" s="257">
        <f t="shared" si="1"/>
        <v>2.5488201696644071</v>
      </c>
      <c r="G21" s="257">
        <f t="shared" si="1"/>
        <v>1.2931292826865086</v>
      </c>
      <c r="H21" s="257">
        <f t="shared" si="1"/>
        <v>4.3498423130884829</v>
      </c>
      <c r="I21" s="192">
        <f t="shared" si="1"/>
        <v>3.8974584252754898</v>
      </c>
      <c r="J21" s="257">
        <f t="shared" si="1"/>
        <v>4.0919848324040791</v>
      </c>
      <c r="K21" s="257">
        <f t="shared" si="1"/>
        <v>4.6436390426908405</v>
      </c>
      <c r="L21" s="257">
        <f t="shared" si="1"/>
        <v>5.1383180876191643</v>
      </c>
      <c r="M21" s="257">
        <f t="shared" si="1"/>
        <v>3.0339413208597676</v>
      </c>
      <c r="N21" s="257">
        <f t="shared" si="1"/>
        <v>2.0449262166216329</v>
      </c>
      <c r="O21" s="192">
        <f t="shared" si="1"/>
        <v>3.3414769177913186</v>
      </c>
      <c r="P21" s="257">
        <f t="shared" si="1"/>
        <v>2.7208657264474359</v>
      </c>
      <c r="Q21" s="193">
        <f t="shared" si="1"/>
        <v>3.284494657509025</v>
      </c>
    </row>
  </sheetData>
  <mergeCells count="1">
    <mergeCell ref="A1:Q1"/>
  </mergeCells>
  <phoneticPr fontId="8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Q75"/>
  <sheetViews>
    <sheetView workbookViewId="0">
      <selection sqref="A1:Q1"/>
    </sheetView>
  </sheetViews>
  <sheetFormatPr defaultRowHeight="12.75"/>
  <cols>
    <col min="1" max="1" width="13" customWidth="1"/>
    <col min="2" max="2" width="11.375" customWidth="1"/>
    <col min="3" max="3" width="9.75" customWidth="1"/>
    <col min="4" max="4" width="9.875" customWidth="1"/>
    <col min="5" max="5" width="11.25" customWidth="1"/>
    <col min="6" max="6" width="12.75" customWidth="1"/>
    <col min="8" max="8" width="13" customWidth="1"/>
    <col min="9" max="9" width="10.5" customWidth="1"/>
    <col min="10" max="10" width="10.25" customWidth="1"/>
    <col min="11" max="12" width="13.75" customWidth="1"/>
    <col min="14" max="14" width="12.125" customWidth="1"/>
    <col min="15" max="15" width="11.5" customWidth="1"/>
    <col min="16" max="16" width="11.125" customWidth="1"/>
    <col min="17" max="17" width="10.5" customWidth="1"/>
  </cols>
  <sheetData>
    <row r="1" spans="1:17" ht="56.25" customHeight="1" thickBot="1">
      <c r="A1" s="409" t="s">
        <v>202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1"/>
      <c r="O1" s="411"/>
      <c r="P1" s="411"/>
      <c r="Q1" s="412"/>
    </row>
    <row r="2" spans="1:17" ht="77.25" thickBot="1">
      <c r="A2" s="174"/>
      <c r="B2" s="197" t="s">
        <v>0</v>
      </c>
      <c r="C2" s="198" t="s">
        <v>1</v>
      </c>
      <c r="D2" s="198" t="s">
        <v>2</v>
      </c>
      <c r="E2" s="197" t="s">
        <v>3</v>
      </c>
      <c r="F2" s="198" t="s">
        <v>4</v>
      </c>
      <c r="G2" s="198" t="s">
        <v>5</v>
      </c>
      <c r="H2" s="198" t="s">
        <v>6</v>
      </c>
      <c r="I2" s="197" t="s">
        <v>7</v>
      </c>
      <c r="J2" s="198" t="s">
        <v>8</v>
      </c>
      <c r="K2" s="198" t="s">
        <v>9</v>
      </c>
      <c r="L2" s="198" t="s">
        <v>10</v>
      </c>
      <c r="M2" s="198" t="s">
        <v>11</v>
      </c>
      <c r="N2" s="198" t="s">
        <v>12</v>
      </c>
      <c r="O2" s="197" t="s">
        <v>13</v>
      </c>
      <c r="P2" s="198" t="s">
        <v>14</v>
      </c>
      <c r="Q2" s="199" t="s">
        <v>15</v>
      </c>
    </row>
    <row r="3" spans="1:17" hidden="1">
      <c r="A3" s="178" t="s">
        <v>284</v>
      </c>
      <c r="B3" s="175">
        <v>1.6810536209994911</v>
      </c>
      <c r="C3" s="189">
        <v>-15.24009696826325</v>
      </c>
      <c r="D3" s="189">
        <v>38.746645020284532</v>
      </c>
      <c r="E3" s="176">
        <v>2.1738484148827002</v>
      </c>
      <c r="F3" s="189">
        <v>2.6338516659577529</v>
      </c>
      <c r="G3" s="189">
        <v>2.5721150832951438</v>
      </c>
      <c r="H3" s="189">
        <v>-2.3155435350606122</v>
      </c>
      <c r="I3" s="176">
        <v>4.3505650452309652</v>
      </c>
      <c r="J3" s="189">
        <v>4.0136291623092708</v>
      </c>
      <c r="K3" s="189">
        <v>6.4226933786107026</v>
      </c>
      <c r="L3" s="189">
        <v>4.1772510384525567</v>
      </c>
      <c r="M3" s="189">
        <v>5.8180109172862187</v>
      </c>
      <c r="N3" s="189">
        <v>2.8636187889412237</v>
      </c>
      <c r="O3" s="176">
        <v>3.4472757983049274</v>
      </c>
      <c r="P3" s="189">
        <v>2.6369933732011401</v>
      </c>
      <c r="Q3" s="177">
        <v>3.3527316793841986</v>
      </c>
    </row>
    <row r="4" spans="1:17" hidden="1">
      <c r="A4" s="178" t="s">
        <v>289</v>
      </c>
      <c r="B4" s="175">
        <v>24.113371788301436</v>
      </c>
      <c r="C4" s="189">
        <v>16.323205778134479</v>
      </c>
      <c r="D4" s="189">
        <v>38.736056867754527</v>
      </c>
      <c r="E4" s="176">
        <v>1.395423153673031</v>
      </c>
      <c r="F4" s="189">
        <v>1.1091427408161472</v>
      </c>
      <c r="G4" s="189">
        <v>6.8311995803866834</v>
      </c>
      <c r="H4" s="189">
        <v>-1.3968746275614372</v>
      </c>
      <c r="I4" s="176">
        <v>4.1108148235360602</v>
      </c>
      <c r="J4" s="189">
        <v>2.685497862181867</v>
      </c>
      <c r="K4" s="189">
        <v>5.0032108411928871</v>
      </c>
      <c r="L4" s="189">
        <v>5.9920540567566487</v>
      </c>
      <c r="M4" s="189">
        <v>2.4675980816256611</v>
      </c>
      <c r="N4" s="189">
        <v>3.5813614989191209</v>
      </c>
      <c r="O4" s="176">
        <v>4.8290452121563581</v>
      </c>
      <c r="P4" s="189">
        <v>5.6826642465108526</v>
      </c>
      <c r="Q4" s="177">
        <v>4.9285732684224133</v>
      </c>
    </row>
    <row r="5" spans="1:17" hidden="1">
      <c r="A5" s="178" t="s">
        <v>290</v>
      </c>
      <c r="B5" s="175">
        <v>37.341781011913483</v>
      </c>
      <c r="C5" s="189">
        <v>36.231203102792968</v>
      </c>
      <c r="D5" s="189">
        <v>39.231146501603249</v>
      </c>
      <c r="E5" s="176">
        <v>1.8336047966829496</v>
      </c>
      <c r="F5" s="189">
        <v>0.89480796285481157</v>
      </c>
      <c r="G5" s="189">
        <v>13.964142654239703</v>
      </c>
      <c r="H5" s="189">
        <v>-1.5289420483019143</v>
      </c>
      <c r="I5" s="176">
        <v>4.0770024132199847</v>
      </c>
      <c r="J5" s="189">
        <v>1.4196205024547073</v>
      </c>
      <c r="K5" s="189">
        <v>4.0650422339725027</v>
      </c>
      <c r="L5" s="189">
        <v>7.6378897026715906</v>
      </c>
      <c r="M5" s="189">
        <v>1.077962936672114</v>
      </c>
      <c r="N5" s="189">
        <v>4.1518091517919675</v>
      </c>
      <c r="O5" s="176">
        <v>5.8002449016349633</v>
      </c>
      <c r="P5" s="189">
        <v>5.9027458997403501</v>
      </c>
      <c r="Q5" s="177">
        <v>5.8122410935260094</v>
      </c>
    </row>
    <row r="6" spans="1:17" hidden="1">
      <c r="A6" s="178" t="s">
        <v>291</v>
      </c>
      <c r="B6" s="175">
        <v>38.73385065423858</v>
      </c>
      <c r="C6" s="189">
        <v>37.721669379215093</v>
      </c>
      <c r="D6" s="189">
        <v>40.467724261560257</v>
      </c>
      <c r="E6" s="176">
        <v>3.6527069028592161</v>
      </c>
      <c r="F6" s="189">
        <v>2.3716946484584538</v>
      </c>
      <c r="G6" s="189">
        <v>21.133198569721223</v>
      </c>
      <c r="H6" s="189">
        <v>-1.683148344763723</v>
      </c>
      <c r="I6" s="176">
        <v>4.2603695367931422</v>
      </c>
      <c r="J6" s="189">
        <v>0.96694213184586664</v>
      </c>
      <c r="K6" s="189">
        <v>2.5300567073849209</v>
      </c>
      <c r="L6" s="189">
        <v>9.5149679572817938</v>
      </c>
      <c r="M6" s="189">
        <v>1.1187966383924379</v>
      </c>
      <c r="N6" s="189">
        <v>4.5396585519151111</v>
      </c>
      <c r="O6" s="176">
        <v>6.5689202502785431</v>
      </c>
      <c r="P6" s="189">
        <v>6.7639126830686651</v>
      </c>
      <c r="Q6" s="177">
        <v>6.5917549921072141</v>
      </c>
    </row>
    <row r="7" spans="1:17" hidden="1">
      <c r="A7" s="178" t="s">
        <v>292</v>
      </c>
      <c r="B7" s="175">
        <v>8.4077422063460521</v>
      </c>
      <c r="C7" s="189">
        <v>15.524432056550017</v>
      </c>
      <c r="D7" s="189">
        <v>-1.1155485411398409</v>
      </c>
      <c r="E7" s="176">
        <v>3.0350313716365966</v>
      </c>
      <c r="F7" s="189">
        <v>1.6911079731994767</v>
      </c>
      <c r="G7" s="189">
        <v>12.953736651598152</v>
      </c>
      <c r="H7" s="189">
        <v>5.3096898400560857</v>
      </c>
      <c r="I7" s="176">
        <v>2.6473443297695751</v>
      </c>
      <c r="J7" s="189">
        <v>3.0153909422570084</v>
      </c>
      <c r="K7" s="189">
        <v>4.1697344131497829</v>
      </c>
      <c r="L7" s="189">
        <v>7.2826547489898141</v>
      </c>
      <c r="M7" s="189">
        <v>-1.8231322919902122</v>
      </c>
      <c r="N7" s="189">
        <v>-1.202626296054967</v>
      </c>
      <c r="O7" s="176">
        <v>3.2620086734431841</v>
      </c>
      <c r="P7" s="189">
        <v>5.5646964030254038</v>
      </c>
      <c r="Q7" s="177">
        <v>3.5288266633321097</v>
      </c>
    </row>
    <row r="8" spans="1:17" hidden="1">
      <c r="A8" s="178" t="s">
        <v>293</v>
      </c>
      <c r="B8" s="175">
        <v>0.49503604777323001</v>
      </c>
      <c r="C8" s="189">
        <v>-0.12582156057442728</v>
      </c>
      <c r="D8" s="189">
        <v>1.4721595009168054</v>
      </c>
      <c r="E8" s="176">
        <v>4.4411857226742288</v>
      </c>
      <c r="F8" s="189">
        <v>3.831086999216434</v>
      </c>
      <c r="G8" s="189">
        <v>8.6922054414295946</v>
      </c>
      <c r="H8" s="189">
        <v>5.5254693825987102</v>
      </c>
      <c r="I8" s="176">
        <v>2.0100647201592632</v>
      </c>
      <c r="J8" s="189">
        <v>1.7069189559284974</v>
      </c>
      <c r="K8" s="189">
        <v>4.9432222409855795</v>
      </c>
      <c r="L8" s="189">
        <v>5.3677570345373127</v>
      </c>
      <c r="M8" s="189">
        <v>-9.9578266641414722E-3</v>
      </c>
      <c r="N8" s="189">
        <v>-2.1156142919509793</v>
      </c>
      <c r="O8" s="176">
        <v>2.5997027224710085</v>
      </c>
      <c r="P8" s="189">
        <v>2.8326742288840223</v>
      </c>
      <c r="Q8" s="177">
        <v>2.6270613448710858</v>
      </c>
    </row>
    <row r="9" spans="1:17" hidden="1">
      <c r="A9" s="178" t="s">
        <v>294</v>
      </c>
      <c r="B9" s="175">
        <v>-2.9307154736889771</v>
      </c>
      <c r="C9" s="189">
        <v>-5.958152793098062</v>
      </c>
      <c r="D9" s="189">
        <v>2.1087247814922558</v>
      </c>
      <c r="E9" s="176">
        <v>3.0295977283241808</v>
      </c>
      <c r="F9" s="189">
        <v>3.0420426869268695</v>
      </c>
      <c r="G9" s="189">
        <v>0.44178766780612999</v>
      </c>
      <c r="H9" s="189">
        <v>5.8345994355076938</v>
      </c>
      <c r="I9" s="176">
        <v>1.202683358914729</v>
      </c>
      <c r="J9" s="189">
        <v>0.26192355797885158</v>
      </c>
      <c r="K9" s="189">
        <v>5.63510007524118</v>
      </c>
      <c r="L9" s="189">
        <v>3.2301139440960664</v>
      </c>
      <c r="M9" s="189">
        <v>0.92932300887911601</v>
      </c>
      <c r="N9" s="189">
        <v>-2.9027788869727256</v>
      </c>
      <c r="O9" s="176">
        <v>1.3590526138693164</v>
      </c>
      <c r="P9" s="189">
        <v>1.9231481072198626</v>
      </c>
      <c r="Q9" s="177">
        <v>1.4251279297345425</v>
      </c>
    </row>
    <row r="10" spans="1:17" hidden="1">
      <c r="A10" s="178" t="s">
        <v>295</v>
      </c>
      <c r="B10" s="175">
        <v>-4.1581844875718739</v>
      </c>
      <c r="C10" s="189">
        <v>-7.8120748070598323</v>
      </c>
      <c r="D10" s="189">
        <v>1.9785929900486481</v>
      </c>
      <c r="E10" s="176">
        <v>1.5167140835633826</v>
      </c>
      <c r="F10" s="189">
        <v>2.0476538334383623</v>
      </c>
      <c r="G10" s="189">
        <v>-6.6198956436506347</v>
      </c>
      <c r="H10" s="189">
        <v>6.1975595359396216</v>
      </c>
      <c r="I10" s="176">
        <v>0.24214084722301224</v>
      </c>
      <c r="J10" s="189">
        <v>-2.6871429029622513</v>
      </c>
      <c r="K10" s="189">
        <v>7.4305457255782263</v>
      </c>
      <c r="L10" s="189">
        <v>1.3120277921369705</v>
      </c>
      <c r="M10" s="189">
        <v>0.53656335953612511</v>
      </c>
      <c r="N10" s="189">
        <v>-3.4353375982666607</v>
      </c>
      <c r="O10" s="176">
        <v>0.20912305941773826</v>
      </c>
      <c r="P10" s="189">
        <v>0.85122186399748356</v>
      </c>
      <c r="Q10" s="177">
        <v>0.28443798965172684</v>
      </c>
    </row>
    <row r="11" spans="1:17" hidden="1">
      <c r="A11" s="178" t="s">
        <v>296</v>
      </c>
      <c r="B11" s="175">
        <v>1.8178226733009526</v>
      </c>
      <c r="C11" s="189">
        <v>2.1951160715534472</v>
      </c>
      <c r="D11" s="189">
        <v>1.2279829139364347</v>
      </c>
      <c r="E11" s="176">
        <v>3.0959916211550729E-2</v>
      </c>
      <c r="F11" s="189">
        <v>1.6447863069678732</v>
      </c>
      <c r="G11" s="189">
        <v>-5.8006401571799246</v>
      </c>
      <c r="H11" s="189">
        <v>-8.0534089949159711</v>
      </c>
      <c r="I11" s="176">
        <v>2.3761589457775489</v>
      </c>
      <c r="J11" s="189">
        <v>-1.2127399806832351</v>
      </c>
      <c r="K11" s="189">
        <v>7.3450960648329673</v>
      </c>
      <c r="L11" s="189">
        <v>1.6438879242184106</v>
      </c>
      <c r="M11" s="189">
        <v>3.7319282889539687</v>
      </c>
      <c r="N11" s="189">
        <v>2.0914449846546548</v>
      </c>
      <c r="O11" s="176">
        <v>1.6152701682819486</v>
      </c>
      <c r="P11" s="189">
        <v>0.71624951721651087</v>
      </c>
      <c r="Q11" s="177">
        <v>1.5090499620703772</v>
      </c>
    </row>
    <row r="12" spans="1:17" hidden="1">
      <c r="A12" s="178" t="s">
        <v>297</v>
      </c>
      <c r="B12" s="175">
        <v>-0.69891838959663555</v>
      </c>
      <c r="C12" s="189">
        <v>-0.52112923967120883</v>
      </c>
      <c r="D12" s="189">
        <v>-0.97432160099281384</v>
      </c>
      <c r="E12" s="176">
        <v>-1.969282869859863</v>
      </c>
      <c r="F12" s="189">
        <v>-0.29516366393212634</v>
      </c>
      <c r="G12" s="189">
        <v>-7.3076388528749163</v>
      </c>
      <c r="H12" s="189">
        <v>-11.2974863141825</v>
      </c>
      <c r="I12" s="176">
        <v>2.8643752127380262</v>
      </c>
      <c r="J12" s="189">
        <v>0.28663841990180755</v>
      </c>
      <c r="K12" s="189">
        <v>6.0270761020216712</v>
      </c>
      <c r="L12" s="189">
        <v>2.5219470449725745</v>
      </c>
      <c r="M12" s="189">
        <v>5.612943071228484</v>
      </c>
      <c r="N12" s="189">
        <v>1.9802868901215849</v>
      </c>
      <c r="O12" s="176">
        <v>1.0652965248076542</v>
      </c>
      <c r="P12" s="189">
        <v>-0.50508436808959378</v>
      </c>
      <c r="Q12" s="177">
        <v>0.88051197478987986</v>
      </c>
    </row>
    <row r="13" spans="1:17" hidden="1">
      <c r="A13" s="178" t="s">
        <v>298</v>
      </c>
      <c r="B13" s="175">
        <v>-1.3581312879735437</v>
      </c>
      <c r="C13" s="189">
        <v>-0.54302441251054945</v>
      </c>
      <c r="D13" s="189">
        <v>-2.6077571243309294</v>
      </c>
      <c r="E13" s="176">
        <v>-2.97034693962804</v>
      </c>
      <c r="F13" s="189">
        <v>-1.4158352222429942</v>
      </c>
      <c r="G13" s="189">
        <v>-6.7753460123941123</v>
      </c>
      <c r="H13" s="189">
        <v>-12.877312515250303</v>
      </c>
      <c r="I13" s="176">
        <v>2.7958840513239842</v>
      </c>
      <c r="J13" s="189">
        <v>1.2730978815884761</v>
      </c>
      <c r="K13" s="189">
        <v>3.1993070243544288</v>
      </c>
      <c r="L13" s="189">
        <v>2.9549893119993795</v>
      </c>
      <c r="M13" s="189">
        <v>7.1213464282969987</v>
      </c>
      <c r="N13" s="189">
        <v>1.8396491836216642</v>
      </c>
      <c r="O13" s="176">
        <v>0.66552398987549466</v>
      </c>
      <c r="P13" s="189">
        <v>-1.1547578808376018</v>
      </c>
      <c r="Q13" s="177">
        <v>0.45125835273158088</v>
      </c>
    </row>
    <row r="14" spans="1:17" hidden="1">
      <c r="A14" s="178" t="s">
        <v>299</v>
      </c>
      <c r="B14" s="175">
        <v>0.32670059406483631</v>
      </c>
      <c r="C14" s="189">
        <v>2.514232118754959</v>
      </c>
      <c r="D14" s="189">
        <v>-2.9945696495937333</v>
      </c>
      <c r="E14" s="176">
        <v>-2.9729070679198464</v>
      </c>
      <c r="F14" s="189">
        <v>-1.7025569862095407</v>
      </c>
      <c r="G14" s="189">
        <v>-4.504051017802067</v>
      </c>
      <c r="H14" s="189">
        <v>-12.714058867763034</v>
      </c>
      <c r="I14" s="176">
        <v>2.9481481261968372</v>
      </c>
      <c r="J14" s="189">
        <v>3.2515896356970253</v>
      </c>
      <c r="K14" s="189">
        <v>1.7591280937842531</v>
      </c>
      <c r="L14" s="189">
        <v>2.579728788582214</v>
      </c>
      <c r="M14" s="189">
        <v>8.3857556027853803</v>
      </c>
      <c r="N14" s="189">
        <v>1.7611371708242916</v>
      </c>
      <c r="O14" s="176">
        <v>0.91561596467702111</v>
      </c>
      <c r="P14" s="189">
        <v>-1.289465649766139</v>
      </c>
      <c r="Q14" s="177">
        <v>0.65550928559888477</v>
      </c>
    </row>
    <row r="15" spans="1:17" hidden="1">
      <c r="A15" s="178" t="s">
        <v>300</v>
      </c>
      <c r="B15" s="175">
        <v>-14.784698906620939</v>
      </c>
      <c r="C15" s="189">
        <v>-6.3373898266557482</v>
      </c>
      <c r="D15" s="189">
        <v>-28.116928397793995</v>
      </c>
      <c r="E15" s="176">
        <v>-1.8346801822838859</v>
      </c>
      <c r="F15" s="189">
        <v>-1.0986989435826171</v>
      </c>
      <c r="G15" s="189">
        <v>-3.0619469059432953</v>
      </c>
      <c r="H15" s="189">
        <v>-7.7840830786265931</v>
      </c>
      <c r="I15" s="176">
        <v>2.2425021211825324</v>
      </c>
      <c r="J15" s="189">
        <v>4.2131160203339251</v>
      </c>
      <c r="K15" s="189">
        <v>0.85957928668972094</v>
      </c>
      <c r="L15" s="189">
        <v>5.9623025584856144</v>
      </c>
      <c r="M15" s="189">
        <v>5.52280887467355</v>
      </c>
      <c r="N15" s="189">
        <v>-3.4536159901218286</v>
      </c>
      <c r="O15" s="176">
        <v>-0.51846010174985824</v>
      </c>
      <c r="P15" s="189">
        <v>-3.2786463415507181</v>
      </c>
      <c r="Q15" s="177">
        <v>-0.84203188378494198</v>
      </c>
    </row>
    <row r="16" spans="1:17" hidden="1">
      <c r="A16" s="178" t="s">
        <v>301</v>
      </c>
      <c r="B16" s="175">
        <v>-12.650211601139095</v>
      </c>
      <c r="C16" s="189">
        <v>-2.8205479005211584</v>
      </c>
      <c r="D16" s="189">
        <v>-27.946477582547306</v>
      </c>
      <c r="E16" s="176">
        <v>-0.77475955380572825</v>
      </c>
      <c r="F16" s="189">
        <v>-0.29787590155715127</v>
      </c>
      <c r="G16" s="189">
        <v>-0.75201480876123372</v>
      </c>
      <c r="H16" s="189">
        <v>-5.6725013211117972</v>
      </c>
      <c r="I16" s="176">
        <v>2.621113238579428</v>
      </c>
      <c r="J16" s="189">
        <v>5.7284114799258568</v>
      </c>
      <c r="K16" s="189">
        <v>2.2848333341154095</v>
      </c>
      <c r="L16" s="189">
        <v>5.6435210681497274</v>
      </c>
      <c r="M16" s="189">
        <v>4.0134777688093708</v>
      </c>
      <c r="N16" s="189">
        <v>-3.3817829254028409</v>
      </c>
      <c r="O16" s="176">
        <v>0.25713248454789567</v>
      </c>
      <c r="P16" s="189">
        <v>-2.4822106071145198</v>
      </c>
      <c r="Q16" s="177">
        <v>-6.0774956992572716E-2</v>
      </c>
    </row>
    <row r="17" spans="1:17" hidden="1">
      <c r="A17" s="178" t="s">
        <v>302</v>
      </c>
      <c r="B17" s="175">
        <v>-11.138538576063404</v>
      </c>
      <c r="C17" s="189">
        <v>-0.83634365877357253</v>
      </c>
      <c r="D17" s="189">
        <v>-27.267488103793681</v>
      </c>
      <c r="E17" s="176">
        <v>1.904009397621893</v>
      </c>
      <c r="F17" s="189">
        <v>2.611474256444247</v>
      </c>
      <c r="G17" s="189">
        <v>1.2127688813559652</v>
      </c>
      <c r="H17" s="189">
        <v>-4.5041017090231801</v>
      </c>
      <c r="I17" s="176">
        <v>3.5936042599622393</v>
      </c>
      <c r="J17" s="189">
        <v>8.0563146838060629</v>
      </c>
      <c r="K17" s="189">
        <v>4.9849755483042637</v>
      </c>
      <c r="L17" s="189">
        <v>6.036961467767477</v>
      </c>
      <c r="M17" s="189">
        <v>2.9364407639351926</v>
      </c>
      <c r="N17" s="189">
        <v>-3.403684107053969</v>
      </c>
      <c r="O17" s="176">
        <v>1.7919558992751845</v>
      </c>
      <c r="P17" s="189">
        <v>-1.3505867408863779</v>
      </c>
      <c r="Q17" s="177">
        <v>1.4279608723505026</v>
      </c>
    </row>
    <row r="18" spans="1:17" hidden="1">
      <c r="A18" s="178" t="s">
        <v>303</v>
      </c>
      <c r="B18" s="175">
        <v>-10.592551512041464</v>
      </c>
      <c r="C18" s="189">
        <v>-0.4720683278054979</v>
      </c>
      <c r="D18" s="189">
        <v>-26.830802805786519</v>
      </c>
      <c r="E18" s="176">
        <v>4.2365693232287756</v>
      </c>
      <c r="F18" s="189">
        <v>5.2792865485500391</v>
      </c>
      <c r="G18" s="189">
        <v>2.9396586064421757</v>
      </c>
      <c r="H18" s="189">
        <v>-4.7640539621083722</v>
      </c>
      <c r="I18" s="176">
        <v>4.3476724601594876</v>
      </c>
      <c r="J18" s="189">
        <v>10.573637514085746</v>
      </c>
      <c r="K18" s="189">
        <v>6.0505614449827672</v>
      </c>
      <c r="L18" s="189">
        <v>6.676618931499914</v>
      </c>
      <c r="M18" s="189">
        <v>2.4024369934948004</v>
      </c>
      <c r="N18" s="189">
        <v>-3.6879705892308627</v>
      </c>
      <c r="O18" s="176">
        <v>2.9764786039536619</v>
      </c>
      <c r="P18" s="189">
        <v>-0.71650678317988603</v>
      </c>
      <c r="Q18" s="177">
        <v>2.5492794562819179</v>
      </c>
    </row>
    <row r="19" spans="1:17" hidden="1">
      <c r="A19" s="178" t="s">
        <v>332</v>
      </c>
      <c r="B19" s="175">
        <v>3.3244780316509481</v>
      </c>
      <c r="C19" s="189">
        <v>6.1368989488115391</v>
      </c>
      <c r="D19" s="189">
        <v>-2.4592031504493983</v>
      </c>
      <c r="E19" s="176">
        <v>6.9857678151073719</v>
      </c>
      <c r="F19" s="189">
        <v>7.6122972424611826</v>
      </c>
      <c r="G19" s="189">
        <v>7.0046780862299274</v>
      </c>
      <c r="H19" s="189">
        <v>0.25302665208700525</v>
      </c>
      <c r="I19" s="176">
        <v>4.0471845137166103</v>
      </c>
      <c r="J19" s="189">
        <v>9.7718946815869447</v>
      </c>
      <c r="K19" s="189">
        <v>7.1337443515158983</v>
      </c>
      <c r="L19" s="189">
        <v>1.4219370041053967</v>
      </c>
      <c r="M19" s="189">
        <v>3.7702506573250423</v>
      </c>
      <c r="N19" s="189">
        <v>-0.31173732615236011</v>
      </c>
      <c r="O19" s="176">
        <v>4.855574195268292</v>
      </c>
      <c r="P19" s="189">
        <v>2.2575677655692155</v>
      </c>
      <c r="Q19" s="177">
        <v>4.855574195268292</v>
      </c>
    </row>
    <row r="20" spans="1:17" hidden="1">
      <c r="A20" s="178" t="s">
        <v>333</v>
      </c>
      <c r="B20" s="175">
        <v>3.0596366912019404</v>
      </c>
      <c r="C20" s="189">
        <v>5.5011440039015387</v>
      </c>
      <c r="D20" s="189">
        <v>-2.0645391670750515</v>
      </c>
      <c r="E20" s="176">
        <v>7.9463863245825088</v>
      </c>
      <c r="F20" s="189">
        <v>8.5790516085085482</v>
      </c>
      <c r="G20" s="189">
        <v>6.7053085873517677</v>
      </c>
      <c r="H20" s="189">
        <v>2.619871739789283</v>
      </c>
      <c r="I20" s="176">
        <v>3.8541606188982986</v>
      </c>
      <c r="J20" s="189">
        <v>9.3166382025822649</v>
      </c>
      <c r="K20" s="189">
        <v>7.1020641285487685</v>
      </c>
      <c r="L20" s="189">
        <v>0.69067800171667615</v>
      </c>
      <c r="M20" s="189">
        <v>4.4190588999147691</v>
      </c>
      <c r="N20" s="189">
        <v>-0.31500072231792881</v>
      </c>
      <c r="O20" s="176">
        <v>4.9927483648039717</v>
      </c>
      <c r="P20" s="189">
        <v>2.6002858436635559</v>
      </c>
      <c r="Q20" s="177">
        <v>4.9927483648039717</v>
      </c>
    </row>
    <row r="21" spans="1:17" hidden="1">
      <c r="A21" s="178" t="s">
        <v>334</v>
      </c>
      <c r="B21" s="175">
        <v>1.6702615219276633</v>
      </c>
      <c r="C21" s="189">
        <v>3.8251074419645223</v>
      </c>
      <c r="D21" s="189">
        <v>-2.9293005826502747</v>
      </c>
      <c r="E21" s="176">
        <v>8.5881526092546032</v>
      </c>
      <c r="F21" s="189">
        <v>9.1018480875806489</v>
      </c>
      <c r="G21" s="189">
        <v>6.5937743195949432</v>
      </c>
      <c r="H21" s="189">
        <v>5.3925841678284367</v>
      </c>
      <c r="I21" s="176">
        <v>3.5674121578452058</v>
      </c>
      <c r="J21" s="189">
        <v>7.9382811473948598</v>
      </c>
      <c r="K21" s="189">
        <v>6.3854929702743535</v>
      </c>
      <c r="L21" s="189">
        <v>0.79126425415202928</v>
      </c>
      <c r="M21" s="189">
        <v>5.1191795304787391</v>
      </c>
      <c r="N21" s="189">
        <v>-0.29641871240804285</v>
      </c>
      <c r="O21" s="176">
        <v>4.8947105247930143</v>
      </c>
      <c r="P21" s="189">
        <v>2.6938044008100825</v>
      </c>
      <c r="Q21" s="177">
        <v>4.8947105247930143</v>
      </c>
    </row>
    <row r="22" spans="1:17" hidden="1">
      <c r="A22" s="178" t="s">
        <v>335</v>
      </c>
      <c r="B22" s="175">
        <v>-1.0664285566033425</v>
      </c>
      <c r="C22" s="189">
        <v>-0.24184009585693661</v>
      </c>
      <c r="D22" s="189">
        <v>-2.8660947242119379</v>
      </c>
      <c r="E22" s="176">
        <v>8.3827589171715449</v>
      </c>
      <c r="F22" s="189">
        <v>9.034893090359752</v>
      </c>
      <c r="G22" s="189">
        <v>3.2306263313683838</v>
      </c>
      <c r="H22" s="189">
        <v>7.4682392857617002</v>
      </c>
      <c r="I22" s="176">
        <v>3.3256141729747397</v>
      </c>
      <c r="J22" s="189">
        <v>6.1001255865009494</v>
      </c>
      <c r="K22" s="189">
        <v>5.2621610187397234</v>
      </c>
      <c r="L22" s="189">
        <v>1.8645807797332461</v>
      </c>
      <c r="M22" s="189">
        <v>5.5010830793111811</v>
      </c>
      <c r="N22" s="189">
        <v>-0.23977629345928783</v>
      </c>
      <c r="O22" s="176">
        <v>4.4770048500899273</v>
      </c>
      <c r="P22" s="189">
        <v>2.6390344766285221</v>
      </c>
      <c r="Q22" s="177">
        <v>4.4770048500899273</v>
      </c>
    </row>
    <row r="23" spans="1:17" hidden="1">
      <c r="A23" s="178" t="s">
        <v>304</v>
      </c>
      <c r="B23" s="175">
        <v>-1.3554771282574243</v>
      </c>
      <c r="C23" s="189">
        <v>0.48941068601601007</v>
      </c>
      <c r="D23" s="189">
        <v>-5.483804065285895</v>
      </c>
      <c r="E23" s="176">
        <v>8.076182439849914</v>
      </c>
      <c r="F23" s="189">
        <v>6.2132618599846019</v>
      </c>
      <c r="G23" s="189">
        <v>1.486240450566122</v>
      </c>
      <c r="H23" s="189">
        <v>37.927434954266893</v>
      </c>
      <c r="I23" s="176">
        <v>4.6718560332789938</v>
      </c>
      <c r="J23" s="189">
        <v>10.082996016803632</v>
      </c>
      <c r="K23" s="189">
        <v>4.0943794160606304</v>
      </c>
      <c r="L23" s="189">
        <v>3.7679010116899905</v>
      </c>
      <c r="M23" s="189">
        <v>4.0761827411078135</v>
      </c>
      <c r="N23" s="189">
        <v>1.2283635307953791</v>
      </c>
      <c r="O23" s="176">
        <v>5.2320789268496215</v>
      </c>
      <c r="P23" s="189">
        <v>6.423145517830962</v>
      </c>
      <c r="Q23" s="177">
        <v>5.3652773751010105</v>
      </c>
    </row>
    <row r="24" spans="1:17" hidden="1">
      <c r="A24" s="178" t="s">
        <v>305</v>
      </c>
      <c r="B24" s="175">
        <v>-2.0252522872036374</v>
      </c>
      <c r="C24" s="189">
        <v>-0.83050959887292275</v>
      </c>
      <c r="D24" s="189">
        <v>-4.7264574785914526</v>
      </c>
      <c r="E24" s="176">
        <v>6.3305663628095825</v>
      </c>
      <c r="F24" s="189">
        <v>4.5041908601688201</v>
      </c>
      <c r="G24" s="189">
        <v>-0.65745784897426884</v>
      </c>
      <c r="H24" s="189">
        <v>36.005097735200124</v>
      </c>
      <c r="I24" s="176">
        <v>4.4281575460357177</v>
      </c>
      <c r="J24" s="189">
        <v>8.146371497449767</v>
      </c>
      <c r="K24" s="189">
        <v>3.3589718440367546</v>
      </c>
      <c r="L24" s="189">
        <v>5.7064645240746623</v>
      </c>
      <c r="M24" s="189">
        <v>2.8247175198615153</v>
      </c>
      <c r="N24" s="189">
        <v>0.97429865501752144</v>
      </c>
      <c r="O24" s="176">
        <v>4.5110968971344265</v>
      </c>
      <c r="P24" s="189">
        <v>6.35533653729967</v>
      </c>
      <c r="Q24" s="177">
        <v>4.7157087830213582</v>
      </c>
    </row>
    <row r="25" spans="1:17" hidden="1">
      <c r="A25" s="178" t="s">
        <v>306</v>
      </c>
      <c r="B25" s="175">
        <v>-2.2431434926247338</v>
      </c>
      <c r="C25" s="189">
        <v>-1.2262093066183677</v>
      </c>
      <c r="D25" s="189">
        <v>-4.5648501295591091</v>
      </c>
      <c r="E25" s="176">
        <v>3.3433695689244445</v>
      </c>
      <c r="F25" s="189">
        <v>1.2699279050233272</v>
      </c>
      <c r="G25" s="189">
        <v>-1.2153482924207295</v>
      </c>
      <c r="H25" s="189">
        <v>32.415557556034393</v>
      </c>
      <c r="I25" s="176">
        <v>4.2647065533322195</v>
      </c>
      <c r="J25" s="189">
        <v>6.7499890111763774</v>
      </c>
      <c r="K25" s="189">
        <v>4.0177237373764694</v>
      </c>
      <c r="L25" s="189">
        <v>6.4996444517495355</v>
      </c>
      <c r="M25" s="189">
        <v>1.6062731211648702</v>
      </c>
      <c r="N25" s="189">
        <v>0.68240452317158273</v>
      </c>
      <c r="O25" s="176">
        <v>3.4964745219837048</v>
      </c>
      <c r="P25" s="189">
        <v>5.9934180479227637</v>
      </c>
      <c r="Q25" s="177">
        <v>3.7725184699209677</v>
      </c>
    </row>
    <row r="26" spans="1:17" hidden="1">
      <c r="A26" s="178" t="s">
        <v>307</v>
      </c>
      <c r="B26" s="175">
        <v>-1.6366376912233089</v>
      </c>
      <c r="C26" s="189">
        <v>0.16078147758392974</v>
      </c>
      <c r="D26" s="189">
        <v>-5.6654927917507703</v>
      </c>
      <c r="E26" s="176">
        <v>2.3464465791965332</v>
      </c>
      <c r="F26" s="189">
        <v>0.12258718175018565</v>
      </c>
      <c r="G26" s="189">
        <v>-0.22012567540689409</v>
      </c>
      <c r="H26" s="189">
        <v>30.428399786944315</v>
      </c>
      <c r="I26" s="176">
        <v>4.5518720654997828</v>
      </c>
      <c r="J26" s="189">
        <v>6.3524642234359527</v>
      </c>
      <c r="K26" s="189">
        <v>5.7501374333342241</v>
      </c>
      <c r="L26" s="189">
        <v>6.7776767752468654</v>
      </c>
      <c r="M26" s="189">
        <v>0.8864690743584549</v>
      </c>
      <c r="N26" s="189">
        <v>0.83861454054577311</v>
      </c>
      <c r="O26" s="176">
        <v>3.4204563614354679</v>
      </c>
      <c r="P26" s="189">
        <v>6.1441381990511674</v>
      </c>
      <c r="Q26" s="177">
        <v>3.7207194472564984</v>
      </c>
    </row>
    <row r="27" spans="1:17" hidden="1">
      <c r="A27" s="178" t="s">
        <v>308</v>
      </c>
      <c r="B27" s="175">
        <v>-3.445722901806981</v>
      </c>
      <c r="C27" s="189">
        <v>9.8622147755116199E-2</v>
      </c>
      <c r="D27" s="189">
        <v>-11.878180793963297</v>
      </c>
      <c r="E27" s="176">
        <v>-1.2987399182442703</v>
      </c>
      <c r="F27" s="189">
        <v>0.40406167746144206</v>
      </c>
      <c r="G27" s="189">
        <v>5.3261602921868567</v>
      </c>
      <c r="H27" s="189">
        <v>-22.61253203033467</v>
      </c>
      <c r="I27" s="176">
        <v>3.8640280966541236</v>
      </c>
      <c r="J27" s="189">
        <v>1.2354007116908732</v>
      </c>
      <c r="K27" s="189">
        <v>9.2162041894395443</v>
      </c>
      <c r="L27" s="189">
        <v>7.4933557425959281</v>
      </c>
      <c r="M27" s="189">
        <v>1.1339420321807272</v>
      </c>
      <c r="N27" s="189">
        <v>-0.85653197330615816</v>
      </c>
      <c r="O27" s="176">
        <v>1.7474093903499612</v>
      </c>
      <c r="P27" s="189">
        <v>-1.0634137435108943</v>
      </c>
      <c r="Q27" s="177">
        <v>1.4299156129370465</v>
      </c>
    </row>
    <row r="28" spans="1:17" hidden="1">
      <c r="A28" s="178" t="s">
        <v>309</v>
      </c>
      <c r="B28" s="175">
        <v>-0.63053074903437356</v>
      </c>
      <c r="C28" s="189">
        <v>4.0507574442592151</v>
      </c>
      <c r="D28" s="189">
        <v>-11.647302216369599</v>
      </c>
      <c r="E28" s="176">
        <v>0.50641614558721915</v>
      </c>
      <c r="F28" s="189">
        <v>2.1578483758843712</v>
      </c>
      <c r="G28" s="189">
        <v>9.3078431490081464</v>
      </c>
      <c r="H28" s="189">
        <v>-22.094770382863032</v>
      </c>
      <c r="I28" s="176">
        <v>4.247613249517487</v>
      </c>
      <c r="J28" s="189">
        <v>1.9662010319877583</v>
      </c>
      <c r="K28" s="189">
        <v>10.052761303528564</v>
      </c>
      <c r="L28" s="189">
        <v>6.5034973861008138</v>
      </c>
      <c r="M28" s="189">
        <v>1.9545538033202932</v>
      </c>
      <c r="N28" s="189">
        <v>1.2388094346484206E-2</v>
      </c>
      <c r="O28" s="176">
        <v>2.7522168623755454</v>
      </c>
      <c r="P28" s="189">
        <v>-0.71807186032635617</v>
      </c>
      <c r="Q28" s="177">
        <v>2.3611720182570681</v>
      </c>
    </row>
    <row r="29" spans="1:17" hidden="1">
      <c r="A29" s="178" t="s">
        <v>310</v>
      </c>
      <c r="B29" s="175">
        <v>1.5464975855933583</v>
      </c>
      <c r="C29" s="189">
        <v>6.5296961956629529</v>
      </c>
      <c r="D29" s="189">
        <v>-10.228370593247194</v>
      </c>
      <c r="E29" s="176">
        <v>2.6285283612244905</v>
      </c>
      <c r="F29" s="189">
        <v>4.4209218043085547</v>
      </c>
      <c r="G29" s="189">
        <v>10.870268024566849</v>
      </c>
      <c r="H29" s="189">
        <v>-20.442054119152893</v>
      </c>
      <c r="I29" s="176">
        <v>4.0036459762252274</v>
      </c>
      <c r="J29" s="189">
        <v>2.5878457747386117</v>
      </c>
      <c r="K29" s="189">
        <v>9.6128183781196554</v>
      </c>
      <c r="L29" s="189">
        <v>4.068593194814329</v>
      </c>
      <c r="M29" s="189">
        <v>2.755481764804331</v>
      </c>
      <c r="N29" s="189">
        <v>1.0135116754584161</v>
      </c>
      <c r="O29" s="176">
        <v>3.4121984588232617</v>
      </c>
      <c r="P29" s="189">
        <v>0.37453097590447926</v>
      </c>
      <c r="Q29" s="177">
        <v>3.0691888526121489</v>
      </c>
    </row>
    <row r="30" spans="1:17" hidden="1">
      <c r="A30" s="178" t="s">
        <v>311</v>
      </c>
      <c r="B30" s="175">
        <v>2.9907446033888325</v>
      </c>
      <c r="C30" s="189">
        <v>7.9788048026604441</v>
      </c>
      <c r="D30" s="189">
        <v>-8.8803587081443833</v>
      </c>
      <c r="E30" s="176">
        <v>2.2884479272584697</v>
      </c>
      <c r="F30" s="189">
        <v>3.5809371005003836</v>
      </c>
      <c r="G30" s="189">
        <v>13.40340631444557</v>
      </c>
      <c r="H30" s="189">
        <v>-18.919893051775365</v>
      </c>
      <c r="I30" s="176">
        <v>3.9019996549336091</v>
      </c>
      <c r="J30" s="189">
        <v>4.0040252715973379</v>
      </c>
      <c r="K30" s="189">
        <v>8.5682839775900526</v>
      </c>
      <c r="L30" s="189">
        <v>2.3352915123617661</v>
      </c>
      <c r="M30" s="189">
        <v>3.7913116649487226</v>
      </c>
      <c r="N30" s="189">
        <v>1.5139969601813987</v>
      </c>
      <c r="O30" s="176">
        <v>3.3490754963832972</v>
      </c>
      <c r="P30" s="189">
        <v>-0.4767434845143465</v>
      </c>
      <c r="Q30" s="177">
        <v>2.9174565691713319</v>
      </c>
    </row>
    <row r="31" spans="1:17" hidden="1">
      <c r="A31" s="178" t="s">
        <v>312</v>
      </c>
      <c r="B31" s="175">
        <v>10.072827778436784</v>
      </c>
      <c r="C31" s="189">
        <v>11.775013066072813</v>
      </c>
      <c r="D31" s="189">
        <v>5.4727024483946147</v>
      </c>
      <c r="E31" s="176">
        <v>1.6756294599175239</v>
      </c>
      <c r="F31" s="189">
        <v>2.5651221223253851</v>
      </c>
      <c r="G31" s="189">
        <v>-9.4919071702715652</v>
      </c>
      <c r="H31" s="189">
        <v>5.773851823378533</v>
      </c>
      <c r="I31" s="176">
        <v>4.625933784966838</v>
      </c>
      <c r="J31" s="189">
        <v>4.0211684117109057</v>
      </c>
      <c r="K31" s="189">
        <v>8.1990943302393937</v>
      </c>
      <c r="L31" s="189">
        <v>4.4128545626193807</v>
      </c>
      <c r="M31" s="189">
        <v>5.2828837447081698</v>
      </c>
      <c r="N31" s="189">
        <v>1.858198990710638</v>
      </c>
      <c r="O31" s="176">
        <v>4.11475037456478</v>
      </c>
      <c r="P31" s="189">
        <v>2.0462039197144866</v>
      </c>
      <c r="Q31" s="177">
        <v>3.8868432853836059</v>
      </c>
    </row>
    <row r="32" spans="1:17" hidden="1">
      <c r="A32" s="178" t="s">
        <v>313</v>
      </c>
      <c r="B32" s="175">
        <v>6.8832687374564898</v>
      </c>
      <c r="C32" s="189">
        <v>7.2523543729314675</v>
      </c>
      <c r="D32" s="189">
        <v>5.8603490520374066</v>
      </c>
      <c r="E32" s="176">
        <v>-1.0652940115137417</v>
      </c>
      <c r="F32" s="189">
        <v>-0.4685036448704939</v>
      </c>
      <c r="G32" s="189">
        <v>-11.522698851614949</v>
      </c>
      <c r="H32" s="189">
        <v>5.5755506240143342</v>
      </c>
      <c r="I32" s="176">
        <v>4.4273850798051662</v>
      </c>
      <c r="J32" s="189">
        <v>3.599621989435335</v>
      </c>
      <c r="K32" s="189">
        <v>7.0067729360710178</v>
      </c>
      <c r="L32" s="189">
        <v>4.4622295029193211</v>
      </c>
      <c r="M32" s="189">
        <v>5.9960231588719406</v>
      </c>
      <c r="N32" s="189">
        <v>2.0317237612597672</v>
      </c>
      <c r="O32" s="176">
        <v>2.9485091202573259</v>
      </c>
      <c r="P32" s="189">
        <v>1.8919903695539988</v>
      </c>
      <c r="Q32" s="177">
        <v>2.8330380695901969</v>
      </c>
    </row>
    <row r="33" spans="1:17" hidden="1">
      <c r="A33" s="178" t="s">
        <v>314</v>
      </c>
      <c r="B33" s="175">
        <v>3.1465834435999733</v>
      </c>
      <c r="C33" s="189">
        <v>2.0529996424534689</v>
      </c>
      <c r="D33" s="189">
        <v>6.2130025072068129</v>
      </c>
      <c r="E33" s="176">
        <v>-2.9432855837444949</v>
      </c>
      <c r="F33" s="189">
        <v>-2.5431609098826646</v>
      </c>
      <c r="G33" s="189">
        <v>-12.224310528667825</v>
      </c>
      <c r="H33" s="189">
        <v>4.3615897020367704</v>
      </c>
      <c r="I33" s="176">
        <v>4.8855328039252193</v>
      </c>
      <c r="J33" s="189">
        <v>3.6695578004221705</v>
      </c>
      <c r="K33" s="189">
        <v>6.3205291550184093</v>
      </c>
      <c r="L33" s="189">
        <v>6.4241769052081992</v>
      </c>
      <c r="M33" s="189">
        <v>6.05535191809353</v>
      </c>
      <c r="N33" s="189">
        <v>2.2854269946730055</v>
      </c>
      <c r="O33" s="176">
        <v>2.4065271410200313</v>
      </c>
      <c r="P33" s="189">
        <v>0.79884126800337263</v>
      </c>
      <c r="Q33" s="177">
        <v>2.2297354226824564</v>
      </c>
    </row>
    <row r="34" spans="1:17" hidden="1">
      <c r="A34" s="178" t="s">
        <v>315</v>
      </c>
      <c r="B34" s="175">
        <v>1.6247260274404061</v>
      </c>
      <c r="C34" s="189">
        <v>9.6551265273349868E-2</v>
      </c>
      <c r="D34" s="189">
        <v>5.9345440808215235</v>
      </c>
      <c r="E34" s="176">
        <v>-3.5359538838076974</v>
      </c>
      <c r="F34" s="189">
        <v>-3.1143782804171098</v>
      </c>
      <c r="G34" s="189">
        <v>-12.710518150532286</v>
      </c>
      <c r="H34" s="189">
        <v>3.3862038095547118</v>
      </c>
      <c r="I34" s="176">
        <v>4.7984313239228529</v>
      </c>
      <c r="J34" s="189">
        <v>2.6063064330072709</v>
      </c>
      <c r="K34" s="189">
        <v>6.4926190764688672</v>
      </c>
      <c r="L34" s="189">
        <v>7.0481311952294305</v>
      </c>
      <c r="M34" s="189">
        <v>4.959092128139007</v>
      </c>
      <c r="N34" s="189">
        <v>2.6103032563102748</v>
      </c>
      <c r="O34" s="176">
        <v>2.0765699380915894</v>
      </c>
      <c r="P34" s="189">
        <v>1.8808670910725351</v>
      </c>
      <c r="Q34" s="177">
        <v>2.0552194041473246</v>
      </c>
    </row>
    <row r="35" spans="1:17" hidden="1">
      <c r="A35" s="178" t="s">
        <v>316</v>
      </c>
      <c r="B35" s="175">
        <v>-2.182431113275686</v>
      </c>
      <c r="C35" s="189">
        <v>-4.3008393655030774</v>
      </c>
      <c r="D35" s="189">
        <v>3.8846129172053185</v>
      </c>
      <c r="E35" s="176">
        <v>0.8031060722251695</v>
      </c>
      <c r="F35" s="189">
        <v>-8.5527900668879456E-2</v>
      </c>
      <c r="G35" s="189">
        <v>4.0388517281189094</v>
      </c>
      <c r="H35" s="189">
        <v>7.1510679074424059</v>
      </c>
      <c r="I35" s="176">
        <v>4.0177757571254471</v>
      </c>
      <c r="J35" s="189">
        <v>3.0850454172153463</v>
      </c>
      <c r="K35" s="189">
        <v>4.550057066926823</v>
      </c>
      <c r="L35" s="189">
        <v>6.8827913393657072</v>
      </c>
      <c r="M35" s="189">
        <v>3.2806074436813661</v>
      </c>
      <c r="N35" s="189">
        <v>1.1806502388151441</v>
      </c>
      <c r="O35" s="176">
        <v>2.6321826062034708</v>
      </c>
      <c r="P35" s="189">
        <v>2.7652981286884968</v>
      </c>
      <c r="Q35" s="177">
        <v>2.6465890755897186</v>
      </c>
    </row>
    <row r="36" spans="1:17" hidden="1">
      <c r="A36" s="178" t="s">
        <v>317</v>
      </c>
      <c r="B36" s="175">
        <v>-1.494993614096835</v>
      </c>
      <c r="C36" s="189">
        <v>-2.5548812532053056</v>
      </c>
      <c r="D36" s="189">
        <v>1.4811078488541465</v>
      </c>
      <c r="E36" s="176">
        <v>4.2385882272252973</v>
      </c>
      <c r="F36" s="189">
        <v>3.6497810943110602</v>
      </c>
      <c r="G36" s="189">
        <v>6.0237265881246884</v>
      </c>
      <c r="H36" s="189">
        <v>8.6955826126607771</v>
      </c>
      <c r="I36" s="176">
        <v>4.3107362764672263</v>
      </c>
      <c r="J36" s="189">
        <v>4.5856710293690606</v>
      </c>
      <c r="K36" s="189">
        <v>4.3586304746224958</v>
      </c>
      <c r="L36" s="189">
        <v>7.4880575795814623</v>
      </c>
      <c r="M36" s="189">
        <v>1.486756854183136</v>
      </c>
      <c r="N36" s="189">
        <v>1.2697381796070364</v>
      </c>
      <c r="O36" s="176">
        <v>3.8744350827849092</v>
      </c>
      <c r="P36" s="189">
        <v>4.361802946270541</v>
      </c>
      <c r="Q36" s="177">
        <v>3.9272139635646734</v>
      </c>
    </row>
    <row r="37" spans="1:17" hidden="1">
      <c r="A37" s="178" t="s">
        <v>318</v>
      </c>
      <c r="B37" s="175">
        <v>2.5996716759860399</v>
      </c>
      <c r="C37" s="189">
        <v>2.489500646508886</v>
      </c>
      <c r="D37" s="189">
        <v>2.8964928877804925</v>
      </c>
      <c r="E37" s="176">
        <v>7.5917130739020493</v>
      </c>
      <c r="F37" s="189">
        <v>7.1811901126198894</v>
      </c>
      <c r="G37" s="189">
        <v>9.1346031828523682</v>
      </c>
      <c r="H37" s="189">
        <v>10.290972917649665</v>
      </c>
      <c r="I37" s="176">
        <v>4.4939478920428755</v>
      </c>
      <c r="J37" s="189">
        <v>6.0583869510367743</v>
      </c>
      <c r="K37" s="189">
        <v>4.7151436517591891</v>
      </c>
      <c r="L37" s="189">
        <v>6.9543339323778364</v>
      </c>
      <c r="M37" s="189">
        <v>0.98167574373778466</v>
      </c>
      <c r="N37" s="189">
        <v>1.1315440934439338</v>
      </c>
      <c r="O37" s="176">
        <v>5.2454894162937871</v>
      </c>
      <c r="P37" s="189">
        <v>5.8387150146472049</v>
      </c>
      <c r="Q37" s="177">
        <v>5.3098113226401473</v>
      </c>
    </row>
    <row r="38" spans="1:17" hidden="1">
      <c r="A38" s="178" t="s">
        <v>319</v>
      </c>
      <c r="B38" s="175">
        <v>4.2106276585995781</v>
      </c>
      <c r="C38" s="189">
        <v>5.866793043292887</v>
      </c>
      <c r="D38" s="189">
        <v>-0.20275037377758526</v>
      </c>
      <c r="E38" s="176">
        <v>8.6019621111462108</v>
      </c>
      <c r="F38" s="189">
        <v>8.1947038816392528</v>
      </c>
      <c r="G38" s="189">
        <v>10.024899543717769</v>
      </c>
      <c r="H38" s="189">
        <v>11.302253415590457</v>
      </c>
      <c r="I38" s="176">
        <v>5.1737978505803746</v>
      </c>
      <c r="J38" s="189">
        <v>7.9721454973216446</v>
      </c>
      <c r="K38" s="189">
        <v>4.2952317624871839</v>
      </c>
      <c r="L38" s="189">
        <v>7.5664664707581375</v>
      </c>
      <c r="M38" s="189">
        <v>1.3616187057174247</v>
      </c>
      <c r="N38" s="189">
        <v>1.8108122312343247</v>
      </c>
      <c r="O38" s="176">
        <v>6.0787138208043494</v>
      </c>
      <c r="P38" s="189">
        <v>6.0966128952484508</v>
      </c>
      <c r="Q38" s="177">
        <v>6.0806632146156421</v>
      </c>
    </row>
    <row r="39" spans="1:17" hidden="1">
      <c r="A39" s="178" t="s">
        <v>320</v>
      </c>
      <c r="B39" s="175">
        <v>-4.0817816190202247</v>
      </c>
      <c r="C39" s="189">
        <v>-3.5635076636659493</v>
      </c>
      <c r="D39" s="189">
        <v>-5.4491444644937941</v>
      </c>
      <c r="E39" s="176">
        <v>6.1576182543282139</v>
      </c>
      <c r="F39" s="189">
        <v>5.2200683799029495</v>
      </c>
      <c r="G39" s="189">
        <v>8.6756446781241756</v>
      </c>
      <c r="H39" s="189">
        <v>13.21259429564399</v>
      </c>
      <c r="I39" s="176">
        <v>6.6045884374536001</v>
      </c>
      <c r="J39" s="189">
        <v>7.2239758799569964</v>
      </c>
      <c r="K39" s="189">
        <v>5.5536078909247504</v>
      </c>
      <c r="L39" s="189">
        <v>10.353056097097625</v>
      </c>
      <c r="M39" s="189">
        <v>1.7038796271962722</v>
      </c>
      <c r="N39" s="189">
        <v>4.4148829696151175</v>
      </c>
      <c r="O39" s="176">
        <v>5.7425919994338406</v>
      </c>
      <c r="P39" s="189">
        <v>4.8648224898661638</v>
      </c>
      <c r="Q39" s="177">
        <v>5.6474852552444004</v>
      </c>
    </row>
    <row r="40" spans="1:17" hidden="1">
      <c r="A40" s="178" t="s">
        <v>321</v>
      </c>
      <c r="B40" s="175">
        <v>-4.7408642964011269</v>
      </c>
      <c r="C40" s="189">
        <v>-4.6313158884082526</v>
      </c>
      <c r="D40" s="189">
        <v>-5.0362359852459289</v>
      </c>
      <c r="E40" s="176">
        <v>7.319688412873206</v>
      </c>
      <c r="F40" s="189">
        <v>6.7053932694238885</v>
      </c>
      <c r="G40" s="189">
        <v>7.6060505900990405</v>
      </c>
      <c r="H40" s="189">
        <v>13.374202192886278</v>
      </c>
      <c r="I40" s="176">
        <v>6.9039530230342576</v>
      </c>
      <c r="J40" s="189">
        <v>6.8397817285066385</v>
      </c>
      <c r="K40" s="189">
        <v>6.0790905333392109</v>
      </c>
      <c r="L40" s="189">
        <v>10.331337121086309</v>
      </c>
      <c r="M40" s="189">
        <v>3.3866860613199554</v>
      </c>
      <c r="N40" s="189">
        <v>4.8969658631193314</v>
      </c>
      <c r="O40" s="176">
        <v>6.2339566874969616</v>
      </c>
      <c r="P40" s="189">
        <v>4.9865983640462925</v>
      </c>
      <c r="Q40" s="177">
        <v>6.0983107457212862</v>
      </c>
    </row>
    <row r="41" spans="1:17" hidden="1">
      <c r="A41" s="178" t="s">
        <v>322</v>
      </c>
      <c r="B41" s="175">
        <v>-6.9244086815284795</v>
      </c>
      <c r="C41" s="189">
        <v>-6.4509215660709014</v>
      </c>
      <c r="D41" s="189">
        <v>-8.1950251975541146</v>
      </c>
      <c r="E41" s="176">
        <v>7.0409926391000992</v>
      </c>
      <c r="F41" s="189">
        <v>6.6043631861580483</v>
      </c>
      <c r="G41" s="189">
        <v>4.884886544573229</v>
      </c>
      <c r="H41" s="189">
        <v>13.835228841097011</v>
      </c>
      <c r="I41" s="176">
        <v>7.0723153480248797</v>
      </c>
      <c r="J41" s="189">
        <v>6.1561506917647018</v>
      </c>
      <c r="K41" s="189">
        <v>6.0254600974815276</v>
      </c>
      <c r="L41" s="189">
        <v>11.236545984329998</v>
      </c>
      <c r="M41" s="189">
        <v>4.0486717243217285</v>
      </c>
      <c r="N41" s="189">
        <v>4.9860717254259201</v>
      </c>
      <c r="O41" s="176">
        <v>6.1069345857339394</v>
      </c>
      <c r="P41" s="189">
        <v>4.4710239830570044</v>
      </c>
      <c r="Q41" s="177">
        <v>5.9286662068078995</v>
      </c>
    </row>
    <row r="42" spans="1:17" hidden="1">
      <c r="A42" s="178" t="s">
        <v>323</v>
      </c>
      <c r="B42" s="175">
        <v>-7.9538861582415867</v>
      </c>
      <c r="C42" s="189">
        <v>-8.5361932758094028</v>
      </c>
      <c r="D42" s="189">
        <v>-6.3077691233232036</v>
      </c>
      <c r="E42" s="176">
        <v>6.6545067538545224</v>
      </c>
      <c r="F42" s="189">
        <v>6.1144401217903095</v>
      </c>
      <c r="G42" s="189">
        <v>5.0524952206318323</v>
      </c>
      <c r="H42" s="189">
        <v>13.777727546674903</v>
      </c>
      <c r="I42" s="176">
        <v>6.5157362509500665</v>
      </c>
      <c r="J42" s="189">
        <v>5.7060603229828901</v>
      </c>
      <c r="K42" s="189">
        <v>5.9968997489760705</v>
      </c>
      <c r="L42" s="189">
        <v>10.377166622014977</v>
      </c>
      <c r="M42" s="189">
        <v>4.3553035676093526</v>
      </c>
      <c r="N42" s="189">
        <v>3.7281294778989773</v>
      </c>
      <c r="O42" s="176">
        <v>5.5678103750375518</v>
      </c>
      <c r="P42" s="189">
        <v>3.768498015597757</v>
      </c>
      <c r="Q42" s="177">
        <v>5.3718172376881244</v>
      </c>
    </row>
    <row r="43" spans="1:17" hidden="1">
      <c r="A43" s="178" t="s">
        <v>324</v>
      </c>
      <c r="B43" s="175">
        <v>1.2170108982418695</v>
      </c>
      <c r="C43" s="189">
        <v>4.1419442688641785</v>
      </c>
      <c r="D43" s="189">
        <v>-6.6537425801820955</v>
      </c>
      <c r="E43" s="176">
        <v>7.0658899869648382</v>
      </c>
      <c r="F43" s="189">
        <v>7.2291634867373817</v>
      </c>
      <c r="G43" s="189">
        <v>4.494615379211635</v>
      </c>
      <c r="H43" s="189">
        <v>8.1185452079853722</v>
      </c>
      <c r="I43" s="176">
        <v>5.6341206930254302</v>
      </c>
      <c r="J43" s="189">
        <v>6.5787327601946028</v>
      </c>
      <c r="K43" s="189">
        <v>5.7128944874644647</v>
      </c>
      <c r="L43" s="189">
        <v>6.5727691610843824</v>
      </c>
      <c r="M43" s="189">
        <v>5.7038468514269365</v>
      </c>
      <c r="N43" s="189">
        <v>3.0817104318052921</v>
      </c>
      <c r="O43" s="176">
        <v>5.7713335204251894</v>
      </c>
      <c r="P43" s="189">
        <v>5.607157419821875</v>
      </c>
      <c r="Q43" s="177">
        <v>5.7536767438282581</v>
      </c>
    </row>
    <row r="44" spans="1:17" hidden="1">
      <c r="A44" s="178" t="s">
        <v>325</v>
      </c>
      <c r="B44" s="175">
        <v>-0.55808310996968091</v>
      </c>
      <c r="C44" s="189">
        <v>0.84605729410278785</v>
      </c>
      <c r="D44" s="189">
        <v>-4.3601626849417441</v>
      </c>
      <c r="E44" s="176">
        <v>5.3117852876878988</v>
      </c>
      <c r="F44" s="189">
        <v>5.2015537730580776</v>
      </c>
      <c r="G44" s="189">
        <v>3.8181577638103805</v>
      </c>
      <c r="H44" s="189">
        <v>7.8825825398803397</v>
      </c>
      <c r="I44" s="176">
        <v>5.6523341669370915</v>
      </c>
      <c r="J44" s="189">
        <v>6.5350432224735453</v>
      </c>
      <c r="K44" s="189">
        <v>5.4803135279833919</v>
      </c>
      <c r="L44" s="189">
        <v>7.2871246722671579</v>
      </c>
      <c r="M44" s="189">
        <v>5.4281917477735817</v>
      </c>
      <c r="N44" s="189">
        <v>2.5570639150739107</v>
      </c>
      <c r="O44" s="176">
        <v>5.174838955885031</v>
      </c>
      <c r="P44" s="189">
        <v>6.1517904429737635</v>
      </c>
      <c r="Q44" s="177">
        <v>5.2799658828179803</v>
      </c>
    </row>
    <row r="45" spans="1:17" hidden="1">
      <c r="A45" s="178" t="s">
        <v>326</v>
      </c>
      <c r="B45" s="175">
        <v>-1.4397402571190974</v>
      </c>
      <c r="C45" s="189">
        <v>-1.1453697895960178</v>
      </c>
      <c r="D45" s="189">
        <v>-2.2446994530049893</v>
      </c>
      <c r="E45" s="176">
        <v>4.9385416272853249</v>
      </c>
      <c r="F45" s="189">
        <v>4.8564744067197889</v>
      </c>
      <c r="G45" s="189">
        <v>3.2133949951525436</v>
      </c>
      <c r="H45" s="189">
        <v>7.4203987936238862</v>
      </c>
      <c r="I45" s="176">
        <v>5.7507264043826893</v>
      </c>
      <c r="J45" s="189">
        <v>6.5455940329013043</v>
      </c>
      <c r="K45" s="189">
        <v>5.0978531511597032</v>
      </c>
      <c r="L45" s="189">
        <v>8.0020954575772869</v>
      </c>
      <c r="M45" s="189">
        <v>5.2165836595618336</v>
      </c>
      <c r="N45" s="189">
        <v>2.4795521197725154</v>
      </c>
      <c r="O45" s="176">
        <v>5.0807106586656472</v>
      </c>
      <c r="P45" s="189">
        <v>5.6067779019842607</v>
      </c>
      <c r="Q45" s="177">
        <v>5.1372483871758785</v>
      </c>
    </row>
    <row r="46" spans="1:17" hidden="1">
      <c r="A46" s="178" t="s">
        <v>327</v>
      </c>
      <c r="B46" s="175">
        <v>-1.2648598764685042</v>
      </c>
      <c r="C46" s="189">
        <v>-1.7114030937547413</v>
      </c>
      <c r="D46" s="189">
        <v>-3.2556039751120015E-2</v>
      </c>
      <c r="E46" s="176">
        <v>6.4766788496794581</v>
      </c>
      <c r="F46" s="189">
        <v>6.9092594421014342</v>
      </c>
      <c r="G46" s="189">
        <v>1.738284044381021</v>
      </c>
      <c r="H46" s="189">
        <v>7.0249158031530161</v>
      </c>
      <c r="I46" s="176">
        <v>5.9735403504466573</v>
      </c>
      <c r="J46" s="189">
        <v>5.9672217762582065</v>
      </c>
      <c r="K46" s="189">
        <v>4.5362915550193348</v>
      </c>
      <c r="L46" s="189">
        <v>8.8603252819357099</v>
      </c>
      <c r="M46" s="189">
        <v>4.8899257421018429</v>
      </c>
      <c r="N46" s="189">
        <v>3.8011518696092406</v>
      </c>
      <c r="O46" s="176">
        <v>5.6900468875660941</v>
      </c>
      <c r="P46" s="189">
        <v>8.2258506987696176</v>
      </c>
      <c r="Q46" s="177">
        <v>5.9620607346543952</v>
      </c>
    </row>
    <row r="47" spans="1:17" hidden="1">
      <c r="A47" s="178" t="s">
        <v>328</v>
      </c>
      <c r="B47" s="175">
        <v>3.3528592849880773E-2</v>
      </c>
      <c r="C47" s="189">
        <v>-2.4555189249289771</v>
      </c>
      <c r="D47" s="189">
        <v>7.5059660966698081</v>
      </c>
      <c r="E47" s="176">
        <v>7.5449005483739953</v>
      </c>
      <c r="F47" s="189">
        <v>7.4538587917413368</v>
      </c>
      <c r="G47" s="189">
        <v>2.6131788846814255</v>
      </c>
      <c r="H47" s="189">
        <v>13.289021718124291</v>
      </c>
      <c r="I47" s="176">
        <v>6.2903411906717608</v>
      </c>
      <c r="J47" s="189">
        <v>6.0720662293671692</v>
      </c>
      <c r="K47" s="189">
        <v>5.8775767150058709</v>
      </c>
      <c r="L47" s="189">
        <v>8.5822353162267646</v>
      </c>
      <c r="M47" s="189">
        <v>4.5853439199501151</v>
      </c>
      <c r="N47" s="189">
        <v>4.4540862976575246</v>
      </c>
      <c r="O47" s="176">
        <v>6.2831352859669609</v>
      </c>
      <c r="P47" s="189">
        <v>7.1206456289295517</v>
      </c>
      <c r="Q47" s="177">
        <v>6.3730828782160964</v>
      </c>
    </row>
    <row r="48" spans="1:17">
      <c r="A48" s="178" t="s">
        <v>329</v>
      </c>
      <c r="B48" s="175">
        <v>3.1620794006813813</v>
      </c>
      <c r="C48" s="189">
        <v>3.1975017807751631</v>
      </c>
      <c r="D48" s="189">
        <v>3.0609427657366926</v>
      </c>
      <c r="E48" s="176">
        <v>6.3914540484822799</v>
      </c>
      <c r="F48" s="189">
        <v>5.8879422021523169</v>
      </c>
      <c r="G48" s="189">
        <v>3.2216713905201457</v>
      </c>
      <c r="H48" s="189">
        <v>14.231231329817357</v>
      </c>
      <c r="I48" s="176">
        <v>5.9733592713472259</v>
      </c>
      <c r="J48" s="189">
        <v>5.7986440135947355</v>
      </c>
      <c r="K48" s="189">
        <v>7.0495757390445721</v>
      </c>
      <c r="L48" s="189">
        <v>7.1317326407567867</v>
      </c>
      <c r="M48" s="189">
        <v>4.9789214562629791</v>
      </c>
      <c r="N48" s="189">
        <v>3.777784826354718</v>
      </c>
      <c r="O48" s="176">
        <v>5.9339845556564974</v>
      </c>
      <c r="P48" s="189">
        <v>4.5632531698048941</v>
      </c>
      <c r="Q48" s="177">
        <v>5.7852626587134521</v>
      </c>
    </row>
    <row r="49" spans="1:17">
      <c r="A49" s="178" t="s">
        <v>330</v>
      </c>
      <c r="B49" s="175">
        <v>4.8890312139723706</v>
      </c>
      <c r="C49" s="189">
        <v>6.1458921550302534</v>
      </c>
      <c r="D49" s="189">
        <v>1.4134810665454367</v>
      </c>
      <c r="E49" s="176">
        <v>4.6993000176530382</v>
      </c>
      <c r="F49" s="189">
        <v>3.8258114296108516</v>
      </c>
      <c r="G49" s="189">
        <v>4.0410580923743593</v>
      </c>
      <c r="H49" s="189">
        <v>13.553004221468621</v>
      </c>
      <c r="I49" s="176">
        <v>6.2112552671177665</v>
      </c>
      <c r="J49" s="189">
        <v>5.493746540355942</v>
      </c>
      <c r="K49" s="189">
        <v>7.5954061681155052</v>
      </c>
      <c r="L49" s="189">
        <v>7.293779830085394</v>
      </c>
      <c r="M49" s="189">
        <v>5.643695486588471</v>
      </c>
      <c r="N49" s="189">
        <v>4.1957725922639248</v>
      </c>
      <c r="O49" s="176">
        <v>5.6924243473818787</v>
      </c>
      <c r="P49" s="189">
        <v>4.9865899988526001</v>
      </c>
      <c r="Q49" s="177">
        <v>5.616227839074817</v>
      </c>
    </row>
    <row r="50" spans="1:17">
      <c r="A50" s="178" t="s">
        <v>331</v>
      </c>
      <c r="B50" s="175">
        <v>6.7039181017791538</v>
      </c>
      <c r="C50" s="189">
        <v>9.8303564268195984</v>
      </c>
      <c r="D50" s="189">
        <v>-1.7790672469975317</v>
      </c>
      <c r="E50" s="176">
        <v>5.1823992428298578</v>
      </c>
      <c r="F50" s="189">
        <v>4.1447692790476065</v>
      </c>
      <c r="G50" s="189">
        <v>3.4532426850256273</v>
      </c>
      <c r="H50" s="189">
        <v>16.510695820577343</v>
      </c>
      <c r="I50" s="176">
        <v>6.4483990610430713</v>
      </c>
      <c r="J50" s="189">
        <v>5.0287196348962366</v>
      </c>
      <c r="K50" s="189">
        <v>7.9719545505857763</v>
      </c>
      <c r="L50" s="189">
        <v>8.0532929633085288</v>
      </c>
      <c r="M50" s="189">
        <v>6.7880482954297907</v>
      </c>
      <c r="N50" s="189">
        <v>3.8547605775721818</v>
      </c>
      <c r="O50" s="176">
        <v>6.0886233899202171</v>
      </c>
      <c r="P50" s="189">
        <v>2.874459705866903</v>
      </c>
      <c r="Q50" s="177">
        <v>5.7364764127839081</v>
      </c>
    </row>
    <row r="51" spans="1:17">
      <c r="A51" s="178" t="s">
        <v>227</v>
      </c>
      <c r="B51" s="175">
        <v>5.6690914946248565</v>
      </c>
      <c r="C51" s="189">
        <v>11.135067855999857</v>
      </c>
      <c r="D51" s="189">
        <v>-9.2199585386663099</v>
      </c>
      <c r="E51" s="176">
        <v>2.7901621744015754</v>
      </c>
      <c r="F51" s="189">
        <v>2.4611396372450409</v>
      </c>
      <c r="G51" s="189">
        <v>-3.2415819993324964</v>
      </c>
      <c r="H51" s="189">
        <v>11.175390724027825</v>
      </c>
      <c r="I51" s="176">
        <v>5.96925998910418</v>
      </c>
      <c r="J51" s="189">
        <v>4.2966010098456087</v>
      </c>
      <c r="K51" s="189">
        <v>5.9688732678998937</v>
      </c>
      <c r="L51" s="189">
        <v>8.5435551242149366</v>
      </c>
      <c r="M51" s="189">
        <v>5.4918506450770721</v>
      </c>
      <c r="N51" s="189">
        <v>4.240315901205709</v>
      </c>
      <c r="O51" s="176">
        <v>5.01466855333718</v>
      </c>
      <c r="P51" s="189">
        <v>3.3176895136216578</v>
      </c>
      <c r="Q51" s="177">
        <v>4.8311342375879152</v>
      </c>
    </row>
    <row r="52" spans="1:17">
      <c r="A52" s="178" t="s">
        <v>228</v>
      </c>
      <c r="B52" s="175">
        <v>7.7226579700301139</v>
      </c>
      <c r="C52" s="189">
        <v>12.01997332969483</v>
      </c>
      <c r="D52" s="189">
        <v>-4.5631312291256805</v>
      </c>
      <c r="E52" s="176">
        <v>5.5500767901059875</v>
      </c>
      <c r="F52" s="189">
        <v>6.1666524556639901</v>
      </c>
      <c r="G52" s="189">
        <v>-4.5356756164663379</v>
      </c>
      <c r="H52" s="189">
        <v>8.9129976323023641</v>
      </c>
      <c r="I52" s="176">
        <v>4.9139217223651919</v>
      </c>
      <c r="J52" s="189">
        <v>2.1076863716947578</v>
      </c>
      <c r="K52" s="189">
        <v>4.3135880093555468</v>
      </c>
      <c r="L52" s="189">
        <v>7.8029997513996294</v>
      </c>
      <c r="M52" s="189">
        <v>4.2902248328853094</v>
      </c>
      <c r="N52" s="189">
        <v>4.7943746418232003</v>
      </c>
      <c r="O52" s="176">
        <v>5.2583209347615334</v>
      </c>
      <c r="P52" s="189">
        <v>3.5205185828271013</v>
      </c>
      <c r="Q52" s="177">
        <v>5.071950568932821</v>
      </c>
    </row>
    <row r="53" spans="1:17">
      <c r="A53" s="178" t="s">
        <v>229</v>
      </c>
      <c r="B53" s="175">
        <v>11.580169284162183</v>
      </c>
      <c r="C53" s="189">
        <v>17.936303397824179</v>
      </c>
      <c r="D53" s="189">
        <v>-6.8164017872275942</v>
      </c>
      <c r="E53" s="176">
        <v>4.3351875659479937</v>
      </c>
      <c r="F53" s="189">
        <v>4.3963555672457755</v>
      </c>
      <c r="G53" s="189">
        <v>-2.393617759194798</v>
      </c>
      <c r="H53" s="189">
        <v>9.6085391173708423</v>
      </c>
      <c r="I53" s="176">
        <v>3.9922514660995652</v>
      </c>
      <c r="J53" s="189">
        <v>-0.5034603857564226</v>
      </c>
      <c r="K53" s="189">
        <v>3.6124125632166209</v>
      </c>
      <c r="L53" s="189">
        <v>7.0100605065515245</v>
      </c>
      <c r="M53" s="189">
        <v>3.3753846116647042</v>
      </c>
      <c r="N53" s="189">
        <v>5.4145627020240692</v>
      </c>
      <c r="O53" s="176">
        <v>4.5153986681645586</v>
      </c>
      <c r="P53" s="189">
        <v>2.8189006414619153</v>
      </c>
      <c r="Q53" s="177">
        <v>4.3333494501196457</v>
      </c>
    </row>
    <row r="54" spans="1:17">
      <c r="A54" s="178" t="s">
        <v>230</v>
      </c>
      <c r="B54" s="175">
        <v>11.331334613094556</v>
      </c>
      <c r="C54" s="189">
        <v>16.864913649754996</v>
      </c>
      <c r="D54" s="189">
        <v>-5.4576065612651306</v>
      </c>
      <c r="E54" s="176">
        <v>-2.194906769028282</v>
      </c>
      <c r="F54" s="189">
        <v>-2.672757833043411</v>
      </c>
      <c r="G54" s="189">
        <v>-5.913980326122072</v>
      </c>
      <c r="H54" s="189">
        <v>4.8634801832806591</v>
      </c>
      <c r="I54" s="176">
        <v>3.2477633818822951</v>
      </c>
      <c r="J54" s="189">
        <v>-1.5554950560598846</v>
      </c>
      <c r="K54" s="189">
        <v>2.9426806257938076</v>
      </c>
      <c r="L54" s="189">
        <v>6.2619381703266406</v>
      </c>
      <c r="M54" s="189">
        <v>2.017363869666287</v>
      </c>
      <c r="N54" s="189">
        <v>5.2392401814417369</v>
      </c>
      <c r="O54" s="176">
        <v>2.1059627541647696</v>
      </c>
      <c r="P54" s="189">
        <v>0.90613690834968996</v>
      </c>
      <c r="Q54" s="177">
        <v>1.9780667661001961</v>
      </c>
    </row>
    <row r="55" spans="1:17">
      <c r="A55" s="178" t="s">
        <v>224</v>
      </c>
      <c r="B55" s="175">
        <v>5.1751933534444978</v>
      </c>
      <c r="C55" s="189">
        <v>9.0426823275332975</v>
      </c>
      <c r="D55" s="189">
        <v>-7.72181753910158</v>
      </c>
      <c r="E55" s="176">
        <v>-6.6868328677075084</v>
      </c>
      <c r="F55" s="189">
        <v>-8.8359594404168273</v>
      </c>
      <c r="G55" s="189">
        <v>-4.4356956203711464</v>
      </c>
      <c r="H55" s="189">
        <v>9.5433729927110598</v>
      </c>
      <c r="I55" s="176">
        <v>2.2986695165285078</v>
      </c>
      <c r="J55" s="189">
        <v>-1.3198424806811846</v>
      </c>
      <c r="K55" s="189">
        <v>2.3093995953587592</v>
      </c>
      <c r="L55" s="189">
        <v>4.0455999526395221</v>
      </c>
      <c r="M55" s="189">
        <v>1.8384774556426953</v>
      </c>
      <c r="N55" s="189">
        <v>4.0643284592369939</v>
      </c>
      <c r="O55" s="176">
        <v>-0.13330403393661344</v>
      </c>
      <c r="P55" s="189">
        <v>-1.7165123061169625</v>
      </c>
      <c r="Q55" s="177">
        <v>-0.30206159881328565</v>
      </c>
    </row>
    <row r="56" spans="1:17">
      <c r="A56" s="178" t="s">
        <v>225</v>
      </c>
      <c r="B56" s="175">
        <v>-0.65430679694918736</v>
      </c>
      <c r="C56" s="189">
        <v>1.2806448197730829</v>
      </c>
      <c r="D56" s="189">
        <v>-7.1474536714891261</v>
      </c>
      <c r="E56" s="176">
        <v>-11.666094351382062</v>
      </c>
      <c r="F56" s="189">
        <v>-14.742565697313722</v>
      </c>
      <c r="G56" s="189">
        <v>-3.4827492799918272</v>
      </c>
      <c r="H56" s="189">
        <v>8.4837372299668488</v>
      </c>
      <c r="I56" s="176">
        <v>1.7770664303201635</v>
      </c>
      <c r="J56" s="189">
        <v>-0.91210405615954859</v>
      </c>
      <c r="K56" s="189">
        <v>1.431769295856252</v>
      </c>
      <c r="L56" s="189">
        <v>2.3426684800839115</v>
      </c>
      <c r="M56" s="189">
        <v>1.0979175960165373</v>
      </c>
      <c r="N56" s="189">
        <v>4.7908268012562187</v>
      </c>
      <c r="O56" s="176">
        <v>-2.3253324566475686</v>
      </c>
      <c r="P56" s="189">
        <v>-3.9311914121930891</v>
      </c>
      <c r="Q56" s="177">
        <v>-2.4950096685544811</v>
      </c>
    </row>
    <row r="57" spans="1:17">
      <c r="A57" s="178" t="s">
        <v>226</v>
      </c>
      <c r="B57" s="175">
        <v>-7.6046020456617871</v>
      </c>
      <c r="C57" s="189">
        <v>-8.0317739723350066</v>
      </c>
      <c r="D57" s="189">
        <v>-6.0398174263331255</v>
      </c>
      <c r="E57" s="176">
        <v>-9.0452287629086836</v>
      </c>
      <c r="F57" s="189">
        <v>-11.390385062568999</v>
      </c>
      <c r="G57" s="189">
        <v>-5.7145758075265309</v>
      </c>
      <c r="H57" s="189">
        <v>7.6507491698460983</v>
      </c>
      <c r="I57" s="176">
        <v>1.2123405181073721</v>
      </c>
      <c r="J57" s="189">
        <v>0.97852935654023487</v>
      </c>
      <c r="K57" s="189">
        <v>1.1860935376720803</v>
      </c>
      <c r="L57" s="189">
        <v>0.57963157038482915</v>
      </c>
      <c r="M57" s="189">
        <v>-0.72328282291250434</v>
      </c>
      <c r="N57" s="189">
        <v>3.5368661849327419</v>
      </c>
      <c r="O57" s="176">
        <v>-2.2949345480958376</v>
      </c>
      <c r="P57" s="189">
        <v>-3.9693135837517781</v>
      </c>
      <c r="Q57" s="177">
        <v>-2.4720021244400678</v>
      </c>
    </row>
    <row r="58" spans="1:17">
      <c r="A58" s="178" t="s">
        <v>346</v>
      </c>
      <c r="B58" s="175">
        <v>-10.682923851500801</v>
      </c>
      <c r="C58" s="189">
        <v>-12.291558816150495</v>
      </c>
      <c r="D58" s="189">
        <v>-4.649938873589913</v>
      </c>
      <c r="E58" s="176">
        <v>-2.9811346290506355</v>
      </c>
      <c r="F58" s="189">
        <v>-4.4817745792894286</v>
      </c>
      <c r="G58" s="189">
        <v>-1.968299331047747</v>
      </c>
      <c r="H58" s="189">
        <v>7.9464637056809648</v>
      </c>
      <c r="I58" s="176">
        <v>0.8906295019785182</v>
      </c>
      <c r="J58" s="189">
        <v>1.5564766694935526</v>
      </c>
      <c r="K58" s="189">
        <v>1.4525317334743884</v>
      </c>
      <c r="L58" s="189">
        <v>-0.38367962132174283</v>
      </c>
      <c r="M58" s="189">
        <v>-2.2638363560130719</v>
      </c>
      <c r="N58" s="189">
        <v>3.2200400938792257</v>
      </c>
      <c r="O58" s="176">
        <v>-0.90166097330871531</v>
      </c>
      <c r="P58" s="189">
        <v>-1.5050166756281556</v>
      </c>
      <c r="Q58" s="177">
        <v>-0.96529991303877172</v>
      </c>
    </row>
    <row r="59" spans="1:17">
      <c r="A59" s="178" t="s">
        <v>348</v>
      </c>
      <c r="B59" s="175">
        <v>-3.3555778637184863</v>
      </c>
      <c r="C59" s="189">
        <v>-7.1391749679374605</v>
      </c>
      <c r="D59" s="189">
        <v>11.553897474782936</v>
      </c>
      <c r="E59" s="176">
        <v>4.0667609686452266</v>
      </c>
      <c r="F59" s="189">
        <v>4.3137487096479923</v>
      </c>
      <c r="G59" s="189">
        <v>1.9507391259026692</v>
      </c>
      <c r="H59" s="189">
        <v>3.7845404081827501</v>
      </c>
      <c r="I59" s="176">
        <v>1.4892702702821807</v>
      </c>
      <c r="J59" s="189">
        <v>1.9320489067954967</v>
      </c>
      <c r="K59" s="189">
        <v>2.0614415740570546</v>
      </c>
      <c r="L59" s="189">
        <v>0.64086633053438202</v>
      </c>
      <c r="M59" s="189">
        <v>-1.6343411246263984</v>
      </c>
      <c r="N59" s="189">
        <v>3.3267747558557277</v>
      </c>
      <c r="O59" s="176">
        <v>1.8966030428589686</v>
      </c>
      <c r="P59" s="189">
        <v>2.9140598975936287</v>
      </c>
      <c r="Q59" s="177">
        <v>2.0035172902843819</v>
      </c>
    </row>
    <row r="60" spans="1:17">
      <c r="A60" s="178" t="s">
        <v>349</v>
      </c>
      <c r="B60" s="175">
        <v>5.0115461954638799E-2</v>
      </c>
      <c r="C60" s="189">
        <v>-0.49072307718814973</v>
      </c>
      <c r="D60" s="189">
        <v>2.0297516645977995</v>
      </c>
      <c r="E60" s="176">
        <v>7.7873002097817192</v>
      </c>
      <c r="F60" s="189">
        <v>9.2047386103527966</v>
      </c>
      <c r="G60" s="189">
        <v>1.3032099889064457</v>
      </c>
      <c r="H60" s="189">
        <v>2.6348223290221222</v>
      </c>
      <c r="I60" s="176">
        <v>2.8516409254864414</v>
      </c>
      <c r="J60" s="189">
        <v>4.1710000074744205</v>
      </c>
      <c r="K60" s="189">
        <v>2.8826044278857799</v>
      </c>
      <c r="L60" s="189">
        <v>2.740988333180463</v>
      </c>
      <c r="M60" s="189">
        <v>-0.28035670993092027</v>
      </c>
      <c r="N60" s="189">
        <v>3.087671027207286</v>
      </c>
      <c r="O60" s="176">
        <v>4.0041004426294</v>
      </c>
      <c r="P60" s="189">
        <v>5.6421277697246888</v>
      </c>
      <c r="Q60" s="177">
        <v>4.1746273144320192</v>
      </c>
    </row>
    <row r="61" spans="1:17">
      <c r="A61" s="178" t="s">
        <v>350</v>
      </c>
      <c r="B61" s="175">
        <v>7.4860708177941824</v>
      </c>
      <c r="C61" s="189">
        <v>6.5556225933508054</v>
      </c>
      <c r="D61" s="189">
        <v>10.822162935607837</v>
      </c>
      <c r="E61" s="176">
        <v>5.0730953930932801</v>
      </c>
      <c r="F61" s="189">
        <v>6.2468255712305609</v>
      </c>
      <c r="G61" s="189">
        <v>0.19409006741767412</v>
      </c>
      <c r="H61" s="189">
        <v>0.42202326474935326</v>
      </c>
      <c r="I61" s="176">
        <v>3.3831726435695724</v>
      </c>
      <c r="J61" s="189">
        <v>4.892312083561694</v>
      </c>
      <c r="K61" s="189">
        <v>2.8824571410061028</v>
      </c>
      <c r="L61" s="189">
        <v>3.0837896213131688</v>
      </c>
      <c r="M61" s="189">
        <v>1.4813006769412327</v>
      </c>
      <c r="N61" s="189">
        <v>3.6402479233467582</v>
      </c>
      <c r="O61" s="176">
        <v>4.0716042460939681</v>
      </c>
      <c r="P61" s="189">
        <v>6.3126694063541642</v>
      </c>
      <c r="Q61" s="177">
        <v>4.3049610529914357</v>
      </c>
    </row>
    <row r="62" spans="1:17">
      <c r="A62" s="178" t="s">
        <v>405</v>
      </c>
      <c r="B62" s="175">
        <v>11.987532092033772</v>
      </c>
      <c r="C62" s="189">
        <v>11.591944121114691</v>
      </c>
      <c r="D62" s="189">
        <v>13.352235366363315</v>
      </c>
      <c r="E62" s="176">
        <v>3.8550945975184545</v>
      </c>
      <c r="F62" s="189">
        <v>4.6839098354319404</v>
      </c>
      <c r="G62" s="189">
        <v>1.3276470385273216</v>
      </c>
      <c r="H62" s="189">
        <v>-0.15930979773688012</v>
      </c>
      <c r="I62" s="176">
        <v>3.905268003048032</v>
      </c>
      <c r="J62" s="189">
        <v>5.6774026637919333</v>
      </c>
      <c r="K62" s="189">
        <v>2.8704668978472609</v>
      </c>
      <c r="L62" s="189">
        <v>3.3288317955020879</v>
      </c>
      <c r="M62" s="189">
        <v>3.16633355240331</v>
      </c>
      <c r="N62" s="189">
        <v>4.2964652702860056</v>
      </c>
      <c r="O62" s="176">
        <v>4.3358927480936824</v>
      </c>
      <c r="P62" s="189">
        <v>5.6054244496267058</v>
      </c>
      <c r="Q62" s="177">
        <v>4.4690668523000872</v>
      </c>
    </row>
    <row r="63" spans="1:17">
      <c r="A63" s="178" t="s">
        <v>413</v>
      </c>
      <c r="B63" s="175">
        <v>6.7673674690197192</v>
      </c>
      <c r="C63" s="189">
        <v>8.3971729242607367</v>
      </c>
      <c r="D63" s="189">
        <v>1.4212187804637135</v>
      </c>
      <c r="E63" s="176">
        <v>4.5379844439537234</v>
      </c>
      <c r="F63" s="189">
        <v>5.5180824759591847</v>
      </c>
      <c r="G63" s="189">
        <v>1.3653789228005</v>
      </c>
      <c r="H63" s="189">
        <v>-0.20449449414896301</v>
      </c>
      <c r="I63" s="176">
        <v>3.9679102894313161</v>
      </c>
      <c r="J63" s="189">
        <v>5.3335194280660492</v>
      </c>
      <c r="K63" s="189">
        <v>2.7237937640372762</v>
      </c>
      <c r="L63" s="189">
        <v>3.9780150758941106</v>
      </c>
      <c r="M63" s="189">
        <v>3.0282677428878135</v>
      </c>
      <c r="N63" s="189">
        <v>4.2049439670925208</v>
      </c>
      <c r="O63" s="176">
        <v>4.2828257451456411</v>
      </c>
      <c r="P63" s="189">
        <v>3.1814056263090822</v>
      </c>
      <c r="Q63" s="177">
        <v>4.1660555112222557</v>
      </c>
    </row>
    <row r="64" spans="1:17">
      <c r="A64" s="178" t="s">
        <v>415</v>
      </c>
      <c r="B64" s="175">
        <v>3.9993600205592812</v>
      </c>
      <c r="C64" s="189">
        <v>3.134005250137252</v>
      </c>
      <c r="D64" s="189">
        <v>7.0885789642833412</v>
      </c>
      <c r="E64" s="176">
        <v>2.0471197155501963</v>
      </c>
      <c r="F64" s="189">
        <v>2.296067419798923</v>
      </c>
      <c r="G64" s="189">
        <v>1.7183040220170056</v>
      </c>
      <c r="H64" s="189">
        <v>0.48121284246303686</v>
      </c>
      <c r="I64" s="176">
        <v>3.9661958959911634</v>
      </c>
      <c r="J64" s="189">
        <v>4.8700712494418488</v>
      </c>
      <c r="K64" s="189">
        <v>3.0211847179666282</v>
      </c>
      <c r="L64" s="189">
        <v>4.2276221793417843</v>
      </c>
      <c r="M64" s="189">
        <v>2.5821191972945514</v>
      </c>
      <c r="N64" s="189">
        <v>4.2144224034882907</v>
      </c>
      <c r="O64" s="176">
        <v>3.4378143463138833</v>
      </c>
      <c r="P64" s="189">
        <v>3.4966357602181612</v>
      </c>
      <c r="Q64" s="177">
        <v>3.4440242137102874</v>
      </c>
    </row>
    <row r="65" spans="1:17">
      <c r="A65" s="178" t="s">
        <v>417</v>
      </c>
      <c r="B65" s="175">
        <v>-2.4790341838732091</v>
      </c>
      <c r="C65" s="189">
        <v>-1.8341683493420171</v>
      </c>
      <c r="D65" s="189">
        <v>-4.7021645958481706</v>
      </c>
      <c r="E65" s="176">
        <v>2.4195247564782512</v>
      </c>
      <c r="F65" s="189">
        <v>2.7438876154822589</v>
      </c>
      <c r="G65" s="189">
        <v>1.479535612722628</v>
      </c>
      <c r="H65" s="189">
        <v>0.73107676349962647</v>
      </c>
      <c r="I65" s="176">
        <v>4.2722045900473464</v>
      </c>
      <c r="J65" s="189">
        <v>5.0850556734364494</v>
      </c>
      <c r="K65" s="189">
        <v>2.9445289698658783</v>
      </c>
      <c r="L65" s="189">
        <v>5.2768854753911674</v>
      </c>
      <c r="M65" s="189">
        <v>2.3145711002499825</v>
      </c>
      <c r="N65" s="189">
        <v>4.1424927981459847</v>
      </c>
      <c r="O65" s="176">
        <v>3.3732782294956962</v>
      </c>
      <c r="P65" s="189">
        <v>3.2878135226967213</v>
      </c>
      <c r="Q65" s="177">
        <v>3.3642076955231532</v>
      </c>
    </row>
    <row r="66" spans="1:17">
      <c r="A66" s="178" t="s">
        <v>418</v>
      </c>
      <c r="B66" s="175">
        <v>-5.7141275421946771</v>
      </c>
      <c r="C66" s="189">
        <v>-4.9006226431704363</v>
      </c>
      <c r="D66" s="189">
        <v>-8.4769824848581159</v>
      </c>
      <c r="E66" s="176">
        <v>2.1951177473073566</v>
      </c>
      <c r="F66" s="189">
        <v>2.5912894688837302</v>
      </c>
      <c r="G66" s="189">
        <v>0.22953317441488413</v>
      </c>
      <c r="H66" s="189">
        <v>0.67024600751817831</v>
      </c>
      <c r="I66" s="176">
        <v>4.4159771401859347</v>
      </c>
      <c r="J66" s="189">
        <v>5.060334656120502</v>
      </c>
      <c r="K66" s="189">
        <v>2.9164563500205598</v>
      </c>
      <c r="L66" s="189">
        <v>5.7489759252521697</v>
      </c>
      <c r="M66" s="189">
        <v>2.3036131625274252</v>
      </c>
      <c r="N66" s="189">
        <v>4.2173880750034805</v>
      </c>
      <c r="O66" s="176">
        <v>3.2109438347031478</v>
      </c>
      <c r="P66" s="189">
        <v>3.8075719155604077</v>
      </c>
      <c r="Q66" s="177">
        <v>3.2742110085616032</v>
      </c>
    </row>
    <row r="67" spans="1:17">
      <c r="A67" s="178" t="s">
        <v>419</v>
      </c>
      <c r="B67" s="175">
        <v>-3.36113733301625</v>
      </c>
      <c r="C67" s="189">
        <v>-3.3563720012674492</v>
      </c>
      <c r="D67" s="189">
        <v>-3.3778439123371298</v>
      </c>
      <c r="E67" s="176">
        <v>0.99872517582512632</v>
      </c>
      <c r="F67" s="189">
        <v>1.1825262072449099</v>
      </c>
      <c r="G67" s="189">
        <v>-2.2638636761820394</v>
      </c>
      <c r="H67" s="189">
        <v>1.8503722738608464</v>
      </c>
      <c r="I67" s="176">
        <v>3.8457037275034689</v>
      </c>
      <c r="J67" s="189">
        <v>4.7594131973973628</v>
      </c>
      <c r="K67" s="189">
        <v>3.0030936270175497</v>
      </c>
      <c r="L67" s="189">
        <v>4.6862723314753243</v>
      </c>
      <c r="M67" s="189">
        <v>2.2206286297892714</v>
      </c>
      <c r="N67" s="189">
        <v>3.159992761913355</v>
      </c>
      <c r="O67" s="176">
        <v>2.6433361803957309</v>
      </c>
      <c r="P67" s="189">
        <v>4.9831708231307728</v>
      </c>
      <c r="Q67" s="177">
        <v>2.8890556293791998</v>
      </c>
    </row>
    <row r="68" spans="1:17">
      <c r="A68" s="178" t="s">
        <v>420</v>
      </c>
      <c r="B68" s="175">
        <v>1.505208443923455</v>
      </c>
      <c r="C68" s="189">
        <v>1.1556306709343638</v>
      </c>
      <c r="D68" s="189">
        <v>2.7070771768434976</v>
      </c>
      <c r="E68" s="176">
        <v>1.686047997335256</v>
      </c>
      <c r="F68" s="189">
        <v>2.1689072877500326</v>
      </c>
      <c r="G68" s="189">
        <v>-3.7717231181724737</v>
      </c>
      <c r="H68" s="189">
        <v>1.8651384591729534</v>
      </c>
      <c r="I68" s="176">
        <v>3.298337497948181</v>
      </c>
      <c r="J68" s="189">
        <v>4.2289877502779643</v>
      </c>
      <c r="K68" s="189">
        <v>2.5842053476916194</v>
      </c>
      <c r="L68" s="189">
        <v>3.9568898940332677</v>
      </c>
      <c r="M68" s="189">
        <v>2.1716477753836743</v>
      </c>
      <c r="N68" s="189">
        <v>2.4966879670729938</v>
      </c>
      <c r="O68" s="176">
        <v>2.7576935308183574</v>
      </c>
      <c r="P68" s="189">
        <v>4.5421747823745573</v>
      </c>
      <c r="Q68" s="177">
        <v>2.9461797842851212</v>
      </c>
    </row>
    <row r="69" spans="1:17">
      <c r="A69" s="178" t="s">
        <v>422</v>
      </c>
      <c r="B69" s="175">
        <v>4.652743558679246</v>
      </c>
      <c r="C69" s="189">
        <v>4.5059032913261889</v>
      </c>
      <c r="D69" s="189">
        <v>5.1742000187346324</v>
      </c>
      <c r="E69" s="176">
        <v>2.1385619114896235</v>
      </c>
      <c r="F69" s="189">
        <v>2.5554812730880601</v>
      </c>
      <c r="G69" s="189">
        <v>-3.1775654728579781</v>
      </c>
      <c r="H69" s="189">
        <v>2.6909403700499555</v>
      </c>
      <c r="I69" s="176">
        <v>2.7433151161105536</v>
      </c>
      <c r="J69" s="189">
        <v>3.3923811042389049</v>
      </c>
      <c r="K69" s="189">
        <v>2.4202045868540703</v>
      </c>
      <c r="L69" s="189">
        <v>2.7088561864885641</v>
      </c>
      <c r="M69" s="189">
        <v>2.3003131429263477</v>
      </c>
      <c r="N69" s="189">
        <v>2.6051330341997003</v>
      </c>
      <c r="O69" s="176">
        <v>2.6843643685711638</v>
      </c>
      <c r="P69" s="189">
        <v>3.8871779650867384</v>
      </c>
      <c r="Q69" s="177">
        <v>2.8119269443042518</v>
      </c>
    </row>
    <row r="70" spans="1:17">
      <c r="A70" s="178" t="s">
        <v>423</v>
      </c>
      <c r="B70" s="175">
        <v>7.079931302282624</v>
      </c>
      <c r="C70" s="189">
        <v>8.0980265134213809</v>
      </c>
      <c r="D70" s="189">
        <v>3.4871262813190862</v>
      </c>
      <c r="E70" s="176">
        <v>2.2238129180645529</v>
      </c>
      <c r="F70" s="189">
        <v>2.5985256368424317</v>
      </c>
      <c r="G70" s="189">
        <v>-3.998569299793568</v>
      </c>
      <c r="H70" s="189">
        <v>3.6737047194784269</v>
      </c>
      <c r="I70" s="176">
        <v>2.3424349410933236</v>
      </c>
      <c r="J70" s="189">
        <v>2.6174256125214654</v>
      </c>
      <c r="K70" s="189">
        <v>2.2538105933232822</v>
      </c>
      <c r="L70" s="189">
        <v>2.0809285746426545</v>
      </c>
      <c r="M70" s="189">
        <v>2.3362538037623697</v>
      </c>
      <c r="N70" s="189">
        <v>2.5363978478855844</v>
      </c>
      <c r="O70" s="176">
        <v>2.5657415233599727</v>
      </c>
      <c r="P70" s="189">
        <v>2.7130927741391564</v>
      </c>
      <c r="Q70" s="177">
        <v>2.5814475279063265</v>
      </c>
    </row>
    <row r="71" spans="1:17">
      <c r="A71" s="178" t="s">
        <v>424</v>
      </c>
      <c r="B71" s="175">
        <v>5.6021844962545826</v>
      </c>
      <c r="C71" s="189">
        <v>6.4045517155479734</v>
      </c>
      <c r="D71" s="189">
        <v>2.788573358160261</v>
      </c>
      <c r="E71" s="176">
        <v>-0.73145358000353622</v>
      </c>
      <c r="F71" s="189">
        <v>-1.0320814846005886</v>
      </c>
      <c r="G71" s="189">
        <v>-2.7912946981435902</v>
      </c>
      <c r="H71" s="189">
        <v>2.8189087759171514</v>
      </c>
      <c r="I71" s="176">
        <v>2.3141107519269735</v>
      </c>
      <c r="J71" s="189">
        <v>2.8691638058331281</v>
      </c>
      <c r="K71" s="189">
        <v>1.7563001249236567</v>
      </c>
      <c r="L71" s="189">
        <v>2.2476513833299694</v>
      </c>
      <c r="M71" s="189">
        <v>2.2685558518605546</v>
      </c>
      <c r="N71" s="189">
        <v>2.3885248307166727</v>
      </c>
      <c r="O71" s="176">
        <v>1.6651170761767777</v>
      </c>
      <c r="P71" s="189">
        <v>0.27201082724356218</v>
      </c>
      <c r="Q71" s="177">
        <v>1.5158413780279207</v>
      </c>
    </row>
    <row r="72" spans="1:17">
      <c r="A72" s="178" t="s">
        <v>425</v>
      </c>
      <c r="B72" s="175">
        <v>1.6252401253071234</v>
      </c>
      <c r="C72" s="189">
        <v>3.3449179085222069</v>
      </c>
      <c r="D72" s="189">
        <v>-4.1978028865508916</v>
      </c>
      <c r="E72" s="176">
        <v>2.0030626393422173</v>
      </c>
      <c r="F72" s="189">
        <v>2.0183112861009422</v>
      </c>
      <c r="G72" s="189">
        <v>-0.26807377828599627</v>
      </c>
      <c r="H72" s="189">
        <v>3.348477001892221</v>
      </c>
      <c r="I72" s="176">
        <v>2.324413004191086</v>
      </c>
      <c r="J72" s="189">
        <v>2.9057439385302084</v>
      </c>
      <c r="K72" s="189">
        <v>1.5359020568144295</v>
      </c>
      <c r="L72" s="189">
        <v>2.6367555547936146</v>
      </c>
      <c r="M72" s="189">
        <v>2.1236765593642861</v>
      </c>
      <c r="N72" s="189">
        <v>2.0823047046655581</v>
      </c>
      <c r="O72" s="176">
        <v>2.1987689977652001</v>
      </c>
      <c r="P72" s="189">
        <v>0.48224699754758082</v>
      </c>
      <c r="Q72" s="177">
        <v>2.0146501018165641</v>
      </c>
    </row>
    <row r="73" spans="1:17">
      <c r="A73" s="178" t="s">
        <v>426</v>
      </c>
      <c r="B73" s="175">
        <v>2.104650728006269</v>
      </c>
      <c r="C73" s="189">
        <v>2.4721664344296741</v>
      </c>
      <c r="D73" s="189">
        <v>0.80782864972449364</v>
      </c>
      <c r="E73" s="176">
        <v>0.43249986672514068</v>
      </c>
      <c r="F73" s="189">
        <v>6.5703522692260916E-2</v>
      </c>
      <c r="G73" s="189">
        <v>0.53538536457535235</v>
      </c>
      <c r="H73" s="189">
        <v>3.0382059525281169</v>
      </c>
      <c r="I73" s="176">
        <v>2.1806252895866032</v>
      </c>
      <c r="J73" s="189">
        <v>2.702014719681987</v>
      </c>
      <c r="K73" s="189">
        <v>1.8426075718023813</v>
      </c>
      <c r="L73" s="189">
        <v>2.6447534534005102</v>
      </c>
      <c r="M73" s="189">
        <v>1.9262952487694325</v>
      </c>
      <c r="N73" s="189">
        <v>1.3195561389561363</v>
      </c>
      <c r="O73" s="176">
        <v>1.7056243976646686</v>
      </c>
      <c r="P73" s="189">
        <v>0.65149370144421859</v>
      </c>
      <c r="Q73" s="177">
        <v>1.592660970076492</v>
      </c>
    </row>
    <row r="74" spans="1:17">
      <c r="A74" s="178" t="s">
        <v>429</v>
      </c>
      <c r="B74" s="175">
        <v>2.716485440760648</v>
      </c>
      <c r="C74" s="189">
        <v>1.642466779146877</v>
      </c>
      <c r="D74" s="189">
        <v>6.6755129545685286</v>
      </c>
      <c r="E74" s="176">
        <v>1.8538280703101599</v>
      </c>
      <c r="F74" s="189">
        <v>1.9241157028022273</v>
      </c>
      <c r="G74" s="189">
        <v>-0.24946353935605281</v>
      </c>
      <c r="H74" s="189">
        <v>2.6587005875484166</v>
      </c>
      <c r="I74" s="176">
        <v>1.9339186846750185</v>
      </c>
      <c r="J74" s="189">
        <v>2.8470937136455388</v>
      </c>
      <c r="K74" s="189">
        <v>1.7274532770266515</v>
      </c>
      <c r="L74" s="189">
        <v>2.4506580168465861</v>
      </c>
      <c r="M74" s="189">
        <v>1.6549791510733252</v>
      </c>
      <c r="N74" s="189">
        <v>0.41968475263883481</v>
      </c>
      <c r="O74" s="176">
        <v>1.9563583164896541</v>
      </c>
      <c r="P74" s="189">
        <v>0.80229612669527151</v>
      </c>
      <c r="Q74" s="177">
        <v>1.8331902601652554</v>
      </c>
    </row>
    <row r="75" spans="1:17" ht="39" thickBot="1">
      <c r="A75" s="190" t="s">
        <v>19</v>
      </c>
      <c r="B75" s="191">
        <f>AVERAGE(B3:B74)</f>
        <v>1.8319400812109876</v>
      </c>
      <c r="C75" s="192">
        <f t="shared" ref="C75:Q75" si="0">AVERAGE(C3:C74)</f>
        <v>2.8916456396652546</v>
      </c>
      <c r="D75" s="192">
        <f t="shared" si="0"/>
        <v>-0.39277114900894011</v>
      </c>
      <c r="E75" s="192">
        <f t="shared" si="0"/>
        <v>2.5790345895394675</v>
      </c>
      <c r="F75" s="192">
        <f t="shared" si="0"/>
        <v>2.5675236129031718</v>
      </c>
      <c r="G75" s="192">
        <f t="shared" si="0"/>
        <v>1.329681584457467</v>
      </c>
      <c r="H75" s="192">
        <f t="shared" si="0"/>
        <v>4.3607400348842074</v>
      </c>
      <c r="I75" s="192">
        <f t="shared" si="0"/>
        <v>3.8988792452835037</v>
      </c>
      <c r="J75" s="192">
        <f t="shared" si="0"/>
        <v>4.1019594350846997</v>
      </c>
      <c r="K75" s="192">
        <f t="shared" si="0"/>
        <v>4.6503301047114878</v>
      </c>
      <c r="L75" s="192">
        <f t="shared" si="0"/>
        <v>5.1446885376453997</v>
      </c>
      <c r="M75" s="192">
        <f t="shared" si="0"/>
        <v>3.0403037768620846</v>
      </c>
      <c r="N75" s="192">
        <f t="shared" si="0"/>
        <v>2.0460450295014594</v>
      </c>
      <c r="O75" s="192">
        <f t="shared" si="0"/>
        <v>3.3438609206908452</v>
      </c>
      <c r="P75" s="192">
        <f t="shared" si="0"/>
        <v>2.7257008902063031</v>
      </c>
      <c r="Q75" s="193">
        <f t="shared" si="0"/>
        <v>3.2877591539045574</v>
      </c>
    </row>
  </sheetData>
  <mergeCells count="1">
    <mergeCell ref="A1:Q1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16"/>
  <sheetViews>
    <sheetView workbookViewId="0">
      <selection sqref="A1:N1"/>
    </sheetView>
  </sheetViews>
  <sheetFormatPr defaultRowHeight="12.75"/>
  <cols>
    <col min="2" max="2" width="11.625" customWidth="1"/>
    <col min="3" max="3" width="10.875" customWidth="1"/>
    <col min="4" max="4" width="10.5" customWidth="1"/>
    <col min="5" max="5" width="10.625" customWidth="1"/>
    <col min="6" max="6" width="12.625" customWidth="1"/>
    <col min="7" max="7" width="11.125" customWidth="1"/>
    <col min="8" max="8" width="11.375" customWidth="1"/>
    <col min="9" max="9" width="10.375" customWidth="1"/>
    <col min="10" max="10" width="10.5" customWidth="1"/>
    <col min="11" max="11" width="14" customWidth="1"/>
    <col min="12" max="12" width="10.375" customWidth="1"/>
    <col min="14" max="14" width="11.25" customWidth="1"/>
    <col min="17" max="23" width="9" style="7"/>
  </cols>
  <sheetData>
    <row r="1" spans="1:23" ht="54.75" customHeight="1" thickBot="1">
      <c r="A1" s="409" t="s">
        <v>203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3"/>
      <c r="N1" s="413"/>
      <c r="O1" s="187"/>
      <c r="P1" s="185"/>
      <c r="Q1" s="273"/>
    </row>
    <row r="2" spans="1:23" ht="64.5" thickBot="1">
      <c r="A2" s="179"/>
      <c r="B2" s="261" t="s">
        <v>0</v>
      </c>
      <c r="C2" s="260" t="s">
        <v>1</v>
      </c>
      <c r="D2" s="260" t="s">
        <v>2</v>
      </c>
      <c r="E2" s="261" t="s">
        <v>3</v>
      </c>
      <c r="F2" s="260" t="s">
        <v>4</v>
      </c>
      <c r="G2" s="260" t="s">
        <v>5</v>
      </c>
      <c r="H2" s="260" t="s">
        <v>6</v>
      </c>
      <c r="I2" s="261" t="s">
        <v>7</v>
      </c>
      <c r="J2" s="260" t="s">
        <v>8</v>
      </c>
      <c r="K2" s="260" t="s">
        <v>9</v>
      </c>
      <c r="L2" s="260" t="s">
        <v>10</v>
      </c>
      <c r="M2" s="260" t="s">
        <v>11</v>
      </c>
      <c r="N2" s="260" t="s">
        <v>12</v>
      </c>
      <c r="O2" s="188"/>
      <c r="P2" s="186"/>
      <c r="Q2" s="274"/>
    </row>
    <row r="3" spans="1:23">
      <c r="A3" s="182">
        <v>1996</v>
      </c>
      <c r="B3" s="180">
        <v>8.1141392541812234</v>
      </c>
      <c r="C3" s="210">
        <v>4.9487771426835554</v>
      </c>
      <c r="D3" s="210">
        <v>3.1653621114976693</v>
      </c>
      <c r="E3" s="181">
        <v>26.544077541471417</v>
      </c>
      <c r="F3" s="210">
        <v>21.635483580245278</v>
      </c>
      <c r="G3" s="210">
        <v>2.5765821816384276</v>
      </c>
      <c r="H3" s="210">
        <v>2.3320117795877069</v>
      </c>
      <c r="I3" s="181">
        <v>53.647682792823971</v>
      </c>
      <c r="J3" s="210">
        <v>11.267858220095265</v>
      </c>
      <c r="K3" s="210">
        <v>9.4161386167477232</v>
      </c>
      <c r="L3" s="210">
        <v>13.451545893400674</v>
      </c>
      <c r="M3" s="210">
        <v>5.539045177441543</v>
      </c>
      <c r="N3" s="210">
        <v>13.973094885138766</v>
      </c>
      <c r="O3" s="187"/>
      <c r="P3" s="185"/>
      <c r="Q3" s="273"/>
    </row>
    <row r="4" spans="1:23">
      <c r="A4" s="182">
        <f>A3+1</f>
        <v>1997</v>
      </c>
      <c r="B4" s="183">
        <v>7.9760233849383271</v>
      </c>
      <c r="C4" s="211">
        <v>4.8368470274406841</v>
      </c>
      <c r="D4" s="211">
        <v>3.1391763574976426</v>
      </c>
      <c r="E4" s="184">
        <v>26.817294204818857</v>
      </c>
      <c r="F4" s="211">
        <v>21.784654544429497</v>
      </c>
      <c r="G4" s="211">
        <v>2.6143680776129758</v>
      </c>
      <c r="H4" s="211">
        <v>2.4182715827763874</v>
      </c>
      <c r="I4" s="184">
        <v>53.419534540501246</v>
      </c>
      <c r="J4" s="211">
        <v>11.113802395673359</v>
      </c>
      <c r="K4" s="211">
        <v>9.7497327792358295</v>
      </c>
      <c r="L4" s="211">
        <v>13.753923496693899</v>
      </c>
      <c r="M4" s="211">
        <v>5.4276584629349678</v>
      </c>
      <c r="N4" s="211">
        <v>13.374417405963197</v>
      </c>
      <c r="O4" s="187"/>
      <c r="P4" s="185"/>
      <c r="Q4" s="275"/>
      <c r="R4" s="92"/>
      <c r="S4" s="92"/>
      <c r="T4" s="92"/>
      <c r="U4" s="92"/>
      <c r="V4" s="92"/>
      <c r="W4" s="92"/>
    </row>
    <row r="5" spans="1:23">
      <c r="A5" s="182">
        <f t="shared" ref="A5:A17" si="0">A4+1</f>
        <v>1998</v>
      </c>
      <c r="B5" s="183">
        <v>7.9084367852789788</v>
      </c>
      <c r="C5" s="211">
        <v>4.8384744048694888</v>
      </c>
      <c r="D5" s="211">
        <v>3.0699623804094891</v>
      </c>
      <c r="E5" s="184">
        <v>26.059820681134077</v>
      </c>
      <c r="F5" s="211">
        <v>21.498933052223133</v>
      </c>
      <c r="G5" s="211">
        <v>2.4333497499222165</v>
      </c>
      <c r="H5" s="211">
        <v>2.1275378789887212</v>
      </c>
      <c r="I5" s="184">
        <v>54.412046302376673</v>
      </c>
      <c r="J5" s="211">
        <v>11.114693060311803</v>
      </c>
      <c r="K5" s="211">
        <v>10.103078273957928</v>
      </c>
      <c r="L5" s="211">
        <v>13.965812005883697</v>
      </c>
      <c r="M5" s="211">
        <v>5.7153968267856543</v>
      </c>
      <c r="N5" s="211">
        <v>13.513066135437585</v>
      </c>
      <c r="O5" s="187"/>
      <c r="P5" s="185"/>
      <c r="Q5" s="275"/>
      <c r="R5" s="92"/>
      <c r="S5" s="92"/>
      <c r="T5" s="92"/>
      <c r="U5" s="92"/>
      <c r="V5" s="92"/>
      <c r="W5" s="92"/>
    </row>
    <row r="6" spans="1:23">
      <c r="A6" s="182">
        <f t="shared" si="0"/>
        <v>1999</v>
      </c>
      <c r="B6" s="183">
        <v>6.8827283066342879</v>
      </c>
      <c r="C6" s="211">
        <v>4.6753244107124479</v>
      </c>
      <c r="D6" s="211">
        <v>2.2074038959218405</v>
      </c>
      <c r="E6" s="184">
        <v>26.084395849062147</v>
      </c>
      <c r="F6" s="211">
        <v>21.677125065369641</v>
      </c>
      <c r="G6" s="211">
        <v>2.4162222408131937</v>
      </c>
      <c r="H6" s="211">
        <v>1.9910485428793132</v>
      </c>
      <c r="I6" s="184">
        <v>55.727983158010531</v>
      </c>
      <c r="J6" s="211">
        <v>11.819004678912878</v>
      </c>
      <c r="K6" s="211">
        <v>10.382155470809291</v>
      </c>
      <c r="L6" s="211">
        <v>14.702205241076053</v>
      </c>
      <c r="M6" s="211">
        <v>5.8814561422854998</v>
      </c>
      <c r="N6" s="211">
        <v>12.943161624926807</v>
      </c>
      <c r="O6" s="187"/>
      <c r="P6" s="185"/>
      <c r="Q6" s="275"/>
      <c r="R6" s="92"/>
      <c r="S6" s="92"/>
      <c r="T6" s="92"/>
      <c r="U6" s="92"/>
      <c r="V6" s="92"/>
      <c r="W6" s="92"/>
    </row>
    <row r="7" spans="1:23">
      <c r="A7" s="182">
        <f t="shared" si="0"/>
        <v>2000</v>
      </c>
      <c r="B7" s="183">
        <v>6.7037237177011573</v>
      </c>
      <c r="C7" s="211">
        <v>4.6446680811608392</v>
      </c>
      <c r="D7" s="211">
        <v>2.0590556365403168</v>
      </c>
      <c r="E7" s="184">
        <v>26.969533369485603</v>
      </c>
      <c r="F7" s="211">
        <v>22.538701250281978</v>
      </c>
      <c r="G7" s="211">
        <v>2.4492754473896419</v>
      </c>
      <c r="H7" s="211">
        <v>1.9815566718139825</v>
      </c>
      <c r="I7" s="184">
        <v>55.331034867186361</v>
      </c>
      <c r="J7" s="211">
        <v>12.24963888170628</v>
      </c>
      <c r="K7" s="211">
        <v>10.582515882344069</v>
      </c>
      <c r="L7" s="211">
        <v>14.245311061660601</v>
      </c>
      <c r="M7" s="211">
        <v>5.896570070889342</v>
      </c>
      <c r="N7" s="211">
        <v>12.356998970586069</v>
      </c>
      <c r="O7" s="187"/>
      <c r="P7" s="185"/>
      <c r="Q7" s="275"/>
      <c r="R7" s="92"/>
      <c r="S7" s="92"/>
      <c r="T7" s="92"/>
      <c r="U7" s="92"/>
      <c r="V7" s="92"/>
      <c r="W7" s="92"/>
    </row>
    <row r="8" spans="1:23">
      <c r="A8" s="182">
        <f t="shared" si="0"/>
        <v>2001</v>
      </c>
      <c r="B8" s="183">
        <v>6.3013255990042598</v>
      </c>
      <c r="C8" s="211">
        <v>4.4308219156713502</v>
      </c>
      <c r="D8" s="211">
        <v>1.8705036833329098</v>
      </c>
      <c r="E8" s="184">
        <v>27.105097756463572</v>
      </c>
      <c r="F8" s="211">
        <v>22.21978755585922</v>
      </c>
      <c r="G8" s="211">
        <v>2.3411886500289092</v>
      </c>
      <c r="H8" s="211">
        <v>2.5441215505754409</v>
      </c>
      <c r="I8" s="184">
        <v>55.343987177873785</v>
      </c>
      <c r="J8" s="211">
        <v>12.643422065647911</v>
      </c>
      <c r="K8" s="211">
        <v>10.568300553972723</v>
      </c>
      <c r="L8" s="211">
        <v>14.415234011227609</v>
      </c>
      <c r="M8" s="211">
        <v>5.7767386164439687</v>
      </c>
      <c r="N8" s="211">
        <v>11.940291930581584</v>
      </c>
      <c r="O8" s="187"/>
      <c r="P8" s="185"/>
      <c r="Q8" s="275"/>
      <c r="R8" s="92"/>
      <c r="S8" s="92"/>
      <c r="T8" s="92"/>
      <c r="U8" s="92"/>
      <c r="V8" s="92"/>
      <c r="W8" s="92"/>
    </row>
    <row r="9" spans="1:23">
      <c r="A9" s="182">
        <f t="shared" si="0"/>
        <v>2002</v>
      </c>
      <c r="B9" s="183">
        <v>6.154940347475506</v>
      </c>
      <c r="C9" s="211">
        <v>4.5244688257340249</v>
      </c>
      <c r="D9" s="211">
        <v>1.6304712646120256</v>
      </c>
      <c r="E9" s="184">
        <v>26.718836509959544</v>
      </c>
      <c r="F9" s="211">
        <v>22.251899149407123</v>
      </c>
      <c r="G9" s="211">
        <v>2.5060351195666923</v>
      </c>
      <c r="H9" s="211">
        <v>1.9609022409857291</v>
      </c>
      <c r="I9" s="184">
        <v>56.162972018194466</v>
      </c>
      <c r="J9" s="211">
        <v>12.638743652607568</v>
      </c>
      <c r="K9" s="211">
        <v>11.276478559216098</v>
      </c>
      <c r="L9" s="211">
        <v>14.776335546993533</v>
      </c>
      <c r="M9" s="211">
        <v>5.7724530116454389</v>
      </c>
      <c r="N9" s="211">
        <v>11.698961512533057</v>
      </c>
      <c r="O9" s="187"/>
      <c r="P9" s="185"/>
      <c r="Q9" s="275"/>
      <c r="R9" s="92"/>
      <c r="S9" s="92"/>
      <c r="T9" s="92"/>
      <c r="U9" s="92"/>
      <c r="V9" s="92"/>
      <c r="W9" s="92"/>
    </row>
    <row r="10" spans="1:23">
      <c r="A10" s="182">
        <f t="shared" si="0"/>
        <v>2003</v>
      </c>
      <c r="B10" s="183">
        <v>6.3120703024991789</v>
      </c>
      <c r="C10" s="211">
        <v>4.6318203315987434</v>
      </c>
      <c r="D10" s="211">
        <v>1.6801213621119087</v>
      </c>
      <c r="E10" s="184">
        <v>25.616951350467509</v>
      </c>
      <c r="F10" s="211">
        <v>21.459372343135634</v>
      </c>
      <c r="G10" s="211">
        <v>2.158382198293634</v>
      </c>
      <c r="H10" s="211">
        <v>1.9991968090382419</v>
      </c>
      <c r="I10" s="184">
        <v>57.224448723054209</v>
      </c>
      <c r="J10" s="211">
        <v>12.727959251279069</v>
      </c>
      <c r="K10" s="211">
        <v>11.742689314844036</v>
      </c>
      <c r="L10" s="211">
        <v>15.185688958694596</v>
      </c>
      <c r="M10" s="211">
        <v>5.9313479289333904</v>
      </c>
      <c r="N10" s="211">
        <v>11.636817008624806</v>
      </c>
      <c r="O10" s="187"/>
      <c r="P10" s="185"/>
      <c r="Q10" s="275"/>
      <c r="R10" s="92"/>
      <c r="S10" s="92"/>
      <c r="T10" s="92"/>
      <c r="U10" s="92"/>
      <c r="V10" s="92"/>
      <c r="W10" s="92"/>
    </row>
    <row r="11" spans="1:23">
      <c r="A11" s="182">
        <f t="shared" si="0"/>
        <v>2004</v>
      </c>
      <c r="B11" s="183">
        <v>6.0860930464553027</v>
      </c>
      <c r="C11" s="211">
        <v>4.445864520235757</v>
      </c>
      <c r="D11" s="211">
        <v>1.6400257947423849</v>
      </c>
      <c r="E11" s="184">
        <v>25.810539195551506</v>
      </c>
      <c r="F11" s="211">
        <v>21.501148477430185</v>
      </c>
      <c r="G11" s="211">
        <v>2.2166641369845834</v>
      </c>
      <c r="H11" s="211">
        <v>2.0927265811367226</v>
      </c>
      <c r="I11" s="184">
        <v>57.228100770694333</v>
      </c>
      <c r="J11" s="211">
        <v>12.842450928413285</v>
      </c>
      <c r="K11" s="211">
        <v>11.740684369707727</v>
      </c>
      <c r="L11" s="211">
        <v>15.582175764758771</v>
      </c>
      <c r="M11" s="211">
        <v>5.7764775353005628</v>
      </c>
      <c r="N11" s="211">
        <v>11.286333198973017</v>
      </c>
      <c r="O11" s="187"/>
      <c r="P11" s="185"/>
      <c r="Q11" s="275"/>
      <c r="R11" s="92"/>
      <c r="S11" s="92"/>
      <c r="T11" s="92"/>
      <c r="U11" s="92"/>
      <c r="V11" s="92"/>
      <c r="W11" s="92"/>
    </row>
    <row r="12" spans="1:23">
      <c r="A12" s="182">
        <f t="shared" si="0"/>
        <v>2005</v>
      </c>
      <c r="B12" s="183">
        <v>5.4118357341588492</v>
      </c>
      <c r="C12" s="211">
        <v>3.958400257675168</v>
      </c>
      <c r="D12" s="211">
        <v>1.4536796616495402</v>
      </c>
      <c r="E12" s="184">
        <v>26.063815584033556</v>
      </c>
      <c r="F12" s="211">
        <v>21.584398804728757</v>
      </c>
      <c r="G12" s="211">
        <v>2.2324188491422157</v>
      </c>
      <c r="H12" s="211">
        <v>2.2470307788029689</v>
      </c>
      <c r="I12" s="184">
        <v>57.777196133591346</v>
      </c>
      <c r="J12" s="211">
        <v>12.928479125728645</v>
      </c>
      <c r="K12" s="211">
        <v>11.758033219411759</v>
      </c>
      <c r="L12" s="211">
        <v>16.291819048366527</v>
      </c>
      <c r="M12" s="211">
        <v>5.6463576697013078</v>
      </c>
      <c r="N12" s="211">
        <v>11.152363297668954</v>
      </c>
      <c r="O12" s="187"/>
      <c r="P12" s="185"/>
      <c r="Q12" s="275"/>
      <c r="R12" s="92"/>
      <c r="S12" s="92"/>
      <c r="T12" s="92"/>
      <c r="U12" s="92"/>
      <c r="V12" s="92"/>
      <c r="W12" s="92"/>
    </row>
    <row r="13" spans="1:23">
      <c r="A13" s="182">
        <f t="shared" si="0"/>
        <v>2006</v>
      </c>
      <c r="B13" s="183">
        <v>5.1021157790159704</v>
      </c>
      <c r="C13" s="211">
        <v>3.7707144465961644</v>
      </c>
      <c r="D13" s="211">
        <v>1.3314226411908523</v>
      </c>
      <c r="E13" s="184">
        <v>26.16340895338552</v>
      </c>
      <c r="F13" s="211">
        <v>21.687243229968072</v>
      </c>
      <c r="G13" s="211">
        <v>2.1852143475194277</v>
      </c>
      <c r="H13" s="211">
        <v>2.2909883699361648</v>
      </c>
      <c r="I13" s="184">
        <v>57.898118931121068</v>
      </c>
      <c r="J13" s="211">
        <v>13.034992033762958</v>
      </c>
      <c r="K13" s="211">
        <v>11.720920493074342</v>
      </c>
      <c r="L13" s="211">
        <v>16.625494783396093</v>
      </c>
      <c r="M13" s="211">
        <v>5.6341718832259042</v>
      </c>
      <c r="N13" s="212">
        <v>10.882542997758945</v>
      </c>
      <c r="Q13" s="92"/>
      <c r="R13" s="92"/>
      <c r="S13" s="92"/>
      <c r="T13" s="92"/>
      <c r="U13" s="92"/>
      <c r="V13" s="92"/>
      <c r="W13" s="92"/>
    </row>
    <row r="14" spans="1:23">
      <c r="A14" s="182">
        <f t="shared" si="0"/>
        <v>2007</v>
      </c>
      <c r="B14" s="183">
        <v>4.9946671020977345</v>
      </c>
      <c r="C14" s="211">
        <v>3.7063088041560714</v>
      </c>
      <c r="D14" s="211">
        <v>1.2886431306735067</v>
      </c>
      <c r="E14" s="184">
        <v>26.173236465974576</v>
      </c>
      <c r="F14" s="211">
        <v>21.565349658459095</v>
      </c>
      <c r="G14" s="211">
        <v>2.1323575585896664</v>
      </c>
      <c r="H14" s="211">
        <v>2.4755292489258185</v>
      </c>
      <c r="I14" s="184">
        <v>58.102266147192772</v>
      </c>
      <c r="J14" s="211">
        <v>12.997737448326099</v>
      </c>
      <c r="K14" s="211">
        <v>11.857889465843135</v>
      </c>
      <c r="L14" s="211">
        <v>16.918338137947483</v>
      </c>
      <c r="M14" s="211">
        <v>5.6135747158997207</v>
      </c>
      <c r="N14" s="212">
        <v>10.694926700621538</v>
      </c>
      <c r="Q14" s="92"/>
      <c r="R14" s="92"/>
      <c r="S14" s="92"/>
      <c r="T14" s="92"/>
      <c r="U14" s="92"/>
      <c r="V14" s="92"/>
      <c r="W14" s="92"/>
    </row>
    <row r="15" spans="1:23">
      <c r="A15" s="182">
        <f t="shared" si="0"/>
        <v>2008</v>
      </c>
      <c r="B15" s="183">
        <v>5.2426876136536782</v>
      </c>
      <c r="C15" s="211">
        <v>4.0830630367702181</v>
      </c>
      <c r="D15" s="211">
        <v>1.1583890794534277</v>
      </c>
      <c r="E15" s="184">
        <v>25.849546774168097</v>
      </c>
      <c r="F15" s="211">
        <v>21.272167126328682</v>
      </c>
      <c r="G15" s="211">
        <v>1.968347457625031</v>
      </c>
      <c r="H15" s="211">
        <v>2.5846361138384779</v>
      </c>
      <c r="I15" s="184">
        <v>58.314119023088239</v>
      </c>
      <c r="J15" s="211">
        <v>12.633353296878843</v>
      </c>
      <c r="K15" s="211">
        <v>11.882485375957701</v>
      </c>
      <c r="L15" s="211">
        <v>17.473469656386825</v>
      </c>
      <c r="M15" s="211">
        <v>5.6025945199004656</v>
      </c>
      <c r="N15" s="212">
        <v>10.792808483914429</v>
      </c>
      <c r="Q15" s="92"/>
      <c r="R15" s="92"/>
      <c r="S15" s="92"/>
      <c r="T15" s="92"/>
      <c r="U15" s="92"/>
      <c r="V15" s="92"/>
      <c r="W15" s="92"/>
    </row>
    <row r="16" spans="1:23">
      <c r="A16" s="182">
        <f t="shared" si="0"/>
        <v>2009</v>
      </c>
      <c r="B16" s="183">
        <v>5.2394316427415717</v>
      </c>
      <c r="C16" s="211">
        <v>4.0373960740777113</v>
      </c>
      <c r="D16" s="211">
        <v>1.1039718769040332</v>
      </c>
      <c r="E16" s="184">
        <v>24.110432710111006</v>
      </c>
      <c r="F16" s="211">
        <v>19.502086018892946</v>
      </c>
      <c r="G16" s="211">
        <v>1.9255412070334372</v>
      </c>
      <c r="H16" s="211">
        <v>2.8523817743487228</v>
      </c>
      <c r="I16" s="184">
        <v>60.147063315067285</v>
      </c>
      <c r="J16" s="211">
        <v>12.870666670236957</v>
      </c>
      <c r="K16" s="211">
        <v>12.29064515756334</v>
      </c>
      <c r="L16" s="211">
        <v>18.078772317464484</v>
      </c>
      <c r="M16" s="211">
        <v>5.7029195767300909</v>
      </c>
      <c r="N16" s="212">
        <v>11.416848718931442</v>
      </c>
      <c r="Q16" s="92"/>
      <c r="R16" s="92"/>
      <c r="S16" s="92"/>
      <c r="T16" s="92"/>
      <c r="U16" s="92"/>
      <c r="V16" s="92"/>
      <c r="W16" s="92"/>
    </row>
    <row r="17" spans="1:23">
      <c r="A17" s="182">
        <f t="shared" si="0"/>
        <v>2010</v>
      </c>
      <c r="B17" s="183">
        <v>5.1345213705531059</v>
      </c>
      <c r="C17" s="211">
        <v>3.9731511673421349</v>
      </c>
      <c r="D17" s="211">
        <v>1.1613702032109705</v>
      </c>
      <c r="E17" s="184">
        <v>24.551634737275208</v>
      </c>
      <c r="F17" s="211">
        <v>19.890691671454984</v>
      </c>
      <c r="G17" s="211">
        <v>1.8733352126582496</v>
      </c>
      <c r="H17" s="211">
        <v>2.7876078531619739</v>
      </c>
      <c r="I17" s="184">
        <v>59.71972755844893</v>
      </c>
      <c r="J17" s="211">
        <v>12.89026733189719</v>
      </c>
      <c r="K17" s="211">
        <v>12.132755285795662</v>
      </c>
      <c r="L17" s="211">
        <v>17.806583353118217</v>
      </c>
      <c r="M17" s="211">
        <v>5.5195052741490915</v>
      </c>
      <c r="N17" s="212">
        <v>11.370616313488775</v>
      </c>
      <c r="Q17" s="92"/>
      <c r="R17" s="92"/>
      <c r="S17" s="92"/>
      <c r="T17" s="92"/>
      <c r="U17" s="92"/>
      <c r="V17" s="92"/>
      <c r="W17" s="92"/>
    </row>
    <row r="18" spans="1:23">
      <c r="A18" s="182">
        <v>2011</v>
      </c>
      <c r="B18" s="183">
        <v>4.9825785329745509</v>
      </c>
      <c r="C18" s="211">
        <v>3.8766113767193335</v>
      </c>
      <c r="D18" s="211">
        <v>1.1059671562552185</v>
      </c>
      <c r="E18" s="184">
        <v>24.370140776424222</v>
      </c>
      <c r="F18" s="211">
        <v>19.836497197904958</v>
      </c>
      <c r="G18" s="211">
        <v>1.8305752206377337</v>
      </c>
      <c r="H18" s="211">
        <v>2.7030683578815307</v>
      </c>
      <c r="I18" s="184">
        <v>60.064795382757637</v>
      </c>
      <c r="J18" s="211">
        <v>13.080349547795219</v>
      </c>
      <c r="K18" s="211">
        <v>12.055777127170799</v>
      </c>
      <c r="L18" s="211">
        <v>18.022259005071746</v>
      </c>
      <c r="M18" s="211">
        <v>5.465980538823823</v>
      </c>
      <c r="N18" s="212">
        <v>11.44042916389604</v>
      </c>
      <c r="Q18" s="92"/>
      <c r="R18" s="92"/>
      <c r="S18" s="92"/>
      <c r="T18" s="92"/>
      <c r="U18" s="92"/>
      <c r="V18" s="92"/>
      <c r="W18" s="92"/>
    </row>
    <row r="19" spans="1:23">
      <c r="A19" s="182">
        <v>2012</v>
      </c>
      <c r="B19" s="183">
        <v>4.9624906174833772</v>
      </c>
      <c r="C19" s="211">
        <v>3.8659036400147895</v>
      </c>
      <c r="D19" s="211">
        <v>1.0965869774685881</v>
      </c>
      <c r="E19" s="184">
        <v>24.122265430523697</v>
      </c>
      <c r="F19" s="211">
        <v>19.704913877517381</v>
      </c>
      <c r="G19" s="211">
        <v>1.721790763824615</v>
      </c>
      <c r="H19" s="211">
        <v>2.6955607891817017</v>
      </c>
      <c r="I19" s="184">
        <v>60.207739591777319</v>
      </c>
      <c r="J19" s="211">
        <v>13.198916238510893</v>
      </c>
      <c r="K19" s="211">
        <v>12.027275242845349</v>
      </c>
      <c r="L19" s="211">
        <v>18.116419059780682</v>
      </c>
      <c r="M19" s="211">
        <v>5.4368068393041762</v>
      </c>
      <c r="N19" s="212">
        <v>11.428322211336225</v>
      </c>
      <c r="Q19" s="92"/>
      <c r="R19" s="92"/>
      <c r="S19" s="92"/>
      <c r="T19" s="92"/>
      <c r="U19" s="92"/>
      <c r="V19" s="92"/>
      <c r="W19" s="92"/>
    </row>
    <row r="20" spans="1:23">
      <c r="A20" s="182">
        <v>2013</v>
      </c>
      <c r="B20" s="183">
        <v>5.0234838064211207</v>
      </c>
      <c r="C20" s="211">
        <v>3.9300428587125356</v>
      </c>
      <c r="D20" s="211">
        <v>1.0934409477085854</v>
      </c>
      <c r="E20" s="184">
        <v>23.921075945795987</v>
      </c>
      <c r="F20" s="211">
        <v>19.512552941833473</v>
      </c>
      <c r="G20" s="211">
        <v>1.6804983984077346</v>
      </c>
      <c r="H20" s="211">
        <v>2.7280246055547823</v>
      </c>
      <c r="I20" s="184">
        <v>60.472814097087365</v>
      </c>
      <c r="J20" s="211">
        <v>13.340501337202948</v>
      </c>
      <c r="K20" s="211">
        <v>12.024456615558679</v>
      </c>
      <c r="L20" s="211">
        <v>18.251005792467023</v>
      </c>
      <c r="M20" s="211">
        <v>5.4502980320877299</v>
      </c>
      <c r="N20" s="212">
        <v>11.406552319771</v>
      </c>
      <c r="Q20" s="92"/>
      <c r="R20" s="92"/>
      <c r="S20" s="92"/>
      <c r="T20" s="92"/>
      <c r="U20" s="92"/>
      <c r="V20" s="92"/>
      <c r="W20" s="92"/>
    </row>
    <row r="21" spans="1:23" ht="51.75" thickBot="1">
      <c r="A21" s="194" t="s">
        <v>20</v>
      </c>
      <c r="B21" s="195">
        <f t="shared" ref="B21:M21" si="1">AVERAGE(B3:B20)</f>
        <v>6.0296273857371219</v>
      </c>
      <c r="C21" s="258">
        <f t="shared" si="1"/>
        <v>4.2877032401206137</v>
      </c>
      <c r="D21" s="258">
        <f t="shared" si="1"/>
        <v>1.7364196756211616</v>
      </c>
      <c r="E21" s="196">
        <f t="shared" si="1"/>
        <v>25.725116879783673</v>
      </c>
      <c r="F21" s="258">
        <f t="shared" si="1"/>
        <v>21.173500308081667</v>
      </c>
      <c r="G21" s="258">
        <f t="shared" si="1"/>
        <v>2.1812303787604659</v>
      </c>
      <c r="H21" s="258">
        <f t="shared" si="1"/>
        <v>2.3784556405230211</v>
      </c>
      <c r="I21" s="196">
        <f t="shared" si="1"/>
        <v>57.28897947393596</v>
      </c>
      <c r="J21" s="258">
        <f t="shared" si="1"/>
        <v>12.521824231388173</v>
      </c>
      <c r="K21" s="258">
        <f t="shared" si="1"/>
        <v>11.295111766892013</v>
      </c>
      <c r="L21" s="258">
        <f t="shared" si="1"/>
        <v>15.981244063021583</v>
      </c>
      <c r="M21" s="258">
        <f t="shared" si="1"/>
        <v>5.6549640456934833</v>
      </c>
      <c r="N21" s="259">
        <f>AVERAGE(N3:N20)</f>
        <v>11.850475160008457</v>
      </c>
    </row>
    <row r="22" spans="1:23">
      <c r="H22" s="272"/>
      <c r="I22" s="272"/>
    </row>
    <row r="23" spans="1:23">
      <c r="I23" t="s">
        <v>345</v>
      </c>
    </row>
    <row r="102" spans="4:6">
      <c r="D102" s="91"/>
    </row>
    <row r="104" spans="4:6">
      <c r="F104" s="92"/>
    </row>
    <row r="105" spans="4:6">
      <c r="F105" s="92"/>
    </row>
    <row r="106" spans="4:6">
      <c r="F106" s="92"/>
    </row>
    <row r="107" spans="4:6">
      <c r="F107" s="92"/>
    </row>
    <row r="108" spans="4:6">
      <c r="F108" s="92"/>
    </row>
    <row r="109" spans="4:6">
      <c r="F109" s="92"/>
    </row>
    <row r="110" spans="4:6">
      <c r="F110" s="92"/>
    </row>
    <row r="111" spans="4:6">
      <c r="F111" s="92"/>
    </row>
    <row r="112" spans="4:6">
      <c r="F112" s="92"/>
    </row>
    <row r="113" spans="6:6">
      <c r="F113" s="92"/>
    </row>
    <row r="114" spans="6:6">
      <c r="F114" s="92"/>
    </row>
    <row r="115" spans="6:6">
      <c r="F115" s="92"/>
    </row>
    <row r="116" spans="6:6">
      <c r="F116" s="92"/>
    </row>
  </sheetData>
  <mergeCells count="1">
    <mergeCell ref="A1:N1"/>
  </mergeCells>
  <phoneticPr fontId="8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C23"/>
  <sheetViews>
    <sheetView workbookViewId="0">
      <selection sqref="A1:N1"/>
    </sheetView>
  </sheetViews>
  <sheetFormatPr defaultRowHeight="12.75"/>
  <cols>
    <col min="1" max="1" width="9.625" customWidth="1"/>
    <col min="2" max="2" width="11.625" customWidth="1"/>
    <col min="3" max="3" width="10.875" customWidth="1"/>
    <col min="4" max="4" width="10.5" customWidth="1"/>
    <col min="5" max="5" width="10.625" customWidth="1"/>
    <col min="6" max="6" width="12.625" customWidth="1"/>
    <col min="7" max="7" width="11.125" customWidth="1"/>
    <col min="8" max="8" width="11.375" customWidth="1"/>
    <col min="9" max="9" width="10.375" customWidth="1"/>
    <col min="10" max="10" width="10.5" customWidth="1"/>
    <col min="11" max="11" width="14" customWidth="1"/>
    <col min="12" max="12" width="10.375" customWidth="1"/>
    <col min="14" max="14" width="11.25" customWidth="1"/>
    <col min="15" max="16384" width="9" style="214"/>
  </cols>
  <sheetData>
    <row r="1" spans="1:237" ht="54" customHeight="1" thickBot="1">
      <c r="A1" s="414" t="s">
        <v>163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6"/>
      <c r="N1" s="417"/>
    </row>
    <row r="2" spans="1:237" s="203" customFormat="1" ht="64.5" thickBot="1">
      <c r="A2" s="200"/>
      <c r="B2" s="201" t="s">
        <v>0</v>
      </c>
      <c r="C2" s="202" t="s">
        <v>1</v>
      </c>
      <c r="D2" s="202" t="s">
        <v>2</v>
      </c>
      <c r="E2" s="201" t="s">
        <v>3</v>
      </c>
      <c r="F2" s="202" t="s">
        <v>4</v>
      </c>
      <c r="G2" s="202" t="s">
        <v>5</v>
      </c>
      <c r="H2" s="202" t="s">
        <v>6</v>
      </c>
      <c r="I2" s="201" t="s">
        <v>7</v>
      </c>
      <c r="J2" s="202" t="s">
        <v>8</v>
      </c>
      <c r="K2" s="202" t="s">
        <v>9</v>
      </c>
      <c r="L2" s="202" t="s">
        <v>10</v>
      </c>
      <c r="M2" s="202" t="s">
        <v>11</v>
      </c>
      <c r="N2" s="218" t="s">
        <v>12</v>
      </c>
      <c r="O2" s="215"/>
      <c r="P2" s="216"/>
      <c r="Q2" s="215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  <c r="CF2" s="217"/>
      <c r="CG2" s="217"/>
      <c r="CH2" s="217"/>
      <c r="CI2" s="217"/>
      <c r="CJ2" s="217"/>
      <c r="CK2" s="217"/>
      <c r="CL2" s="217"/>
      <c r="CM2" s="217"/>
      <c r="CN2" s="217"/>
      <c r="CO2" s="217"/>
      <c r="CP2" s="217"/>
      <c r="CQ2" s="217"/>
      <c r="CR2" s="217"/>
      <c r="CS2" s="217"/>
      <c r="CT2" s="217"/>
      <c r="CU2" s="217"/>
      <c r="CV2" s="217"/>
      <c r="CW2" s="217"/>
      <c r="CX2" s="217"/>
      <c r="CY2" s="217"/>
      <c r="CZ2" s="217"/>
      <c r="DA2" s="217"/>
      <c r="DB2" s="217"/>
      <c r="DC2" s="217"/>
      <c r="DD2" s="217"/>
      <c r="DE2" s="217"/>
      <c r="DF2" s="217"/>
      <c r="DG2" s="217"/>
      <c r="DH2" s="217"/>
      <c r="DI2" s="217"/>
      <c r="DJ2" s="217"/>
      <c r="DK2" s="217"/>
      <c r="DL2" s="217"/>
      <c r="DM2" s="217"/>
      <c r="DN2" s="217"/>
      <c r="DO2" s="217"/>
      <c r="DP2" s="217"/>
      <c r="DQ2" s="217"/>
      <c r="DR2" s="217"/>
      <c r="DS2" s="217"/>
      <c r="DT2" s="217"/>
      <c r="DU2" s="217"/>
      <c r="DV2" s="217"/>
      <c r="DW2" s="217"/>
      <c r="DX2" s="217"/>
      <c r="DY2" s="217"/>
      <c r="DZ2" s="217"/>
      <c r="EA2" s="217"/>
      <c r="EB2" s="217"/>
      <c r="EC2" s="217"/>
      <c r="ED2" s="217"/>
      <c r="EE2" s="217"/>
      <c r="EF2" s="217"/>
      <c r="EG2" s="217"/>
      <c r="EH2" s="217"/>
      <c r="EI2" s="217"/>
      <c r="EJ2" s="217"/>
      <c r="EK2" s="217"/>
      <c r="EL2" s="217"/>
      <c r="EM2" s="217"/>
      <c r="EN2" s="217"/>
      <c r="EO2" s="217"/>
      <c r="EP2" s="217"/>
      <c r="EQ2" s="217"/>
      <c r="ER2" s="217"/>
      <c r="ES2" s="217"/>
      <c r="ET2" s="217"/>
      <c r="EU2" s="217"/>
      <c r="EV2" s="217"/>
      <c r="EW2" s="217"/>
      <c r="EX2" s="217"/>
      <c r="EY2" s="217"/>
      <c r="EZ2" s="217"/>
      <c r="FA2" s="217"/>
      <c r="FB2" s="217"/>
      <c r="FC2" s="217"/>
      <c r="FD2" s="217"/>
      <c r="FE2" s="217"/>
      <c r="FF2" s="217"/>
      <c r="FG2" s="217"/>
      <c r="FH2" s="217"/>
      <c r="FI2" s="217"/>
      <c r="FJ2" s="217"/>
      <c r="FK2" s="217"/>
      <c r="FL2" s="217"/>
      <c r="FM2" s="217"/>
      <c r="FN2" s="217"/>
      <c r="FO2" s="217"/>
      <c r="FP2" s="217"/>
      <c r="FQ2" s="217"/>
      <c r="FR2" s="217"/>
      <c r="FS2" s="217"/>
      <c r="FT2" s="217"/>
      <c r="FU2" s="217"/>
      <c r="FV2" s="217"/>
      <c r="FW2" s="217"/>
      <c r="FX2" s="217"/>
      <c r="FY2" s="217"/>
      <c r="FZ2" s="217"/>
      <c r="GA2" s="217"/>
      <c r="GB2" s="217"/>
      <c r="GC2" s="217"/>
      <c r="GD2" s="217"/>
      <c r="GE2" s="217"/>
      <c r="GF2" s="217"/>
      <c r="GG2" s="217"/>
      <c r="GH2" s="217"/>
      <c r="GI2" s="217"/>
      <c r="GJ2" s="217"/>
      <c r="GK2" s="217"/>
      <c r="GL2" s="217"/>
      <c r="GM2" s="217"/>
      <c r="GN2" s="217"/>
      <c r="GO2" s="217"/>
      <c r="GP2" s="217"/>
      <c r="GQ2" s="217"/>
      <c r="GR2" s="217"/>
      <c r="GS2" s="217"/>
      <c r="GT2" s="217"/>
      <c r="GU2" s="217"/>
      <c r="GV2" s="217"/>
      <c r="GW2" s="217"/>
      <c r="GX2" s="217"/>
      <c r="GY2" s="217"/>
      <c r="GZ2" s="217"/>
      <c r="HA2" s="217"/>
      <c r="HB2" s="217"/>
      <c r="HC2" s="217"/>
      <c r="HD2" s="217"/>
      <c r="HE2" s="217"/>
      <c r="HF2" s="217"/>
      <c r="HG2" s="217"/>
      <c r="HH2" s="217"/>
      <c r="HI2" s="217"/>
      <c r="HJ2" s="217"/>
      <c r="HK2" s="217"/>
      <c r="HL2" s="217"/>
      <c r="HM2" s="217"/>
      <c r="HN2" s="217"/>
      <c r="HO2" s="217"/>
      <c r="HP2" s="217"/>
      <c r="HQ2" s="217"/>
      <c r="HR2" s="217"/>
      <c r="HS2" s="217"/>
      <c r="HT2" s="217"/>
      <c r="HU2" s="217"/>
      <c r="HV2" s="217"/>
      <c r="HW2" s="217"/>
      <c r="HX2" s="217"/>
      <c r="HY2" s="217"/>
      <c r="HZ2" s="217"/>
      <c r="IA2" s="217"/>
      <c r="IB2" s="217"/>
      <c r="IC2" s="217"/>
    </row>
    <row r="3" spans="1:237">
      <c r="A3" s="204">
        <v>1995</v>
      </c>
      <c r="B3" s="205">
        <v>9.9424283672306846</v>
      </c>
      <c r="C3" s="209">
        <v>31.219885239761684</v>
      </c>
      <c r="D3" s="209">
        <v>4.368765339010511</v>
      </c>
      <c r="E3" s="206">
        <v>20.25831072564549</v>
      </c>
      <c r="F3" s="209">
        <v>20.924039137211555</v>
      </c>
      <c r="G3" s="209">
        <v>17.394424395032733</v>
      </c>
      <c r="H3" s="209">
        <v>18.021026255675061</v>
      </c>
      <c r="I3" s="206">
        <v>15.682808530827982</v>
      </c>
      <c r="J3" s="209">
        <v>16.221638337702217</v>
      </c>
      <c r="K3" s="209">
        <v>23.298915716145348</v>
      </c>
      <c r="L3" s="209">
        <v>13.96366999336583</v>
      </c>
      <c r="M3" s="209">
        <v>16.393127682742588</v>
      </c>
      <c r="N3" s="213">
        <v>13.657638702721981</v>
      </c>
      <c r="P3" s="276"/>
    </row>
    <row r="4" spans="1:237">
      <c r="A4" s="204">
        <f>A3+1</f>
        <v>1996</v>
      </c>
      <c r="B4" s="205">
        <v>11.846084932040066</v>
      </c>
      <c r="C4" s="209">
        <v>29.28963769979805</v>
      </c>
      <c r="D4" s="209">
        <v>6.1343775999025345</v>
      </c>
      <c r="E4" s="206">
        <v>20.2230596611364</v>
      </c>
      <c r="F4" s="209">
        <v>20.995846665370575</v>
      </c>
      <c r="G4" s="209">
        <v>17.437448848651616</v>
      </c>
      <c r="H4" s="209">
        <v>17.359219109142639</v>
      </c>
      <c r="I4" s="206">
        <v>15.683491898449317</v>
      </c>
      <c r="J4" s="209">
        <v>15.994350895442441</v>
      </c>
      <c r="K4" s="209">
        <v>22.940361987658573</v>
      </c>
      <c r="L4" s="209">
        <v>13.971525098825246</v>
      </c>
      <c r="M4" s="209">
        <v>16.38373416331515</v>
      </c>
      <c r="N4" s="213">
        <v>13.905927119607151</v>
      </c>
      <c r="P4" s="276"/>
    </row>
    <row r="5" spans="1:237">
      <c r="A5" s="204">
        <f t="shared" ref="A5:A18" si="0">A4+1</f>
        <v>1997</v>
      </c>
      <c r="B5" s="205">
        <v>11.695543187640416</v>
      </c>
      <c r="C5" s="209">
        <v>28.92453081455869</v>
      </c>
      <c r="D5" s="209">
        <v>6.0984701370025842</v>
      </c>
      <c r="E5" s="206">
        <v>20.240021581749932</v>
      </c>
      <c r="F5" s="209">
        <v>20.985825312423927</v>
      </c>
      <c r="G5" s="209">
        <v>17.360777291784693</v>
      </c>
      <c r="H5" s="209">
        <v>17.741225030152609</v>
      </c>
      <c r="I5" s="206">
        <v>15.525520215199643</v>
      </c>
      <c r="J5" s="209">
        <v>16.018920192772622</v>
      </c>
      <c r="K5" s="209">
        <v>22.505408413821069</v>
      </c>
      <c r="L5" s="209">
        <v>13.909301706717011</v>
      </c>
      <c r="M5" s="209">
        <v>16.37237357809774</v>
      </c>
      <c r="N5" s="213">
        <v>13.463213711045732</v>
      </c>
      <c r="P5" s="276"/>
    </row>
    <row r="6" spans="1:237">
      <c r="A6" s="204">
        <f t="shared" si="0"/>
        <v>1998</v>
      </c>
      <c r="B6" s="205">
        <v>11.86075224054712</v>
      </c>
      <c r="C6" s="209">
        <v>30.820293094463185</v>
      </c>
      <c r="D6" s="209">
        <v>6.0220877142669469</v>
      </c>
      <c r="E6" s="206">
        <v>20.137868099074325</v>
      </c>
      <c r="F6" s="209">
        <v>20.933221406863463</v>
      </c>
      <c r="G6" s="209">
        <v>17.395691743275385</v>
      </c>
      <c r="H6" s="209">
        <v>16.730717828698115</v>
      </c>
      <c r="I6" s="206">
        <v>15.63943960914686</v>
      </c>
      <c r="J6" s="209">
        <v>15.95265306467798</v>
      </c>
      <c r="K6" s="209">
        <v>22.298198069022995</v>
      </c>
      <c r="L6" s="209">
        <v>13.926272136340042</v>
      </c>
      <c r="M6" s="209">
        <v>16.373798743141759</v>
      </c>
      <c r="N6" s="213">
        <v>13.824963758222243</v>
      </c>
      <c r="P6" s="276"/>
    </row>
    <row r="7" spans="1:237">
      <c r="A7" s="204">
        <f t="shared" si="0"/>
        <v>1999</v>
      </c>
      <c r="B7" s="205">
        <v>10.36136669605661</v>
      </c>
      <c r="C7" s="209">
        <v>28.257792407700549</v>
      </c>
      <c r="D7" s="209">
        <v>4.4252885359751204</v>
      </c>
      <c r="E7" s="206">
        <v>20.253183466265948</v>
      </c>
      <c r="F7" s="209">
        <v>21.141974358104061</v>
      </c>
      <c r="G7" s="209">
        <v>17.493376540370143</v>
      </c>
      <c r="H7" s="209">
        <v>15.994736511913807</v>
      </c>
      <c r="I7" s="206">
        <v>15.546708185361025</v>
      </c>
      <c r="J7" s="209">
        <v>15.886446309168086</v>
      </c>
      <c r="K7" s="209">
        <v>21.94878675011271</v>
      </c>
      <c r="L7" s="209">
        <v>14.054891981405232</v>
      </c>
      <c r="M7" s="209">
        <v>16.346473787300845</v>
      </c>
      <c r="N7" s="213">
        <v>13.458471855703719</v>
      </c>
      <c r="P7" s="276"/>
    </row>
    <row r="8" spans="1:237">
      <c r="A8" s="204">
        <f t="shared" si="0"/>
        <v>2000</v>
      </c>
      <c r="B8" s="205">
        <v>10.503663420698331</v>
      </c>
      <c r="C8" s="209">
        <v>28.002506571344831</v>
      </c>
      <c r="D8" s="209">
        <v>4.3590716181944229</v>
      </c>
      <c r="E8" s="206">
        <v>20.376978155416424</v>
      </c>
      <c r="F8" s="209">
        <v>21.237797622631735</v>
      </c>
      <c r="G8" s="209">
        <v>17.96297050774983</v>
      </c>
      <c r="H8" s="209">
        <v>15.736125154649914</v>
      </c>
      <c r="I8" s="206">
        <v>15.510131030045008</v>
      </c>
      <c r="J8" s="209">
        <v>15.907644363038081</v>
      </c>
      <c r="K8" s="209">
        <v>21.574755848773226</v>
      </c>
      <c r="L8" s="209">
        <v>13.784242501565606</v>
      </c>
      <c r="M8" s="209">
        <v>16.329207295355932</v>
      </c>
      <c r="N8" s="213">
        <v>13.544797370282682</v>
      </c>
      <c r="P8" s="276"/>
    </row>
    <row r="9" spans="1:237">
      <c r="A9" s="204">
        <f t="shared" si="0"/>
        <v>2001</v>
      </c>
      <c r="B9" s="205">
        <v>10.409914079734786</v>
      </c>
      <c r="C9" s="209">
        <v>28.855298944900348</v>
      </c>
      <c r="D9" s="209">
        <v>4.1404213103185707</v>
      </c>
      <c r="E9" s="206">
        <v>20.838659882512491</v>
      </c>
      <c r="F9" s="209">
        <v>21.191725942724304</v>
      </c>
      <c r="G9" s="209">
        <v>18.624138114185424</v>
      </c>
      <c r="H9" s="209">
        <v>20.11282426500772</v>
      </c>
      <c r="I9" s="206">
        <v>15.645274114802918</v>
      </c>
      <c r="J9" s="209">
        <v>16.830560217380356</v>
      </c>
      <c r="K9" s="209">
        <v>21.251602756521976</v>
      </c>
      <c r="L9" s="209">
        <v>13.469803844116612</v>
      </c>
      <c r="M9" s="209">
        <v>16.342478909775245</v>
      </c>
      <c r="N9" s="213">
        <v>13.799913170715916</v>
      </c>
      <c r="P9" s="276"/>
    </row>
    <row r="10" spans="1:237">
      <c r="A10" s="204">
        <f t="shared" si="0"/>
        <v>2002</v>
      </c>
      <c r="B10" s="205">
        <v>10.177247512535439</v>
      </c>
      <c r="C10" s="209">
        <v>28.355031923435565</v>
      </c>
      <c r="D10" s="209">
        <v>3.6622552322715274</v>
      </c>
      <c r="E10" s="206">
        <v>20.407725215820907</v>
      </c>
      <c r="F10" s="209">
        <v>21.157836666166858</v>
      </c>
      <c r="G10" s="209">
        <v>19.740467884872988</v>
      </c>
      <c r="H10" s="209">
        <v>15.015438752176033</v>
      </c>
      <c r="I10" s="206">
        <v>15.634785417504638</v>
      </c>
      <c r="J10" s="209">
        <v>16.855167509338223</v>
      </c>
      <c r="K10" s="209">
        <v>21.320844334825697</v>
      </c>
      <c r="L10" s="209">
        <v>13.314981560134084</v>
      </c>
      <c r="M10" s="209">
        <v>16.334138374740981</v>
      </c>
      <c r="N10" s="213">
        <v>13.758766379982374</v>
      </c>
      <c r="P10" s="276"/>
    </row>
    <row r="11" spans="1:237">
      <c r="A11" s="204">
        <f t="shared" si="0"/>
        <v>2003</v>
      </c>
      <c r="B11" s="205">
        <v>10.443497195207005</v>
      </c>
      <c r="C11" s="209">
        <v>29.6223686770327</v>
      </c>
      <c r="D11" s="209">
        <v>3.7499384385689067</v>
      </c>
      <c r="E11" s="206">
        <v>20.134161984705692</v>
      </c>
      <c r="F11" s="209">
        <v>21.28418387808674</v>
      </c>
      <c r="G11" s="209">
        <v>16.967710933151565</v>
      </c>
      <c r="H11" s="209">
        <v>14.605835703544892</v>
      </c>
      <c r="I11" s="206">
        <v>15.711259063797081</v>
      </c>
      <c r="J11" s="209">
        <v>16.986960353160484</v>
      </c>
      <c r="K11" s="209">
        <v>21.449794927729112</v>
      </c>
      <c r="L11" s="209">
        <v>13.415398999002409</v>
      </c>
      <c r="M11" s="209">
        <v>16.336224473785794</v>
      </c>
      <c r="N11" s="213">
        <v>13.682483003389892</v>
      </c>
      <c r="P11" s="276"/>
    </row>
    <row r="12" spans="1:237">
      <c r="A12" s="204">
        <f t="shared" si="0"/>
        <v>2004</v>
      </c>
      <c r="B12" s="205">
        <v>10.383122889776661</v>
      </c>
      <c r="C12" s="209">
        <v>29.458492509253986</v>
      </c>
      <c r="D12" s="209">
        <v>3.7681572693470096</v>
      </c>
      <c r="E12" s="206">
        <v>20.086364962642573</v>
      </c>
      <c r="F12" s="209">
        <v>21.24472540096156</v>
      </c>
      <c r="G12" s="209">
        <v>17.052465721431251</v>
      </c>
      <c r="H12" s="209">
        <v>14.642918571793631</v>
      </c>
      <c r="I12" s="206">
        <v>15.687997731333111</v>
      </c>
      <c r="J12" s="209">
        <v>16.993237452780324</v>
      </c>
      <c r="K12" s="209">
        <v>21.366280723176697</v>
      </c>
      <c r="L12" s="209">
        <v>13.436770914754915</v>
      </c>
      <c r="M12" s="209">
        <v>16.339683662393629</v>
      </c>
      <c r="N12" s="213">
        <v>13.606767511955873</v>
      </c>
      <c r="P12" s="276"/>
    </row>
    <row r="13" spans="1:237">
      <c r="A13" s="204">
        <f t="shared" si="0"/>
        <v>2005</v>
      </c>
      <c r="B13" s="205">
        <v>9.6216352260559095</v>
      </c>
      <c r="C13" s="209">
        <v>26.981005008372478</v>
      </c>
      <c r="D13" s="209">
        <v>3.4964844527192112</v>
      </c>
      <c r="E13" s="206">
        <v>20.09462074400215</v>
      </c>
      <c r="F13" s="209">
        <v>21.237648667473373</v>
      </c>
      <c r="G13" s="209">
        <v>17.241025320976643</v>
      </c>
      <c r="H13" s="209">
        <v>14.856964538276088</v>
      </c>
      <c r="I13" s="206">
        <v>15.889523990934743</v>
      </c>
      <c r="J13" s="209">
        <v>16.901343225819275</v>
      </c>
      <c r="K13" s="209">
        <v>21.492346887981416</v>
      </c>
      <c r="L13" s="209">
        <v>14.055377460510101</v>
      </c>
      <c r="M13" s="209">
        <v>16.273577472725488</v>
      </c>
      <c r="N13" s="213">
        <v>13.632320532741046</v>
      </c>
      <c r="P13" s="276"/>
    </row>
    <row r="14" spans="1:237">
      <c r="A14" s="204">
        <f t="shared" si="0"/>
        <v>2006</v>
      </c>
      <c r="B14" s="205">
        <v>9.7546037958733649</v>
      </c>
      <c r="C14" s="209">
        <v>28.691210289195347</v>
      </c>
      <c r="D14" s="209">
        <v>3.3997566632450966</v>
      </c>
      <c r="E14" s="206">
        <v>19.968995411389962</v>
      </c>
      <c r="F14" s="209">
        <v>21.157434320181739</v>
      </c>
      <c r="G14" s="209">
        <v>17.221399657186506</v>
      </c>
      <c r="H14" s="209">
        <v>14.475115133338415</v>
      </c>
      <c r="I14" s="206">
        <v>15.810172063846984</v>
      </c>
      <c r="J14" s="209">
        <v>16.971881141033606</v>
      </c>
      <c r="K14" s="209">
        <v>21.509593894127963</v>
      </c>
      <c r="L14" s="209">
        <v>13.805498267458319</v>
      </c>
      <c r="M14" s="209">
        <v>16.286643012727431</v>
      </c>
      <c r="N14" s="213">
        <v>13.621477002832988</v>
      </c>
      <c r="P14" s="276"/>
    </row>
    <row r="15" spans="1:237">
      <c r="A15" s="204">
        <f t="shared" si="0"/>
        <v>2007</v>
      </c>
      <c r="B15" s="205">
        <v>10.046867427820711</v>
      </c>
      <c r="C15" s="209">
        <v>29.088603995393907</v>
      </c>
      <c r="D15" s="209">
        <v>3.485435261469251</v>
      </c>
      <c r="E15" s="206">
        <v>19.910983739303383</v>
      </c>
      <c r="F15" s="209">
        <v>21.168502088615178</v>
      </c>
      <c r="G15" s="209">
        <v>17.213096978064851</v>
      </c>
      <c r="H15" s="209">
        <v>14.402203941806956</v>
      </c>
      <c r="I15" s="206">
        <v>15.841875858735118</v>
      </c>
      <c r="J15" s="209">
        <v>17.017461053830267</v>
      </c>
      <c r="K15" s="209">
        <v>21.616175231127357</v>
      </c>
      <c r="L15" s="209">
        <v>13.791428331998443</v>
      </c>
      <c r="M15" s="209">
        <v>16.278713374167843</v>
      </c>
      <c r="N15" s="213">
        <v>13.646462172717289</v>
      </c>
      <c r="P15" s="276"/>
    </row>
    <row r="16" spans="1:237">
      <c r="A16" s="204">
        <f t="shared" si="0"/>
        <v>2008</v>
      </c>
      <c r="B16" s="205">
        <v>10.972330662209981</v>
      </c>
      <c r="C16" s="209">
        <v>28.699887895102982</v>
      </c>
      <c r="D16" s="209">
        <v>3.4522894212594823</v>
      </c>
      <c r="E16" s="206">
        <v>19.877157406289843</v>
      </c>
      <c r="F16" s="209">
        <v>21.153336565540972</v>
      </c>
      <c r="G16" s="209">
        <v>17.051086524917196</v>
      </c>
      <c r="H16" s="209">
        <v>14.406379193090052</v>
      </c>
      <c r="I16" s="206">
        <v>15.803793495414793</v>
      </c>
      <c r="J16" s="209">
        <v>17.029913658685924</v>
      </c>
      <c r="K16" s="209">
        <v>21.657882834503276</v>
      </c>
      <c r="L16" s="209">
        <v>13.794007631768842</v>
      </c>
      <c r="M16" s="209">
        <v>16.2540204471664</v>
      </c>
      <c r="N16" s="213">
        <v>13.696980285372415</v>
      </c>
      <c r="P16" s="276"/>
    </row>
    <row r="17" spans="1:16">
      <c r="A17" s="204">
        <f t="shared" si="0"/>
        <v>2009</v>
      </c>
      <c r="B17" s="205">
        <v>11.24922058303115</v>
      </c>
      <c r="C17" s="209">
        <v>28.336607066375908</v>
      </c>
      <c r="D17" s="209">
        <v>3.4149129261497539</v>
      </c>
      <c r="E17" s="206">
        <v>19.555651721834064</v>
      </c>
      <c r="F17" s="209">
        <v>21.193880777712803</v>
      </c>
      <c r="G17" s="209">
        <v>16.618197465305862</v>
      </c>
      <c r="H17" s="209">
        <v>14.48872747187227</v>
      </c>
      <c r="I17" s="206">
        <v>15.853478233213284</v>
      </c>
      <c r="J17" s="209">
        <v>17.250742552403143</v>
      </c>
      <c r="K17" s="209">
        <v>21.804528997398211</v>
      </c>
      <c r="L17" s="209">
        <v>13.87903413808192</v>
      </c>
      <c r="M17" s="209">
        <v>16.390382360697977</v>
      </c>
      <c r="N17" s="213">
        <v>13.695367743354053</v>
      </c>
      <c r="P17" s="276"/>
    </row>
    <row r="18" spans="1:16">
      <c r="A18" s="204">
        <f t="shared" si="0"/>
        <v>2010</v>
      </c>
      <c r="B18" s="205">
        <v>11.020070208351052</v>
      </c>
      <c r="C18" s="209">
        <v>28.892899848630588</v>
      </c>
      <c r="D18" s="209">
        <v>3.53632626337258</v>
      </c>
      <c r="E18" s="206">
        <v>19.825716927635664</v>
      </c>
      <c r="F18" s="209">
        <v>21.306520801903464</v>
      </c>
      <c r="G18" s="209">
        <v>16.413865283574889</v>
      </c>
      <c r="H18" s="209">
        <v>14.618351537961461</v>
      </c>
      <c r="I18" s="206">
        <v>15.971597299802426</v>
      </c>
      <c r="J18" s="209">
        <v>17.311026505830274</v>
      </c>
      <c r="K18" s="209">
        <v>21.944372290807664</v>
      </c>
      <c r="L18" s="209">
        <v>13.917218898925091</v>
      </c>
      <c r="M18" s="209">
        <v>16.428510860577248</v>
      </c>
      <c r="N18" s="213">
        <v>13.76303350614703</v>
      </c>
      <c r="P18" s="276"/>
    </row>
    <row r="19" spans="1:16">
      <c r="A19" s="204">
        <v>2011</v>
      </c>
      <c r="B19" s="205">
        <v>11.052839502558163</v>
      </c>
      <c r="C19" s="209">
        <v>29.213150306697194</v>
      </c>
      <c r="D19" s="209">
        <v>3.476841713903013</v>
      </c>
      <c r="E19" s="206">
        <v>19.852440853736155</v>
      </c>
      <c r="F19" s="209">
        <v>21.305120657789111</v>
      </c>
      <c r="G19" s="209">
        <v>16.367918182125912</v>
      </c>
      <c r="H19" s="209">
        <v>14.638271523475849</v>
      </c>
      <c r="I19" s="206">
        <v>15.981661336036836</v>
      </c>
      <c r="J19" s="209">
        <v>17.42166537618585</v>
      </c>
      <c r="K19" s="209">
        <v>21.898403808403053</v>
      </c>
      <c r="L19" s="209">
        <v>13.929091936341054</v>
      </c>
      <c r="M19" s="209">
        <v>16.466810621429204</v>
      </c>
      <c r="N19" s="213">
        <v>13.763432996179073</v>
      </c>
      <c r="P19" s="276"/>
    </row>
    <row r="20" spans="1:16">
      <c r="A20" s="204">
        <v>2012</v>
      </c>
      <c r="B20" s="205">
        <v>11.085608796765273</v>
      </c>
      <c r="C20" s="209">
        <v>29.352449299675925</v>
      </c>
      <c r="D20" s="209">
        <v>3.6770642039978654</v>
      </c>
      <c r="E20" s="206">
        <v>19.879164779836646</v>
      </c>
      <c r="F20" s="209">
        <v>21.317651054016441</v>
      </c>
      <c r="G20" s="209">
        <v>16.090187366730888</v>
      </c>
      <c r="H20" s="209">
        <v>14.668387352177628</v>
      </c>
      <c r="I20" s="206">
        <v>15.991725372271247</v>
      </c>
      <c r="J20" s="209">
        <v>17.408256794684146</v>
      </c>
      <c r="K20" s="209">
        <v>21.92974782182343</v>
      </c>
      <c r="L20" s="209">
        <v>13.881470714850137</v>
      </c>
      <c r="M20" s="209">
        <v>16.496782777609397</v>
      </c>
      <c r="N20" s="213">
        <v>13.75349292776756</v>
      </c>
      <c r="P20" s="276"/>
    </row>
    <row r="21" spans="1:16">
      <c r="A21" s="204">
        <v>2013</v>
      </c>
      <c r="B21" s="205">
        <v>11.118378090972383</v>
      </c>
      <c r="C21" s="209">
        <v>29.672699757742532</v>
      </c>
      <c r="D21" s="209">
        <v>3.6175796545282983</v>
      </c>
      <c r="E21" s="206">
        <v>19.905888705937137</v>
      </c>
      <c r="F21" s="209">
        <v>21.316250909902088</v>
      </c>
      <c r="G21" s="209">
        <v>16.04424026528191</v>
      </c>
      <c r="H21" s="209">
        <v>14.688307337692017</v>
      </c>
      <c r="I21" s="206">
        <v>16.001789408505658</v>
      </c>
      <c r="J21" s="209">
        <v>17.518895665039722</v>
      </c>
      <c r="K21" s="209">
        <v>21.883779339418819</v>
      </c>
      <c r="L21" s="209">
        <v>13.8933437522661</v>
      </c>
      <c r="M21" s="209">
        <v>16.535082538461353</v>
      </c>
      <c r="N21" s="213">
        <v>13.753892417799603</v>
      </c>
    </row>
    <row r="22" spans="1:16" ht="51.75" thickBot="1">
      <c r="A22" s="204" t="s">
        <v>20</v>
      </c>
      <c r="B22" s="207">
        <f>AVERAGE(B3:B21)</f>
        <v>10.712903937637112</v>
      </c>
      <c r="C22" s="208">
        <f t="shared" ref="C22:N22" si="1">AVERAGE(C3:C21)</f>
        <v>29.038650071022964</v>
      </c>
      <c r="D22" s="208">
        <f t="shared" si="1"/>
        <v>4.1202907239738256</v>
      </c>
      <c r="E22" s="208">
        <f t="shared" si="1"/>
        <v>20.096155474996586</v>
      </c>
      <c r="F22" s="208">
        <f t="shared" si="1"/>
        <v>21.171238012298947</v>
      </c>
      <c r="G22" s="208">
        <f t="shared" si="1"/>
        <v>17.246867843403699</v>
      </c>
      <c r="H22" s="208">
        <f t="shared" si="1"/>
        <v>15.642251326970801</v>
      </c>
      <c r="I22" s="208">
        <f t="shared" si="1"/>
        <v>15.758580676590983</v>
      </c>
      <c r="J22" s="208">
        <f t="shared" si="1"/>
        <v>16.76204024573542</v>
      </c>
      <c r="K22" s="208">
        <f t="shared" si="1"/>
        <v>21.878514770177816</v>
      </c>
      <c r="L22" s="208">
        <f t="shared" si="1"/>
        <v>13.799648940443525</v>
      </c>
      <c r="M22" s="208">
        <f t="shared" si="1"/>
        <v>16.366408638747998</v>
      </c>
      <c r="N22" s="282">
        <f t="shared" si="1"/>
        <v>13.685758008870451</v>
      </c>
    </row>
    <row r="23" spans="1:16">
      <c r="B23" s="272"/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</row>
  </sheetData>
  <mergeCells count="1">
    <mergeCell ref="A1:N1"/>
  </mergeCells>
  <phoneticPr fontId="8" type="noConversion"/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0"/>
  <sheetViews>
    <sheetView workbookViewId="0"/>
  </sheetViews>
  <sheetFormatPr defaultRowHeight="12.75"/>
  <cols>
    <col min="1" max="1" width="7.5" style="7" bestFit="1" customWidth="1"/>
    <col min="2" max="2" width="9" style="7" hidden="1" customWidth="1"/>
    <col min="3" max="3" width="11" style="7" hidden="1" customWidth="1"/>
    <col min="4" max="4" width="17.125" style="7" customWidth="1"/>
    <col min="5" max="5" width="15.5" style="7" bestFit="1" customWidth="1"/>
    <col min="6" max="6" width="13.75" style="7" hidden="1" customWidth="1"/>
    <col min="7" max="7" width="14.125" style="7" hidden="1" customWidth="1"/>
    <col min="8" max="8" width="10.375" style="7" hidden="1" customWidth="1"/>
    <col min="9" max="9" width="10" style="7" hidden="1" customWidth="1"/>
    <col min="10" max="10" width="7.875" style="7" hidden="1" customWidth="1"/>
    <col min="11" max="11" width="9.375" style="7" hidden="1" customWidth="1"/>
    <col min="12" max="12" width="12" hidden="1" customWidth="1"/>
    <col min="13" max="13" width="18.25" bestFit="1" customWidth="1"/>
    <col min="14" max="14" width="14.5" customWidth="1"/>
    <col min="15" max="15" width="12.5" customWidth="1"/>
    <col min="19" max="19" width="16.5" bestFit="1" customWidth="1"/>
    <col min="20" max="21" width="9" customWidth="1"/>
  </cols>
  <sheetData>
    <row r="1" spans="1:20" ht="28.5" customHeight="1" thickBot="1">
      <c r="D1" s="418" t="s">
        <v>232</v>
      </c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20"/>
    </row>
    <row r="2" spans="1:20" ht="39" thickBot="1">
      <c r="C2" s="233" t="s">
        <v>214</v>
      </c>
      <c r="D2" s="241" t="s">
        <v>231</v>
      </c>
      <c r="E2" s="239" t="s">
        <v>223</v>
      </c>
      <c r="F2" s="239" t="s">
        <v>213</v>
      </c>
      <c r="G2" s="239" t="s">
        <v>212</v>
      </c>
      <c r="H2" s="239" t="s">
        <v>272</v>
      </c>
      <c r="I2" s="239" t="s">
        <v>273</v>
      </c>
      <c r="J2" s="239" t="s">
        <v>217</v>
      </c>
      <c r="K2" s="239" t="s">
        <v>218</v>
      </c>
      <c r="L2" s="239" t="s">
        <v>219</v>
      </c>
      <c r="M2" s="239" t="s">
        <v>220</v>
      </c>
      <c r="N2" s="239" t="s">
        <v>221</v>
      </c>
      <c r="O2" s="240" t="s">
        <v>222</v>
      </c>
    </row>
    <row r="3" spans="1:20" ht="13.5" hidden="1" thickBot="1">
      <c r="A3" t="s">
        <v>304</v>
      </c>
      <c r="B3" s="235">
        <v>52513.785574425521</v>
      </c>
      <c r="C3" s="235">
        <v>322910.91006036982</v>
      </c>
      <c r="D3" s="234">
        <f>C3*1000000</f>
        <v>322910910060.36981</v>
      </c>
      <c r="E3" s="234">
        <f>B3*1000000</f>
        <v>52513785574.425522</v>
      </c>
    </row>
    <row r="4" spans="1:20" ht="13.5" hidden="1" thickBot="1">
      <c r="A4" t="s">
        <v>305</v>
      </c>
      <c r="B4" s="235">
        <v>55248.344021382967</v>
      </c>
      <c r="C4" s="235">
        <v>334720.11281865573</v>
      </c>
      <c r="D4" s="234">
        <f t="shared" ref="D4:D40" si="0">C4*1000000</f>
        <v>334720112818.65576</v>
      </c>
      <c r="E4" s="234">
        <f t="shared" ref="E4:E40" si="1">B4*1000000</f>
        <v>55248344021.382965</v>
      </c>
    </row>
    <row r="5" spans="1:20" ht="13.5" hidden="1" thickBot="1">
      <c r="A5" t="s">
        <v>306</v>
      </c>
      <c r="B5" s="235">
        <v>55639.048975850361</v>
      </c>
      <c r="C5" s="235">
        <v>338640.97850102925</v>
      </c>
      <c r="D5" s="234">
        <f t="shared" si="0"/>
        <v>338640978501.02924</v>
      </c>
      <c r="E5" s="234">
        <f t="shared" si="1"/>
        <v>55639048975.850365</v>
      </c>
    </row>
    <row r="6" spans="1:20" ht="13.5" hidden="1" thickBot="1">
      <c r="A6" t="s">
        <v>307</v>
      </c>
      <c r="B6" s="235">
        <v>55758.173321719718</v>
      </c>
      <c r="C6" s="235">
        <v>342446.6683487093</v>
      </c>
      <c r="D6" s="234">
        <f t="shared" si="0"/>
        <v>342446668348.70929</v>
      </c>
      <c r="E6" s="234">
        <f t="shared" si="1"/>
        <v>55758173321.719719</v>
      </c>
    </row>
    <row r="7" spans="1:20" ht="13.5" hidden="1" thickBot="1">
      <c r="A7" t="s">
        <v>308</v>
      </c>
      <c r="B7" s="235">
        <v>53541.924463459938</v>
      </c>
      <c r="C7" s="235">
        <v>333305.5904309589</v>
      </c>
      <c r="D7" s="234">
        <f t="shared" si="0"/>
        <v>333305590430.95892</v>
      </c>
      <c r="E7" s="234">
        <f t="shared" si="1"/>
        <v>53541924463.459938</v>
      </c>
      <c r="F7" s="235">
        <v>4118958622</v>
      </c>
      <c r="G7" s="235">
        <v>674878797</v>
      </c>
      <c r="H7" s="92">
        <f>E7/D7*100</f>
        <v>16.063914317857993</v>
      </c>
      <c r="I7" s="92">
        <f>G7/F7*100</f>
        <v>16.384694747729856</v>
      </c>
      <c r="J7" s="92">
        <f>D7/F7</f>
        <v>80.919868592687919</v>
      </c>
      <c r="K7" s="92">
        <f>E7/G7</f>
        <v>79.335615078539703</v>
      </c>
      <c r="M7" s="234">
        <f>E7*$L$26</f>
        <v>30643923922.265591</v>
      </c>
    </row>
    <row r="8" spans="1:20" ht="13.5" hidden="1" thickBot="1">
      <c r="A8" t="s">
        <v>309</v>
      </c>
      <c r="B8" s="235">
        <v>56761.421952243865</v>
      </c>
      <c r="C8" s="235">
        <v>347204.32913722796</v>
      </c>
      <c r="D8" s="234">
        <f t="shared" si="0"/>
        <v>347204329137.22797</v>
      </c>
      <c r="E8" s="234">
        <f t="shared" si="1"/>
        <v>56761421952.243866</v>
      </c>
      <c r="F8" s="235">
        <v>4128329079</v>
      </c>
      <c r="G8" s="235">
        <v>697677279</v>
      </c>
      <c r="H8" s="92">
        <f t="shared" ref="H8:H43" si="2">E8/D8*100</f>
        <v>16.348131975569249</v>
      </c>
      <c r="I8" s="92">
        <f t="shared" ref="I8:I36" si="3">G8/F8*100</f>
        <v>16.899749648082743</v>
      </c>
      <c r="J8" s="92">
        <f t="shared" ref="J8:J36" si="4">D8/F8</f>
        <v>84.102871281116677</v>
      </c>
      <c r="K8" s="92">
        <f t="shared" ref="K8:K36" si="5">E8/G8</f>
        <v>81.357704573096555</v>
      </c>
      <c r="M8" s="234">
        <f t="shared" ref="M8:M30" si="6">E8*$L$26</f>
        <v>32486555413.435646</v>
      </c>
      <c r="N8" s="92">
        <f>(M8-M7)/M7*100</f>
        <v>6.0130402876741789</v>
      </c>
    </row>
    <row r="9" spans="1:20" ht="13.5" hidden="1" thickBot="1">
      <c r="A9" t="s">
        <v>310</v>
      </c>
      <c r="B9" s="235">
        <v>56894.031533402405</v>
      </c>
      <c r="C9" s="235">
        <v>350396.66989296593</v>
      </c>
      <c r="D9" s="234">
        <f t="shared" si="0"/>
        <v>350396669892.96594</v>
      </c>
      <c r="E9" s="234">
        <f t="shared" si="1"/>
        <v>56894031533.402405</v>
      </c>
      <c r="F9" s="235">
        <v>4479766142</v>
      </c>
      <c r="G9" s="235">
        <v>748604188</v>
      </c>
      <c r="H9" s="92">
        <f t="shared" si="2"/>
        <v>16.237035457780337</v>
      </c>
      <c r="I9" s="92">
        <f t="shared" si="3"/>
        <v>16.71078722126741</v>
      </c>
      <c r="J9" s="92">
        <f t="shared" si="4"/>
        <v>78.217625381786263</v>
      </c>
      <c r="K9" s="92">
        <f t="shared" si="5"/>
        <v>76.000151275405912</v>
      </c>
      <c r="M9" s="234">
        <f t="shared" si="6"/>
        <v>32562452534.37606</v>
      </c>
      <c r="N9" s="92">
        <f t="shared" ref="N9:N39" si="7">(M9-M8)/M8*100</f>
        <v>0.23362624930381273</v>
      </c>
    </row>
    <row r="10" spans="1:20" ht="13.5" hidden="1" thickBot="1">
      <c r="A10" t="s">
        <v>311</v>
      </c>
      <c r="B10" s="235">
        <v>57325.635367883653</v>
      </c>
      <c r="C10" s="235">
        <v>355528.42053884722</v>
      </c>
      <c r="D10" s="234">
        <f t="shared" si="0"/>
        <v>355528420538.84723</v>
      </c>
      <c r="E10" s="234">
        <f t="shared" si="1"/>
        <v>57325635367.883652</v>
      </c>
      <c r="F10" s="235">
        <v>4393645140</v>
      </c>
      <c r="G10" s="235">
        <v>741841930</v>
      </c>
      <c r="H10" s="92">
        <f t="shared" si="2"/>
        <v>16.124065491304343</v>
      </c>
      <c r="I10" s="92">
        <f t="shared" si="3"/>
        <v>16.884429815376485</v>
      </c>
      <c r="J10" s="92">
        <f t="shared" si="4"/>
        <v>80.918783654623326</v>
      </c>
      <c r="K10" s="92">
        <f t="shared" si="5"/>
        <v>77.274730706962941</v>
      </c>
      <c r="M10" s="234">
        <f t="shared" si="6"/>
        <v>32809474568.061604</v>
      </c>
      <c r="N10" s="92">
        <f t="shared" si="7"/>
        <v>0.75861003843234109</v>
      </c>
    </row>
    <row r="11" spans="1:20" ht="15.75" thickBot="1">
      <c r="A11" t="s">
        <v>312</v>
      </c>
      <c r="B11" s="235">
        <v>55181.294713915733</v>
      </c>
      <c r="C11" s="235">
        <v>343994.75999999995</v>
      </c>
      <c r="D11" s="234">
        <f t="shared" si="0"/>
        <v>343994759999.99994</v>
      </c>
      <c r="E11" s="234">
        <f t="shared" si="1"/>
        <v>55181294713.915733</v>
      </c>
      <c r="F11" s="235">
        <v>4324510166.1150007</v>
      </c>
      <c r="G11" s="235">
        <v>733454143.19999993</v>
      </c>
      <c r="H11" s="92">
        <f t="shared" si="2"/>
        <v>16.041318395058035</v>
      </c>
      <c r="I11" s="92">
        <f t="shared" si="3"/>
        <v>16.960398172885121</v>
      </c>
      <c r="J11" s="92">
        <f t="shared" si="4"/>
        <v>79.545369715024549</v>
      </c>
      <c r="K11" s="92">
        <f t="shared" si="5"/>
        <v>75.234825824507993</v>
      </c>
      <c r="M11" s="234">
        <f t="shared" si="6"/>
        <v>31582193096.166451</v>
      </c>
      <c r="N11" s="92">
        <f t="shared" si="7"/>
        <v>-3.7406312903585808</v>
      </c>
      <c r="O11" s="92">
        <f>(M11-M7)/M7*100</f>
        <v>3.0618440911188993</v>
      </c>
      <c r="R11" s="421" t="s">
        <v>347</v>
      </c>
      <c r="S11" s="422"/>
      <c r="T11" s="423"/>
    </row>
    <row r="12" spans="1:20">
      <c r="A12" t="s">
        <v>313</v>
      </c>
      <c r="B12" s="235">
        <v>58708.707406102825</v>
      </c>
      <c r="C12" s="235">
        <v>358345.1</v>
      </c>
      <c r="D12" s="234">
        <f t="shared" si="0"/>
        <v>358345100000</v>
      </c>
      <c r="E12" s="234">
        <f t="shared" si="1"/>
        <v>58708707406.102829</v>
      </c>
      <c r="F12" s="235">
        <v>4344832650.1500006</v>
      </c>
      <c r="G12" s="235">
        <v>733104993.00000012</v>
      </c>
      <c r="H12" s="92">
        <f t="shared" si="2"/>
        <v>16.383287341197864</v>
      </c>
      <c r="I12" s="92">
        <f t="shared" si="3"/>
        <v>16.873031760491177</v>
      </c>
      <c r="J12" s="92">
        <f t="shared" si="4"/>
        <v>82.476157047758448</v>
      </c>
      <c r="K12" s="92">
        <f t="shared" si="5"/>
        <v>80.082263750320436</v>
      </c>
      <c r="M12" s="234">
        <f t="shared" si="6"/>
        <v>33601055273.143013</v>
      </c>
      <c r="N12" s="92">
        <f t="shared" si="7"/>
        <v>6.3924065400689942</v>
      </c>
      <c r="O12" s="92">
        <f t="shared" ref="O12:O36" si="8">(M12-M8)/M8*100</f>
        <v>3.4306495272393116</v>
      </c>
      <c r="R12" s="7">
        <v>2001</v>
      </c>
    </row>
    <row r="13" spans="1:20">
      <c r="A13" t="s">
        <v>314</v>
      </c>
      <c r="B13" s="235">
        <v>58465.53032269227</v>
      </c>
      <c r="C13" s="235">
        <v>360923</v>
      </c>
      <c r="D13" s="234">
        <f t="shared" si="0"/>
        <v>360923000000</v>
      </c>
      <c r="E13" s="234">
        <f t="shared" si="1"/>
        <v>58465530322.692268</v>
      </c>
      <c r="F13" s="235">
        <v>4469507962.3999996</v>
      </c>
      <c r="G13" s="235">
        <v>755965791.00000012</v>
      </c>
      <c r="H13" s="92">
        <f t="shared" si="2"/>
        <v>16.198892928046224</v>
      </c>
      <c r="I13" s="92">
        <f t="shared" si="3"/>
        <v>16.913848176569036</v>
      </c>
      <c r="J13" s="92">
        <f t="shared" si="4"/>
        <v>80.752289298125461</v>
      </c>
      <c r="K13" s="92">
        <f t="shared" si="5"/>
        <v>77.338857152984929</v>
      </c>
      <c r="M13" s="234">
        <f t="shared" si="6"/>
        <v>33461876487.203835</v>
      </c>
      <c r="N13" s="92">
        <f t="shared" si="7"/>
        <v>-0.41420956814538701</v>
      </c>
      <c r="O13" s="92">
        <f t="shared" si="8"/>
        <v>2.7621505225328331</v>
      </c>
      <c r="R13" s="7">
        <f>R12+1</f>
        <v>2002</v>
      </c>
      <c r="S13" s="284">
        <f>SUM(M7:M10)</f>
        <v>128502406438.1389</v>
      </c>
    </row>
    <row r="14" spans="1:20">
      <c r="A14" t="s">
        <v>315</v>
      </c>
      <c r="B14" s="235">
        <v>58326.547234588339</v>
      </c>
      <c r="C14" s="235">
        <v>364059.16</v>
      </c>
      <c r="D14" s="234">
        <f t="shared" si="0"/>
        <v>364059160000</v>
      </c>
      <c r="E14" s="234">
        <f t="shared" si="1"/>
        <v>58326547234.588341</v>
      </c>
      <c r="F14" s="235">
        <v>4792454884.6540003</v>
      </c>
      <c r="G14" s="235">
        <v>792421454</v>
      </c>
      <c r="H14" s="92">
        <f t="shared" si="2"/>
        <v>16.021172832071674</v>
      </c>
      <c r="I14" s="92">
        <f t="shared" si="3"/>
        <v>16.534771282613971</v>
      </c>
      <c r="J14" s="92">
        <f t="shared" si="4"/>
        <v>75.965067749674574</v>
      </c>
      <c r="K14" s="92">
        <f t="shared" si="5"/>
        <v>73.605462017928076</v>
      </c>
      <c r="M14" s="234">
        <f t="shared" si="6"/>
        <v>33382331584.38203</v>
      </c>
      <c r="N14" s="92">
        <f t="shared" si="7"/>
        <v>-0.23771799783022579</v>
      </c>
      <c r="O14" s="92">
        <f t="shared" si="8"/>
        <v>1.7460109430648267</v>
      </c>
      <c r="R14" s="7">
        <f t="shared" ref="R14:R24" si="9">R13+1</f>
        <v>2003</v>
      </c>
      <c r="S14" s="284">
        <f>SUM(M11:M14)</f>
        <v>132027456440.89534</v>
      </c>
      <c r="T14" s="92">
        <f>(S14-S13)/S13*100</f>
        <v>2.7431782022334339</v>
      </c>
    </row>
    <row r="15" spans="1:20">
      <c r="A15" t="s">
        <v>316</v>
      </c>
      <c r="B15" s="235">
        <v>57038.420961214688</v>
      </c>
      <c r="C15" s="235">
        <v>356887.07</v>
      </c>
      <c r="D15" s="234">
        <f t="shared" si="0"/>
        <v>356887070000</v>
      </c>
      <c r="E15" s="234">
        <f t="shared" si="1"/>
        <v>57038420961.214691</v>
      </c>
      <c r="F15" s="235">
        <v>4499340550.9499998</v>
      </c>
      <c r="G15" s="235">
        <v>735941631.61000013</v>
      </c>
      <c r="H15" s="92">
        <f t="shared" si="2"/>
        <v>15.982204387851509</v>
      </c>
      <c r="I15" s="92">
        <f t="shared" si="3"/>
        <v>16.356655453755593</v>
      </c>
      <c r="J15" s="92">
        <f t="shared" si="4"/>
        <v>79.319861646090814</v>
      </c>
      <c r="K15" s="92">
        <f t="shared" si="5"/>
        <v>77.504001012190656</v>
      </c>
      <c r="M15" s="234">
        <f t="shared" si="6"/>
        <v>32645091675.299709</v>
      </c>
      <c r="N15" s="92">
        <f t="shared" si="7"/>
        <v>-2.2084733872430884</v>
      </c>
      <c r="O15" s="92">
        <f t="shared" si="8"/>
        <v>3.3654995899011109</v>
      </c>
      <c r="R15" s="7">
        <f t="shared" si="9"/>
        <v>2004</v>
      </c>
      <c r="S15" s="284">
        <f>SUM(M15:M18)</f>
        <v>137964231365.42212</v>
      </c>
      <c r="T15" s="92">
        <f t="shared" ref="T15:T21" si="10">(S15-S14)/S14*100</f>
        <v>4.4966214487245626</v>
      </c>
    </row>
    <row r="16" spans="1:20">
      <c r="A16" t="s">
        <v>317</v>
      </c>
      <c r="B16" s="235">
        <v>60603.210461404218</v>
      </c>
      <c r="C16" s="235">
        <v>371714</v>
      </c>
      <c r="D16" s="234">
        <f t="shared" si="0"/>
        <v>371714000000</v>
      </c>
      <c r="E16" s="234">
        <f t="shared" si="1"/>
        <v>60603210461.404221</v>
      </c>
      <c r="F16" s="235">
        <v>4543677182.2600002</v>
      </c>
      <c r="G16" s="235">
        <v>765181765.9000001</v>
      </c>
      <c r="H16" s="92">
        <f t="shared" si="2"/>
        <v>16.303720188479375</v>
      </c>
      <c r="I16" s="92">
        <f t="shared" si="3"/>
        <v>16.8405838532614</v>
      </c>
      <c r="J16" s="92">
        <f t="shared" si="4"/>
        <v>81.809068974198439</v>
      </c>
      <c r="K16" s="92">
        <f t="shared" si="5"/>
        <v>79.201064586429681</v>
      </c>
      <c r="M16" s="234">
        <f t="shared" si="6"/>
        <v>34685345912.280869</v>
      </c>
      <c r="N16" s="92">
        <f t="shared" si="7"/>
        <v>6.2498039744360065</v>
      </c>
      <c r="O16" s="92">
        <f t="shared" si="8"/>
        <v>3.2269541248739237</v>
      </c>
      <c r="R16" s="7">
        <f t="shared" si="9"/>
        <v>2005</v>
      </c>
      <c r="S16" s="284">
        <f>SUM(M19:M22)</f>
        <v>145910759154.3551</v>
      </c>
      <c r="T16" s="92">
        <f t="shared" si="10"/>
        <v>5.7598463821287353</v>
      </c>
    </row>
    <row r="17" spans="1:20">
      <c r="A17" t="s">
        <v>318</v>
      </c>
      <c r="B17" s="235">
        <v>61506.209899158624</v>
      </c>
      <c r="C17" s="235">
        <v>379044</v>
      </c>
      <c r="D17" s="234">
        <f t="shared" si="0"/>
        <v>379044000000</v>
      </c>
      <c r="E17" s="234">
        <f t="shared" si="1"/>
        <v>61506209899.158623</v>
      </c>
      <c r="F17" s="235">
        <v>4775490888.2999992</v>
      </c>
      <c r="G17" s="235">
        <v>793665970.39999986</v>
      </c>
      <c r="H17" s="92">
        <f t="shared" si="2"/>
        <v>16.226667589820345</v>
      </c>
      <c r="I17" s="92">
        <f t="shared" si="3"/>
        <v>16.619568311699421</v>
      </c>
      <c r="J17" s="92">
        <f t="shared" si="4"/>
        <v>79.372782582134462</v>
      </c>
      <c r="K17" s="92">
        <f t="shared" si="5"/>
        <v>77.496342533320529</v>
      </c>
      <c r="M17" s="234">
        <f t="shared" si="6"/>
        <v>35202164206.536972</v>
      </c>
      <c r="N17" s="92">
        <f t="shared" si="7"/>
        <v>1.4900191440014332</v>
      </c>
      <c r="O17" s="92">
        <f t="shared" si="8"/>
        <v>5.2008073127597658</v>
      </c>
      <c r="Q17" s="291"/>
      <c r="R17" s="7">
        <f t="shared" si="9"/>
        <v>2006</v>
      </c>
      <c r="S17" s="284">
        <f>SUM(M23:M26)</f>
        <v>153984106176.1987</v>
      </c>
      <c r="T17" s="92">
        <f t="shared" si="10"/>
        <v>5.533071768410867</v>
      </c>
    </row>
    <row r="18" spans="1:20">
      <c r="A18" t="s">
        <v>319</v>
      </c>
      <c r="B18" s="235">
        <v>61907.138228654941</v>
      </c>
      <c r="C18" s="235">
        <v>384685.19</v>
      </c>
      <c r="D18" s="234">
        <f t="shared" si="0"/>
        <v>384685190000</v>
      </c>
      <c r="E18" s="234">
        <f t="shared" si="1"/>
        <v>61907138228.654938</v>
      </c>
      <c r="F18" s="235">
        <v>4830257034.4000006</v>
      </c>
      <c r="G18" s="235">
        <v>826240651</v>
      </c>
      <c r="H18" s="92">
        <f t="shared" si="2"/>
        <v>16.092935168274852</v>
      </c>
      <c r="I18" s="92">
        <f t="shared" si="3"/>
        <v>17.105521406328908</v>
      </c>
      <c r="J18" s="92">
        <f t="shared" si="4"/>
        <v>79.640728694220385</v>
      </c>
      <c r="K18" s="92">
        <f t="shared" si="5"/>
        <v>74.926279835939638</v>
      </c>
      <c r="L18">
        <f>L31/G31</f>
        <v>0.58440941989797135</v>
      </c>
      <c r="M18" s="234">
        <f t="shared" si="6"/>
        <v>35431629571.30455</v>
      </c>
      <c r="N18" s="92">
        <f t="shared" si="7"/>
        <v>0.65185016302198506</v>
      </c>
      <c r="O18" s="92">
        <f t="shared" si="8"/>
        <v>6.1388701437537891</v>
      </c>
      <c r="Q18" s="291"/>
      <c r="R18" s="7">
        <f t="shared" si="9"/>
        <v>2007</v>
      </c>
      <c r="S18" s="284">
        <f>SUM(M27:M30)</f>
        <v>163029100623.16998</v>
      </c>
      <c r="T18" s="92">
        <f t="shared" si="10"/>
        <v>5.8739792512231155</v>
      </c>
    </row>
    <row r="19" spans="1:20">
      <c r="A19" t="s">
        <v>320</v>
      </c>
      <c r="B19" s="235">
        <v>60432.298014112064</v>
      </c>
      <c r="C19" s="235">
        <v>376326.80000000005</v>
      </c>
      <c r="D19" s="234">
        <f t="shared" si="0"/>
        <v>376326800000.00006</v>
      </c>
      <c r="E19" s="234">
        <f t="shared" si="1"/>
        <v>60432298014.112061</v>
      </c>
      <c r="F19" s="235">
        <v>4690209425</v>
      </c>
      <c r="G19" s="235">
        <v>774740717</v>
      </c>
      <c r="H19" s="92">
        <f t="shared" si="2"/>
        <v>16.058462489015412</v>
      </c>
      <c r="I19" s="92">
        <f t="shared" si="3"/>
        <v>16.51825423552382</v>
      </c>
      <c r="J19" s="92">
        <f t="shared" si="4"/>
        <v>80.23667301380685</v>
      </c>
      <c r="K19" s="92">
        <f t="shared" si="5"/>
        <v>78.003255396362576</v>
      </c>
      <c r="L19">
        <f t="shared" ref="L19:L24" si="11">L32/G32</f>
        <v>0.58543455033832625</v>
      </c>
      <c r="M19" s="234">
        <f t="shared" si="6"/>
        <v>34587526715.741463</v>
      </c>
      <c r="N19" s="92">
        <f t="shared" si="7"/>
        <v>-2.3823427422788126</v>
      </c>
      <c r="O19" s="92">
        <f t="shared" si="8"/>
        <v>5.9501595515856991</v>
      </c>
      <c r="Q19" s="291"/>
      <c r="R19" s="7">
        <f t="shared" si="9"/>
        <v>2008</v>
      </c>
      <c r="S19" s="284">
        <f>SUM(M31:M34)</f>
        <v>171403347061.57907</v>
      </c>
      <c r="T19" s="92">
        <f t="shared" si="10"/>
        <v>5.1366574472894593</v>
      </c>
    </row>
    <row r="20" spans="1:20">
      <c r="A20" t="s">
        <v>321</v>
      </c>
      <c r="B20" s="235">
        <v>63723.503402272807</v>
      </c>
      <c r="C20" s="235">
        <v>391001.65</v>
      </c>
      <c r="D20" s="234">
        <f t="shared" si="0"/>
        <v>391001650000</v>
      </c>
      <c r="E20" s="234">
        <f t="shared" si="1"/>
        <v>63723503402.272804</v>
      </c>
      <c r="F20" s="235">
        <v>4760343407</v>
      </c>
      <c r="G20" s="235">
        <v>805551748</v>
      </c>
      <c r="H20" s="92">
        <f t="shared" si="2"/>
        <v>16.297502428000701</v>
      </c>
      <c r="I20" s="92">
        <f t="shared" si="3"/>
        <v>16.922135214351357</v>
      </c>
      <c r="J20" s="92">
        <f t="shared" si="4"/>
        <v>82.137278042806543</v>
      </c>
      <c r="K20" s="92">
        <f t="shared" si="5"/>
        <v>79.105412607549582</v>
      </c>
      <c r="L20">
        <f t="shared" si="11"/>
        <v>0.58087081840123489</v>
      </c>
      <c r="M20" s="234">
        <f t="shared" si="6"/>
        <v>36471199156.319832</v>
      </c>
      <c r="N20" s="92">
        <f t="shared" si="7"/>
        <v>5.4461033194405104</v>
      </c>
      <c r="O20" s="92">
        <f t="shared" si="8"/>
        <v>5.1487254835381506</v>
      </c>
      <c r="Q20" s="291"/>
      <c r="R20" s="7">
        <f t="shared" si="9"/>
        <v>2009</v>
      </c>
      <c r="S20" s="284">
        <f>SUM(M35:M38)</f>
        <v>164207873557.28271</v>
      </c>
      <c r="T20" s="92">
        <f t="shared" si="10"/>
        <v>-4.1979772435314704</v>
      </c>
    </row>
    <row r="21" spans="1:20">
      <c r="A21" t="s">
        <v>322</v>
      </c>
      <c r="B21" s="235">
        <v>65295.808538534555</v>
      </c>
      <c r="C21" s="235">
        <v>399721.75</v>
      </c>
      <c r="D21" s="234">
        <f t="shared" si="0"/>
        <v>399721750000</v>
      </c>
      <c r="E21" s="234">
        <f t="shared" si="1"/>
        <v>65295808538.534554</v>
      </c>
      <c r="F21" s="235">
        <v>4824982237</v>
      </c>
      <c r="G21" s="235">
        <v>802738840</v>
      </c>
      <c r="H21" s="92">
        <f t="shared" si="2"/>
        <v>16.335315388400694</v>
      </c>
      <c r="I21" s="92">
        <f t="shared" si="3"/>
        <v>16.637135652941058</v>
      </c>
      <c r="J21" s="92">
        <f t="shared" si="4"/>
        <v>82.844190997174024</v>
      </c>
      <c r="K21" s="92">
        <f t="shared" si="5"/>
        <v>81.341284717872327</v>
      </c>
      <c r="L21">
        <f t="shared" si="11"/>
        <v>0.56311469509910428</v>
      </c>
      <c r="M21" s="234">
        <f t="shared" si="6"/>
        <v>37371084609.840919</v>
      </c>
      <c r="N21" s="92">
        <f t="shared" si="7"/>
        <v>2.46738652508812</v>
      </c>
      <c r="O21" s="92">
        <f t="shared" si="8"/>
        <v>6.1613268734800775</v>
      </c>
      <c r="Q21" s="290"/>
      <c r="R21" s="7">
        <f t="shared" si="9"/>
        <v>2010</v>
      </c>
      <c r="S21" s="284">
        <f>SUM(M39:M42)</f>
        <v>172848619054.51849</v>
      </c>
      <c r="T21" s="92">
        <f t="shared" si="10"/>
        <v>5.262077457096793</v>
      </c>
    </row>
    <row r="22" spans="1:20">
      <c r="A22" t="s">
        <v>323</v>
      </c>
      <c r="B22" s="235">
        <v>65487.766114089813</v>
      </c>
      <c r="C22" s="235">
        <v>404031.7</v>
      </c>
      <c r="D22" s="234">
        <f t="shared" si="0"/>
        <v>404031700000</v>
      </c>
      <c r="E22" s="234">
        <f t="shared" si="1"/>
        <v>65487766114.089813</v>
      </c>
      <c r="F22" s="235">
        <v>5011501336</v>
      </c>
      <c r="G22" s="235">
        <v>832010091</v>
      </c>
      <c r="H22" s="92">
        <f t="shared" si="2"/>
        <v>16.208571286384167</v>
      </c>
      <c r="I22" s="92">
        <f t="shared" si="3"/>
        <v>16.602012754606594</v>
      </c>
      <c r="J22" s="92">
        <f t="shared" si="4"/>
        <v>80.620890410154729</v>
      </c>
      <c r="K22" s="92">
        <f t="shared" si="5"/>
        <v>78.710302702434191</v>
      </c>
      <c r="L22">
        <f t="shared" si="11"/>
        <v>0.56498434357946659</v>
      </c>
      <c r="M22" s="234">
        <f t="shared" si="6"/>
        <v>37480948672.452873</v>
      </c>
      <c r="N22" s="92">
        <f t="shared" si="7"/>
        <v>0.29398146657756691</v>
      </c>
      <c r="O22" s="92">
        <f t="shared" si="8"/>
        <v>5.7838691754895466</v>
      </c>
      <c r="Q22" s="290"/>
      <c r="R22" s="7">
        <f t="shared" si="9"/>
        <v>2011</v>
      </c>
      <c r="S22" s="284">
        <f>SUM(M43:M46)</f>
        <v>178876783935.30374</v>
      </c>
      <c r="T22" s="92">
        <f>(S22-S21)/S21*100</f>
        <v>3.4875400878290463</v>
      </c>
    </row>
    <row r="23" spans="1:20">
      <c r="A23" t="s">
        <v>324</v>
      </c>
      <c r="B23" s="235">
        <v>63682.061981141254</v>
      </c>
      <c r="C23" s="235">
        <v>395450.14999999997</v>
      </c>
      <c r="D23" s="234">
        <f t="shared" si="0"/>
        <v>395450149999.99994</v>
      </c>
      <c r="E23" s="234">
        <f t="shared" si="1"/>
        <v>63682061981.141251</v>
      </c>
      <c r="F23" s="235">
        <v>4675546289</v>
      </c>
      <c r="G23" s="235">
        <v>750919883</v>
      </c>
      <c r="H23" s="92">
        <f t="shared" si="2"/>
        <v>16.10368891784243</v>
      </c>
      <c r="I23" s="92">
        <f t="shared" si="3"/>
        <v>16.060580659134182</v>
      </c>
      <c r="J23" s="92">
        <f t="shared" si="4"/>
        <v>84.578384119597359</v>
      </c>
      <c r="K23" s="92">
        <f t="shared" si="5"/>
        <v>84.805401245636276</v>
      </c>
      <c r="L23">
        <f t="shared" si="11"/>
        <v>0.56386607347301743</v>
      </c>
      <c r="M23" s="234">
        <f t="shared" si="6"/>
        <v>36447480775.460129</v>
      </c>
      <c r="N23" s="92">
        <f t="shared" si="7"/>
        <v>-2.75731520571758</v>
      </c>
      <c r="O23" s="92">
        <f t="shared" si="8"/>
        <v>5.3775283645018899</v>
      </c>
      <c r="Q23" s="363"/>
      <c r="R23" s="7">
        <f t="shared" si="9"/>
        <v>2012</v>
      </c>
      <c r="S23" s="284">
        <f>SUM(M47:M50)</f>
        <v>183094175160.83441</v>
      </c>
      <c r="T23" s="92">
        <f>(S23-S22)/S22*100</f>
        <v>2.357707430079925</v>
      </c>
    </row>
    <row r="24" spans="1:20">
      <c r="A24" t="s">
        <v>325</v>
      </c>
      <c r="B24" s="235">
        <v>66827.792246677607</v>
      </c>
      <c r="C24" s="235">
        <v>410299.05</v>
      </c>
      <c r="D24" s="234">
        <f t="shared" si="0"/>
        <v>410299050000</v>
      </c>
      <c r="E24" s="234">
        <f t="shared" si="1"/>
        <v>66827792246.677605</v>
      </c>
      <c r="F24" s="235">
        <v>4859349229</v>
      </c>
      <c r="G24" s="235">
        <v>811777848</v>
      </c>
      <c r="H24" s="92">
        <f t="shared" si="2"/>
        <v>16.287581520522068</v>
      </c>
      <c r="I24" s="92">
        <f t="shared" si="3"/>
        <v>16.705484824087335</v>
      </c>
      <c r="J24" s="92">
        <f t="shared" si="4"/>
        <v>84.434978978540087</v>
      </c>
      <c r="K24" s="92">
        <f t="shared" si="5"/>
        <v>82.32275912840332</v>
      </c>
      <c r="L24">
        <f t="shared" si="11"/>
        <v>0.56366596005589387</v>
      </c>
      <c r="M24" s="234">
        <f t="shared" si="6"/>
        <v>38247892693.841049</v>
      </c>
      <c r="N24" s="92">
        <f t="shared" si="7"/>
        <v>4.9397431045306348</v>
      </c>
      <c r="O24" s="92">
        <f t="shared" si="8"/>
        <v>4.871497451745693</v>
      </c>
      <c r="Q24" s="363"/>
      <c r="R24" s="7">
        <f t="shared" si="9"/>
        <v>2013</v>
      </c>
      <c r="S24" s="284">
        <f>SUM(M51:M54)</f>
        <v>186869863290.1795</v>
      </c>
      <c r="T24" s="92">
        <f>(S24-S23)/S23*100</f>
        <v>2.0621563334980131</v>
      </c>
    </row>
    <row r="25" spans="1:20">
      <c r="A25" t="s">
        <v>326</v>
      </c>
      <c r="B25" s="235">
        <v>68605.409906937042</v>
      </c>
      <c r="C25" s="235">
        <v>420695.75</v>
      </c>
      <c r="D25" s="234">
        <f t="shared" si="0"/>
        <v>420695750000</v>
      </c>
      <c r="E25" s="234">
        <f t="shared" si="1"/>
        <v>68605409906.937042</v>
      </c>
      <c r="F25" s="235">
        <v>4906222423</v>
      </c>
      <c r="G25" s="235">
        <v>827883368</v>
      </c>
      <c r="H25" s="92">
        <f t="shared" si="2"/>
        <v>16.307607078734939</v>
      </c>
      <c r="I25" s="92">
        <f t="shared" si="3"/>
        <v>16.874150754334849</v>
      </c>
      <c r="J25" s="92">
        <f t="shared" si="4"/>
        <v>85.747386426634492</v>
      </c>
      <c r="K25" s="92">
        <f t="shared" si="5"/>
        <v>82.868448091515518</v>
      </c>
      <c r="M25" s="234">
        <f t="shared" si="6"/>
        <v>39265285716.033249</v>
      </c>
      <c r="N25" s="92">
        <f t="shared" si="7"/>
        <v>2.6599975855820879</v>
      </c>
      <c r="O25" s="92">
        <f t="shared" si="8"/>
        <v>5.0686275926108113</v>
      </c>
      <c r="Q25" s="363"/>
    </row>
    <row r="26" spans="1:20">
      <c r="A26" t="s">
        <v>327</v>
      </c>
      <c r="B26" s="235">
        <v>69930.09057809053</v>
      </c>
      <c r="C26" s="235">
        <v>432676.71</v>
      </c>
      <c r="D26" s="234">
        <f t="shared" si="0"/>
        <v>432676710000</v>
      </c>
      <c r="E26" s="234">
        <f t="shared" si="1"/>
        <v>69930090578.09053</v>
      </c>
      <c r="F26" s="235">
        <v>5280826192</v>
      </c>
      <c r="G26" s="235">
        <v>873224453</v>
      </c>
      <c r="H26" s="92">
        <f t="shared" si="2"/>
        <v>16.162203548716668</v>
      </c>
      <c r="I26" s="92">
        <f t="shared" si="3"/>
        <v>16.535754468171294</v>
      </c>
      <c r="J26" s="92">
        <f t="shared" si="4"/>
        <v>81.933525980360457</v>
      </c>
      <c r="K26" s="92">
        <f t="shared" si="5"/>
        <v>80.082606869107607</v>
      </c>
      <c r="L26">
        <f>AVERAGE(L18:L24)</f>
        <v>0.57233512297785916</v>
      </c>
      <c r="M26" s="234">
        <f t="shared" si="6"/>
        <v>40023446990.864273</v>
      </c>
      <c r="N26" s="92">
        <f t="shared" si="7"/>
        <v>1.9308691150601842</v>
      </c>
      <c r="O26" s="92">
        <f t="shared" si="8"/>
        <v>6.7834417443122064</v>
      </c>
      <c r="Q26" s="289">
        <f>M26/E26</f>
        <v>0.57233512297785916</v>
      </c>
    </row>
    <row r="27" spans="1:20">
      <c r="A27" t="s">
        <v>328</v>
      </c>
      <c r="B27" s="235">
        <v>68125.905131082443</v>
      </c>
      <c r="C27" s="235">
        <v>421784.96</v>
      </c>
      <c r="D27" s="234">
        <f t="shared" si="0"/>
        <v>421784960000</v>
      </c>
      <c r="E27" s="234">
        <f t="shared" si="1"/>
        <v>68125905131.082443</v>
      </c>
      <c r="F27" s="235">
        <v>5154329343</v>
      </c>
      <c r="G27" s="235">
        <v>833477953</v>
      </c>
      <c r="H27" s="92">
        <f t="shared" si="2"/>
        <v>16.151809948624638</v>
      </c>
      <c r="I27" s="92">
        <f t="shared" si="3"/>
        <v>16.170444252498747</v>
      </c>
      <c r="J27" s="92">
        <f t="shared" si="4"/>
        <v>81.831200905471519</v>
      </c>
      <c r="K27" s="92">
        <f t="shared" si="5"/>
        <v>81.736901241204691</v>
      </c>
      <c r="M27" s="234">
        <f t="shared" si="6"/>
        <v>38990848291.176033</v>
      </c>
      <c r="N27" s="92">
        <f t="shared" si="7"/>
        <v>-2.5799844274380974</v>
      </c>
      <c r="O27" s="92">
        <f t="shared" si="8"/>
        <v>6.9781709506472627</v>
      </c>
      <c r="Q27" s="289">
        <f t="shared" ref="Q27:Q38" si="12">M27/E27</f>
        <v>0.57233512297785916</v>
      </c>
    </row>
    <row r="28" spans="1:20">
      <c r="A28" t="s">
        <v>329</v>
      </c>
      <c r="B28" s="235">
        <v>70787.16481862709</v>
      </c>
      <c r="C28" s="235">
        <v>433014.5</v>
      </c>
      <c r="D28" s="234">
        <f t="shared" si="0"/>
        <v>433014500000</v>
      </c>
      <c r="E28" s="234">
        <f t="shared" si="1"/>
        <v>70787164818.62709</v>
      </c>
      <c r="F28" s="235">
        <v>5056692012</v>
      </c>
      <c r="G28" s="235">
        <v>821281896</v>
      </c>
      <c r="H28" s="92">
        <f t="shared" si="2"/>
        <v>16.347527581322819</v>
      </c>
      <c r="I28" s="92">
        <f t="shared" si="3"/>
        <v>16.241485422703654</v>
      </c>
      <c r="J28" s="92">
        <f t="shared" si="4"/>
        <v>85.631970262854921</v>
      </c>
      <c r="K28" s="92">
        <f t="shared" si="5"/>
        <v>86.191069306886433</v>
      </c>
      <c r="M28" s="234">
        <f t="shared" si="6"/>
        <v>40513980681.722923</v>
      </c>
      <c r="N28" s="92">
        <f t="shared" si="7"/>
        <v>3.9063843370947851</v>
      </c>
      <c r="O28" s="92">
        <f t="shared" si="8"/>
        <v>5.9247394517156655</v>
      </c>
      <c r="Q28" s="289">
        <f>M28/E28</f>
        <v>0.57233512297785916</v>
      </c>
    </row>
    <row r="29" spans="1:20">
      <c r="A29" t="s">
        <v>330</v>
      </c>
      <c r="B29" s="235">
        <v>72253.952576311014</v>
      </c>
      <c r="C29" s="235">
        <v>442196.5</v>
      </c>
      <c r="D29" s="234">
        <f t="shared" si="0"/>
        <v>442196500000</v>
      </c>
      <c r="E29" s="234">
        <f t="shared" si="1"/>
        <v>72253952576.31102</v>
      </c>
      <c r="F29" s="235">
        <v>5400223668</v>
      </c>
      <c r="G29" s="235">
        <v>898105429</v>
      </c>
      <c r="H29" s="92">
        <f t="shared" si="2"/>
        <v>16.339783914235191</v>
      </c>
      <c r="I29" s="92">
        <f t="shared" si="3"/>
        <v>16.630893166923542</v>
      </c>
      <c r="J29" s="92">
        <f t="shared" si="4"/>
        <v>81.884849070292248</v>
      </c>
      <c r="K29" s="92">
        <f t="shared" si="5"/>
        <v>80.451526338909389</v>
      </c>
      <c r="M29" s="234">
        <f t="shared" si="6"/>
        <v>41353474833.399368</v>
      </c>
      <c r="N29" s="92">
        <f t="shared" si="7"/>
        <v>2.0721097693941641</v>
      </c>
      <c r="O29" s="92">
        <f t="shared" si="8"/>
        <v>5.3181559214108711</v>
      </c>
      <c r="Q29" s="289">
        <f t="shared" si="12"/>
        <v>0.57233512297785916</v>
      </c>
    </row>
    <row r="30" spans="1:20">
      <c r="A30" t="s">
        <v>331</v>
      </c>
      <c r="B30" s="235">
        <v>73682.000499038113</v>
      </c>
      <c r="C30" s="235">
        <v>454168.72</v>
      </c>
      <c r="D30" s="234">
        <f t="shared" si="0"/>
        <v>454168720000</v>
      </c>
      <c r="E30" s="234">
        <f t="shared" si="1"/>
        <v>73682000499.038116</v>
      </c>
      <c r="F30" s="235">
        <v>5579296845</v>
      </c>
      <c r="G30" s="235">
        <v>902642355</v>
      </c>
      <c r="H30" s="92">
        <f t="shared" si="2"/>
        <v>16.223486394888251</v>
      </c>
      <c r="I30" s="92">
        <f t="shared" si="3"/>
        <v>16.178424989323183</v>
      </c>
      <c r="J30" s="92">
        <f t="shared" si="4"/>
        <v>81.402501536911856</v>
      </c>
      <c r="K30" s="92">
        <f t="shared" si="5"/>
        <v>81.629230105248183</v>
      </c>
      <c r="M30" s="234">
        <f t="shared" si="6"/>
        <v>42170796816.871658</v>
      </c>
      <c r="N30" s="92">
        <f t="shared" si="7"/>
        <v>1.9764287929007969</v>
      </c>
      <c r="O30" s="92">
        <f t="shared" si="8"/>
        <v>5.3652296027814339</v>
      </c>
      <c r="Q30" s="289">
        <f t="shared" si="12"/>
        <v>0.57233512297785916</v>
      </c>
    </row>
    <row r="31" spans="1:20">
      <c r="A31" s="236" t="s">
        <v>227</v>
      </c>
      <c r="B31" s="235">
        <v>71161.408615893903</v>
      </c>
      <c r="C31" s="235">
        <v>437677.30800000002</v>
      </c>
      <c r="D31" s="234">
        <f t="shared" si="0"/>
        <v>437677308000</v>
      </c>
      <c r="E31" s="234">
        <f t="shared" si="1"/>
        <v>71161408615.893906</v>
      </c>
      <c r="F31" s="235">
        <v>5543646776</v>
      </c>
      <c r="G31" s="235">
        <v>903773016</v>
      </c>
      <c r="H31" s="92">
        <f t="shared" si="2"/>
        <v>16.258875503752162</v>
      </c>
      <c r="I31" s="92">
        <f t="shared" si="3"/>
        <v>16.302860779526693</v>
      </c>
      <c r="J31" s="92">
        <f t="shared" si="4"/>
        <v>78.951153579053354</v>
      </c>
      <c r="K31" s="92">
        <f t="shared" si="5"/>
        <v>78.738142604485446</v>
      </c>
      <c r="L31" s="235">
        <v>528173464</v>
      </c>
      <c r="M31" s="234">
        <f t="shared" ref="M31:M38" si="13">L31*K31</f>
        <v>41587397528.337059</v>
      </c>
      <c r="N31" s="92">
        <f t="shared" si="7"/>
        <v>-1.383420121436248</v>
      </c>
      <c r="O31" s="92">
        <f t="shared" si="8"/>
        <v>6.659381241901956</v>
      </c>
      <c r="Q31" s="289">
        <f t="shared" si="12"/>
        <v>0.58440941989797135</v>
      </c>
    </row>
    <row r="32" spans="1:20">
      <c r="A32" s="236" t="s">
        <v>228</v>
      </c>
      <c r="B32" s="235">
        <v>74756.110982452694</v>
      </c>
      <c r="C32" s="235">
        <v>454885.92</v>
      </c>
      <c r="D32" s="234">
        <f t="shared" si="0"/>
        <v>454885920000</v>
      </c>
      <c r="E32" s="234">
        <f t="shared" si="1"/>
        <v>74756110982.452698</v>
      </c>
      <c r="F32" s="235">
        <v>5265926862</v>
      </c>
      <c r="G32" s="235">
        <v>890535459</v>
      </c>
      <c r="H32" s="92">
        <f t="shared" si="2"/>
        <v>16.434034929560514</v>
      </c>
      <c r="I32" s="92">
        <f t="shared" si="3"/>
        <v>16.911276634437996</v>
      </c>
      <c r="J32" s="92">
        <f t="shared" si="4"/>
        <v>86.382878441124845</v>
      </c>
      <c r="K32" s="92">
        <f t="shared" si="5"/>
        <v>83.945125628571631</v>
      </c>
      <c r="L32" s="235">
        <v>521350226</v>
      </c>
      <c r="M32" s="234">
        <f t="shared" si="13"/>
        <v>43764810218.054214</v>
      </c>
      <c r="N32" s="92">
        <f t="shared" si="7"/>
        <v>5.2357512591007831</v>
      </c>
      <c r="O32" s="92">
        <f t="shared" si="8"/>
        <v>8.0239697053462784</v>
      </c>
      <c r="Q32" s="289">
        <f t="shared" si="12"/>
        <v>0.58543455033832636</v>
      </c>
    </row>
    <row r="33" spans="1:17">
      <c r="A33" s="236" t="s">
        <v>229</v>
      </c>
      <c r="B33" s="235">
        <v>75462.98020662264</v>
      </c>
      <c r="C33" s="235">
        <v>459649.57199999999</v>
      </c>
      <c r="D33" s="234">
        <f t="shared" si="0"/>
        <v>459649572000</v>
      </c>
      <c r="E33" s="234">
        <f t="shared" si="1"/>
        <v>75462980206.622635</v>
      </c>
      <c r="F33" s="235">
        <v>5202135900</v>
      </c>
      <c r="G33" s="235">
        <v>869534795</v>
      </c>
      <c r="H33" s="92">
        <f t="shared" si="2"/>
        <v>16.417502550534874</v>
      </c>
      <c r="I33" s="92">
        <f t="shared" si="3"/>
        <v>16.714957312053304</v>
      </c>
      <c r="J33" s="92">
        <f t="shared" si="4"/>
        <v>88.357855472403173</v>
      </c>
      <c r="K33" s="92">
        <f t="shared" si="5"/>
        <v>86.785463492145396</v>
      </c>
      <c r="L33" s="235">
        <v>505087388</v>
      </c>
      <c r="M33" s="234">
        <f t="shared" si="13"/>
        <v>43834243071.617073</v>
      </c>
      <c r="N33" s="92">
        <f t="shared" si="7"/>
        <v>0.15864995921818389</v>
      </c>
      <c r="O33" s="92">
        <f t="shared" si="8"/>
        <v>5.9989353934874128</v>
      </c>
      <c r="Q33" s="289">
        <f t="shared" si="12"/>
        <v>0.58087081840123478</v>
      </c>
    </row>
    <row r="34" spans="1:17">
      <c r="A34" s="236" t="s">
        <v>230</v>
      </c>
      <c r="B34" s="235">
        <v>74970.333061794561</v>
      </c>
      <c r="C34" s="235">
        <v>462381.80699999997</v>
      </c>
      <c r="D34" s="234">
        <f t="shared" si="0"/>
        <v>462381807000</v>
      </c>
      <c r="E34" s="234">
        <f t="shared" si="1"/>
        <v>74970333061.794556</v>
      </c>
      <c r="F34" s="235">
        <v>5460259824</v>
      </c>
      <c r="G34" s="235">
        <v>899511198</v>
      </c>
      <c r="H34" s="92">
        <f t="shared" si="2"/>
        <v>16.213945256240272</v>
      </c>
      <c r="I34" s="92">
        <f t="shared" si="3"/>
        <v>16.473780131236477</v>
      </c>
      <c r="J34" s="92">
        <f t="shared" si="4"/>
        <v>84.681282924971669</v>
      </c>
      <c r="K34" s="92">
        <f t="shared" si="5"/>
        <v>83.345636194953244</v>
      </c>
      <c r="L34" s="235">
        <v>506527974</v>
      </c>
      <c r="M34" s="234">
        <f t="shared" si="13"/>
        <v>42216896243.570732</v>
      </c>
      <c r="N34" s="92">
        <f t="shared" si="7"/>
        <v>-3.6896880491443511</v>
      </c>
      <c r="O34" s="92">
        <f t="shared" si="8"/>
        <v>0.10931599632623107</v>
      </c>
      <c r="Q34" s="289">
        <f t="shared" si="12"/>
        <v>0.56311469509910417</v>
      </c>
    </row>
    <row r="35" spans="1:17">
      <c r="A35" s="238" t="s">
        <v>224</v>
      </c>
      <c r="B35" s="235">
        <v>70528.747919669884</v>
      </c>
      <c r="C35" s="235">
        <v>433798.08999999997</v>
      </c>
      <c r="D35" s="234">
        <f t="shared" si="0"/>
        <v>433798089999.99994</v>
      </c>
      <c r="E35" s="234">
        <f t="shared" si="1"/>
        <v>70528747919.669891</v>
      </c>
      <c r="F35" s="235">
        <v>5083035776</v>
      </c>
      <c r="G35" s="286">
        <v>823636857</v>
      </c>
      <c r="H35" s="92">
        <f t="shared" si="2"/>
        <v>16.258427490925538</v>
      </c>
      <c r="I35" s="92">
        <f t="shared" si="3"/>
        <v>16.203640763043097</v>
      </c>
      <c r="J35" s="92">
        <f t="shared" si="4"/>
        <v>85.34232476745801</v>
      </c>
      <c r="K35" s="92">
        <f t="shared" si="5"/>
        <v>85.630878851831042</v>
      </c>
      <c r="L35" s="235">
        <v>465341929</v>
      </c>
      <c r="M35" s="234">
        <f t="shared" si="13"/>
        <v>39847638346.876366</v>
      </c>
      <c r="N35" s="92">
        <f t="shared" si="7"/>
        <v>-5.6121082019505018</v>
      </c>
      <c r="O35" s="92">
        <f t="shared" si="8"/>
        <v>-4.1833807471969031</v>
      </c>
      <c r="Q35" s="289">
        <f t="shared" si="12"/>
        <v>0.56498434357946659</v>
      </c>
    </row>
    <row r="36" spans="1:17">
      <c r="A36" s="238" t="s">
        <v>225</v>
      </c>
      <c r="B36" s="235">
        <v>72534.525097567879</v>
      </c>
      <c r="C36" s="235">
        <v>442774.0579999999</v>
      </c>
      <c r="D36" s="234">
        <f t="shared" si="0"/>
        <v>442774057999.99988</v>
      </c>
      <c r="E36" s="234">
        <f t="shared" si="1"/>
        <v>72534525097.567886</v>
      </c>
      <c r="F36" s="235">
        <v>4994646966</v>
      </c>
      <c r="G36" s="235">
        <v>831381344</v>
      </c>
      <c r="H36" s="92">
        <f t="shared" si="2"/>
        <v>16.381837144028864</v>
      </c>
      <c r="I36" s="92">
        <f t="shared" si="3"/>
        <v>16.645447609399667</v>
      </c>
      <c r="J36" s="92">
        <f t="shared" si="4"/>
        <v>88.649720593685672</v>
      </c>
      <c r="K36" s="92">
        <f t="shared" si="5"/>
        <v>87.245793547140124</v>
      </c>
      <c r="L36" s="235">
        <v>468787734</v>
      </c>
      <c r="M36" s="234">
        <f t="shared" si="13"/>
        <v>40899757857.995644</v>
      </c>
      <c r="N36" s="92">
        <f t="shared" si="7"/>
        <v>2.6403560029342441</v>
      </c>
      <c r="O36" s="92">
        <f t="shared" si="8"/>
        <v>-6.5464750007682104</v>
      </c>
      <c r="Q36" s="289">
        <f t="shared" si="12"/>
        <v>0.56386607347301743</v>
      </c>
    </row>
    <row r="37" spans="1:17">
      <c r="A37" s="236" t="s">
        <v>226</v>
      </c>
      <c r="B37" s="235">
        <v>73855.969771989417</v>
      </c>
      <c r="C37" s="235">
        <v>450502.48900000006</v>
      </c>
      <c r="D37" s="234">
        <f t="shared" si="0"/>
        <v>450502489000.00006</v>
      </c>
      <c r="E37" s="234">
        <f t="shared" si="1"/>
        <v>73855969771.98941</v>
      </c>
      <c r="F37" s="235">
        <v>5002707417</v>
      </c>
      <c r="G37" s="235">
        <v>835393434</v>
      </c>
      <c r="H37" s="92">
        <f t="shared" si="2"/>
        <v>16.39413134784909</v>
      </c>
      <c r="I37" s="92">
        <f>G37/F37*100</f>
        <v>16.698826542627685</v>
      </c>
      <c r="J37" s="92">
        <f t="shared" ref="J37:K39" si="14">D37/F37</f>
        <v>90.051736279663402</v>
      </c>
      <c r="K37" s="92">
        <f t="shared" si="14"/>
        <v>88.408606970197241</v>
      </c>
      <c r="L37" s="235">
        <v>470882842</v>
      </c>
      <c r="M37" s="234">
        <f t="shared" si="13"/>
        <v>41630096107.387489</v>
      </c>
      <c r="N37" s="92">
        <f t="shared" si="7"/>
        <v>1.785678663251717</v>
      </c>
      <c r="O37" s="92">
        <f t="shared" ref="O37:O40" si="15">(M37-M33)/M33*100</f>
        <v>-5.0283678005535855</v>
      </c>
      <c r="Q37" s="289">
        <f t="shared" si="12"/>
        <v>0.56366596005589387</v>
      </c>
    </row>
    <row r="38" spans="1:17">
      <c r="A38" s="236" t="s">
        <v>346</v>
      </c>
      <c r="B38" s="235">
        <v>74797.338159696767</v>
      </c>
      <c r="C38" s="235">
        <v>459824.14199999999</v>
      </c>
      <c r="D38" s="234">
        <f t="shared" si="0"/>
        <v>459824142000</v>
      </c>
      <c r="E38" s="234">
        <f t="shared" si="1"/>
        <v>74797338159.696762</v>
      </c>
      <c r="F38" s="235">
        <v>5074816265</v>
      </c>
      <c r="G38" s="235">
        <v>901763015</v>
      </c>
      <c r="H38" s="92">
        <f t="shared" si="2"/>
        <v>16.266509590898508</v>
      </c>
      <c r="I38" s="92">
        <f>G38/F38*100</f>
        <v>17.769372680924043</v>
      </c>
      <c r="J38" s="92">
        <f t="shared" si="14"/>
        <v>90.609022669710384</v>
      </c>
      <c r="K38" s="92">
        <f>E38/G38</f>
        <v>82.94567077548281</v>
      </c>
      <c r="L38" s="235">
        <v>504310603</v>
      </c>
      <c r="M38" s="234">
        <f t="shared" si="13"/>
        <v>41830381245.023216</v>
      </c>
      <c r="N38" s="92">
        <f t="shared" si="7"/>
        <v>0.48110659441928416</v>
      </c>
      <c r="O38" s="92">
        <f t="shared" si="15"/>
        <v>-0.91554574812301315</v>
      </c>
      <c r="Q38" s="289">
        <f t="shared" si="12"/>
        <v>0.55924959730134871</v>
      </c>
    </row>
    <row r="39" spans="1:17">
      <c r="A39" s="287" t="s">
        <v>348</v>
      </c>
      <c r="B39" s="235">
        <v>72421.686265048978</v>
      </c>
      <c r="C39" s="235">
        <v>443937.10099999997</v>
      </c>
      <c r="D39" s="234">
        <f t="shared" si="0"/>
        <v>443937100999.99994</v>
      </c>
      <c r="E39" s="234">
        <f t="shared" si="1"/>
        <v>72421686265.048981</v>
      </c>
      <c r="F39" s="235"/>
      <c r="G39" s="235"/>
      <c r="H39" s="92">
        <f t="shared" si="2"/>
        <v>16.313501642893549</v>
      </c>
      <c r="I39" s="92" t="e">
        <f>G39/F39*100</f>
        <v>#DIV/0!</v>
      </c>
      <c r="J39" s="92" t="e">
        <f t="shared" si="14"/>
        <v>#DIV/0!</v>
      </c>
      <c r="K39" s="92" t="e">
        <f t="shared" si="14"/>
        <v>#DIV/0!</v>
      </c>
      <c r="L39" s="235"/>
      <c r="M39" s="288">
        <f t="shared" ref="M39:M46" si="16">E39*Q39</f>
        <v>41563503082.779221</v>
      </c>
      <c r="N39" s="92">
        <f t="shared" si="7"/>
        <v>-0.6380007886630189</v>
      </c>
      <c r="O39" s="92">
        <f t="shared" si="15"/>
        <v>4.3060638147890655</v>
      </c>
      <c r="Q39" s="289">
        <f>(Q27+Q31+Q35)/3</f>
        <v>0.57390962881843233</v>
      </c>
    </row>
    <row r="40" spans="1:17">
      <c r="A40" s="287" t="s">
        <v>349</v>
      </c>
      <c r="B40" s="235">
        <v>75739.547217177213</v>
      </c>
      <c r="C40" s="235">
        <v>457733.272</v>
      </c>
      <c r="D40" s="234">
        <f t="shared" si="0"/>
        <v>457733272000</v>
      </c>
      <c r="E40" s="234">
        <f t="shared" si="1"/>
        <v>75739547217.177216</v>
      </c>
      <c r="F40" s="235"/>
      <c r="G40" s="235"/>
      <c r="H40" s="92">
        <f t="shared" si="2"/>
        <v>16.546655410528519</v>
      </c>
      <c r="I40" s="92"/>
      <c r="J40" s="92"/>
      <c r="K40" s="92"/>
      <c r="L40" s="235"/>
      <c r="M40" s="288">
        <f t="shared" si="16"/>
        <v>43465303978.240334</v>
      </c>
      <c r="N40" s="92">
        <f t="shared" ref="N40" si="17">(M40-M39)/M39*100</f>
        <v>4.5756511227492656</v>
      </c>
      <c r="O40" s="92">
        <f t="shared" si="15"/>
        <v>6.272766037276531</v>
      </c>
      <c r="Q40" s="289">
        <f t="shared" ref="Q40:Q54" si="18">(Q28+Q32+Q36)/3</f>
        <v>0.57387858226306765</v>
      </c>
    </row>
    <row r="41" spans="1:17">
      <c r="A41" s="287" t="s">
        <v>350</v>
      </c>
      <c r="B41" s="235">
        <v>76759.950921389129</v>
      </c>
      <c r="C41" s="235">
        <v>465818.16699999996</v>
      </c>
      <c r="D41" s="234">
        <f t="shared" ref="D41:D46" si="19">C41*1000000</f>
        <v>465818166999.99994</v>
      </c>
      <c r="E41" s="234">
        <f t="shared" ref="E41:E46" si="20">B41*1000000</f>
        <v>76759950921.38913</v>
      </c>
      <c r="F41" s="235"/>
      <c r="G41" s="235"/>
      <c r="H41" s="92">
        <f t="shared" si="2"/>
        <v>16.478522384763313</v>
      </c>
      <c r="I41" s="92"/>
      <c r="J41" s="92"/>
      <c r="K41" s="92"/>
      <c r="L41" s="235"/>
      <c r="M41" s="288">
        <f t="shared" si="16"/>
        <v>43929000964.1539</v>
      </c>
      <c r="N41" s="92">
        <f t="shared" ref="N41:N49" si="21">(M41-M40)/M40*100</f>
        <v>1.0668209893245042</v>
      </c>
      <c r="O41" s="92">
        <f t="shared" ref="O41:O49" si="22">(M41-M37)/M37*100</f>
        <v>5.5222184710701585</v>
      </c>
      <c r="Q41" s="289">
        <f t="shared" si="18"/>
        <v>0.57229063381166256</v>
      </c>
    </row>
    <row r="42" spans="1:17">
      <c r="A42" s="287" t="s">
        <v>405</v>
      </c>
      <c r="B42" s="235">
        <v>77696.629793574059</v>
      </c>
      <c r="C42" s="235">
        <v>475519.78200000001</v>
      </c>
      <c r="D42" s="234">
        <f t="shared" si="19"/>
        <v>475519782000</v>
      </c>
      <c r="E42" s="234">
        <f t="shared" si="20"/>
        <v>77696629793.574066</v>
      </c>
      <c r="F42" s="235"/>
      <c r="G42" s="235"/>
      <c r="H42" s="92">
        <f>E42/D42*100</f>
        <v>16.33930547889889</v>
      </c>
      <c r="I42" s="92"/>
      <c r="J42" s="92"/>
      <c r="K42" s="92"/>
      <c r="L42" s="235"/>
      <c r="M42" s="288">
        <f t="shared" si="16"/>
        <v>43890811029.345039</v>
      </c>
      <c r="N42" s="92">
        <f t="shared" si="21"/>
        <v>-8.6935586903111678E-2</v>
      </c>
      <c r="O42" s="92">
        <f t="shared" si="22"/>
        <v>4.9256777562049203</v>
      </c>
      <c r="Q42" s="289">
        <f t="shared" si="18"/>
        <v>0.56489980512610405</v>
      </c>
    </row>
    <row r="43" spans="1:17">
      <c r="A43" s="287" t="s">
        <v>413</v>
      </c>
      <c r="B43" s="235">
        <v>75199.993433368509</v>
      </c>
      <c r="C43" s="235">
        <v>460862.82500000001</v>
      </c>
      <c r="D43" s="234">
        <f t="shared" si="19"/>
        <v>460862825000</v>
      </c>
      <c r="E43" s="234">
        <f t="shared" si="20"/>
        <v>75199993433.368515</v>
      </c>
      <c r="F43" s="235"/>
      <c r="G43" s="235"/>
      <c r="H43" s="92">
        <f t="shared" si="2"/>
        <v>16.317218346558658</v>
      </c>
      <c r="I43" s="92"/>
      <c r="J43" s="92"/>
      <c r="K43" s="92"/>
      <c r="L43" s="235"/>
      <c r="M43" s="288">
        <f t="shared" si="16"/>
        <v>43197467928.11705</v>
      </c>
      <c r="N43" s="92">
        <f t="shared" si="21"/>
        <v>-1.5796999074918567</v>
      </c>
      <c r="O43" s="92">
        <f t="shared" si="22"/>
        <v>3.9312491107488516</v>
      </c>
      <c r="Q43" s="289">
        <f t="shared" si="18"/>
        <v>0.57443446409862353</v>
      </c>
    </row>
    <row r="44" spans="1:17">
      <c r="A44" s="287" t="s">
        <v>415</v>
      </c>
      <c r="B44" s="235">
        <v>78146.804841019475</v>
      </c>
      <c r="C44" s="235">
        <v>474374.35199999996</v>
      </c>
      <c r="D44" s="234">
        <f t="shared" si="19"/>
        <v>474374351999.99994</v>
      </c>
      <c r="E44" s="234">
        <f t="shared" si="20"/>
        <v>78146804841.01947</v>
      </c>
      <c r="F44" s="235"/>
      <c r="G44" s="235"/>
      <c r="H44" s="92">
        <f t="shared" ref="H44:H46" si="23">E44/D44*100</f>
        <v>16.473657252241047</v>
      </c>
      <c r="I44" s="92"/>
      <c r="J44" s="92"/>
      <c r="K44" s="92"/>
      <c r="L44" s="235"/>
      <c r="M44" s="288">
        <f t="shared" si="16"/>
        <v>44886983041.066635</v>
      </c>
      <c r="N44" s="92">
        <f t="shared" si="21"/>
        <v>3.9111438563043341</v>
      </c>
      <c r="O44" s="92">
        <f t="shared" si="22"/>
        <v>3.2708365816054679</v>
      </c>
      <c r="Q44" s="289">
        <f t="shared" si="18"/>
        <v>0.57439306869147044</v>
      </c>
    </row>
    <row r="45" spans="1:17">
      <c r="A45" s="287" t="s">
        <v>417</v>
      </c>
      <c r="B45" s="235">
        <v>79336.356144022604</v>
      </c>
      <c r="C45" s="235">
        <v>481033.33599999995</v>
      </c>
      <c r="D45" s="234">
        <f t="shared" si="19"/>
        <v>481033335999.99994</v>
      </c>
      <c r="E45" s="234">
        <f t="shared" si="20"/>
        <v>79336356144.022598</v>
      </c>
      <c r="F45" s="235"/>
      <c r="G45" s="235"/>
      <c r="H45" s="92">
        <f t="shared" si="23"/>
        <v>16.492901885706861</v>
      </c>
      <c r="I45" s="92"/>
      <c r="J45" s="92"/>
      <c r="K45" s="92"/>
      <c r="L45" s="235"/>
      <c r="M45" s="288">
        <f t="shared" si="16"/>
        <v>45402277005.859169</v>
      </c>
      <c r="N45" s="92">
        <f t="shared" si="21"/>
        <v>1.1479808396146758</v>
      </c>
      <c r="O45" s="92">
        <f t="shared" si="22"/>
        <v>3.3537663260483965</v>
      </c>
      <c r="Q45" s="289">
        <f t="shared" si="18"/>
        <v>0.572275804089597</v>
      </c>
    </row>
    <row r="46" spans="1:17">
      <c r="A46" s="287" t="s">
        <v>418</v>
      </c>
      <c r="B46" s="235">
        <v>80704.714857858489</v>
      </c>
      <c r="C46" s="235">
        <v>493072.837</v>
      </c>
      <c r="D46" s="234">
        <f t="shared" si="19"/>
        <v>493072837000</v>
      </c>
      <c r="E46" s="234">
        <f t="shared" si="20"/>
        <v>80704714857.85849</v>
      </c>
      <c r="F46" s="235"/>
      <c r="G46" s="235"/>
      <c r="H46" s="92">
        <f t="shared" si="23"/>
        <v>16.367706513481796</v>
      </c>
      <c r="I46" s="92"/>
      <c r="J46" s="92"/>
      <c r="K46" s="92"/>
      <c r="L46" s="235"/>
      <c r="M46" s="288">
        <f t="shared" si="16"/>
        <v>45390055960.260902</v>
      </c>
      <c r="N46" s="92">
        <f t="shared" si="21"/>
        <v>-2.6917252623011562E-2</v>
      </c>
      <c r="O46" s="92">
        <f t="shared" si="22"/>
        <v>3.4158515091313304</v>
      </c>
      <c r="Q46" s="289">
        <f t="shared" si="18"/>
        <v>0.56242136584218561</v>
      </c>
    </row>
    <row r="47" spans="1:17">
      <c r="A47" s="287" t="s">
        <v>419</v>
      </c>
      <c r="B47" s="235">
        <v>77631.579507842689</v>
      </c>
      <c r="C47" s="235">
        <v>473284.397</v>
      </c>
      <c r="D47" s="234">
        <f t="shared" ref="D47:D49" si="24">C47*1000000</f>
        <v>473284397000</v>
      </c>
      <c r="E47" s="234">
        <f t="shared" ref="E47:E49" si="25">B47*1000000</f>
        <v>77631579507.842682</v>
      </c>
      <c r="F47" s="235"/>
      <c r="G47" s="235"/>
      <c r="H47" s="92">
        <f t="shared" ref="H47:H49" si="26">E47/D47*100</f>
        <v>16.4027337473884</v>
      </c>
      <c r="I47" s="92"/>
      <c r="J47" s="92"/>
      <c r="K47" s="92"/>
      <c r="L47" s="235"/>
      <c r="M47" s="288">
        <f t="shared" ref="M47:M49" si="27">E47*Q47</f>
        <v>44336130913.642532</v>
      </c>
      <c r="N47" s="92">
        <f t="shared" si="21"/>
        <v>-2.3219293836982353</v>
      </c>
      <c r="O47" s="92">
        <f t="shared" si="22"/>
        <v>2.6359484482291409</v>
      </c>
      <c r="Q47" s="289">
        <f t="shared" si="18"/>
        <v>0.57110947883217422</v>
      </c>
    </row>
    <row r="48" spans="1:17">
      <c r="A48" s="287" t="s">
        <v>420</v>
      </c>
      <c r="B48" s="235">
        <v>80708.192955819919</v>
      </c>
      <c r="C48" s="235">
        <v>488293.72400000005</v>
      </c>
      <c r="D48" s="234">
        <f t="shared" si="24"/>
        <v>488293724000.00006</v>
      </c>
      <c r="E48" s="234">
        <f t="shared" si="25"/>
        <v>80708192955.819916</v>
      </c>
      <c r="F48" s="235"/>
      <c r="G48" s="235"/>
      <c r="H48" s="92">
        <f t="shared" si="26"/>
        <v>16.528615664906621</v>
      </c>
      <c r="I48" s="92"/>
      <c r="J48" s="92"/>
      <c r="K48" s="92"/>
      <c r="L48" s="235"/>
      <c r="M48" s="288">
        <f t="shared" si="27"/>
        <v>46061180610.01252</v>
      </c>
      <c r="N48" s="92">
        <f t="shared" si="21"/>
        <v>3.8908440155277009</v>
      </c>
      <c r="O48" s="92">
        <f t="shared" si="22"/>
        <v>2.615897726678631</v>
      </c>
      <c r="Q48" s="289">
        <f t="shared" si="18"/>
        <v>0.57071257480918514</v>
      </c>
    </row>
    <row r="49" spans="1:17">
      <c r="A49" s="287" t="s">
        <v>422</v>
      </c>
      <c r="B49" s="235">
        <v>81187.502547664655</v>
      </c>
      <c r="C49" s="235">
        <v>491517.19500000001</v>
      </c>
      <c r="D49" s="234">
        <f t="shared" si="24"/>
        <v>491517195000</v>
      </c>
      <c r="E49" s="234">
        <f t="shared" si="25"/>
        <v>81187502547.664658</v>
      </c>
      <c r="F49" s="235"/>
      <c r="G49" s="235"/>
      <c r="H49" s="92">
        <f t="shared" si="26"/>
        <v>16.517733941671086</v>
      </c>
      <c r="I49" s="92"/>
      <c r="J49" s="92"/>
      <c r="K49" s="92"/>
      <c r="L49" s="235"/>
      <c r="M49" s="288">
        <f t="shared" si="27"/>
        <v>46229040720.383232</v>
      </c>
      <c r="N49" s="92">
        <f t="shared" si="21"/>
        <v>0.36442858855906923</v>
      </c>
      <c r="O49" s="92">
        <f t="shared" si="22"/>
        <v>1.8209741207855481</v>
      </c>
      <c r="Q49" s="289">
        <f t="shared" si="18"/>
        <v>0.56941079931905114</v>
      </c>
    </row>
    <row r="50" spans="1:17">
      <c r="A50" s="287" t="s">
        <v>423</v>
      </c>
      <c r="B50" s="235">
        <v>82654.977409226281</v>
      </c>
      <c r="C50" s="235">
        <v>503348.26499999996</v>
      </c>
      <c r="D50" s="234">
        <f t="shared" ref="D50" si="28">C50*1000000</f>
        <v>503348264999.99994</v>
      </c>
      <c r="E50" s="234">
        <f t="shared" ref="E50" si="29">B50*1000000</f>
        <v>82654977409.226288</v>
      </c>
      <c r="F50" s="235"/>
      <c r="G50" s="235"/>
      <c r="H50" s="92">
        <f t="shared" ref="H50" si="30">E50/D50*100</f>
        <v>16.421031551430161</v>
      </c>
      <c r="I50" s="92"/>
      <c r="J50" s="92"/>
      <c r="K50" s="92"/>
      <c r="L50" s="235"/>
      <c r="M50" s="288">
        <f t="shared" ref="M50" si="31">E50*Q50</f>
        <v>46467822916.79612</v>
      </c>
      <c r="N50" s="92">
        <f t="shared" ref="N50" si="32">(M50-M49)/M49*100</f>
        <v>0.51651990327284503</v>
      </c>
      <c r="O50" s="92">
        <f t="shared" ref="O50" si="33">(M50-M46)/M46*100</f>
        <v>2.3744561087979377</v>
      </c>
      <c r="Q50" s="289">
        <f t="shared" si="18"/>
        <v>0.56219025608987938</v>
      </c>
    </row>
    <row r="51" spans="1:17">
      <c r="A51" s="287" t="s">
        <v>424</v>
      </c>
      <c r="B51" s="235">
        <v>78747.632494849066</v>
      </c>
      <c r="C51" s="235">
        <v>480893.8862852903</v>
      </c>
      <c r="D51" s="234">
        <f t="shared" ref="D51:D54" si="34">C51*1000000</f>
        <v>480893886285.29028</v>
      </c>
      <c r="E51" s="234">
        <f t="shared" ref="E51:E54" si="35">B51*1000000</f>
        <v>78747632494.84906</v>
      </c>
      <c r="F51" s="235"/>
      <c r="G51" s="235"/>
      <c r="H51" s="92">
        <f t="shared" ref="H51:H54" si="36">E51/D51*100</f>
        <v>16.37526172419086</v>
      </c>
      <c r="I51" s="92"/>
      <c r="J51" s="92"/>
      <c r="K51" s="92"/>
      <c r="L51" s="235"/>
      <c r="M51" s="288">
        <f t="shared" ref="M51:M54" si="37">E51*Q51</f>
        <v>45134299320.021317</v>
      </c>
      <c r="N51" s="92">
        <f t="shared" ref="N51:N54" si="38">(M51-M50)/M50*100</f>
        <v>-2.8697785113853307</v>
      </c>
      <c r="O51" s="92">
        <f t="shared" ref="O51:O54" si="39">(M51-M47)/M47*100</f>
        <v>1.8002662612428868</v>
      </c>
      <c r="Q51" s="289">
        <f t="shared" si="18"/>
        <v>0.57315119058307673</v>
      </c>
    </row>
    <row r="52" spans="1:17">
      <c r="A52" s="287" t="s">
        <v>425</v>
      </c>
      <c r="B52" s="235">
        <v>82753.463447064103</v>
      </c>
      <c r="C52" s="235">
        <v>499484.69976194436</v>
      </c>
      <c r="D52" s="234">
        <f t="shared" si="34"/>
        <v>499484699761.94434</v>
      </c>
      <c r="E52" s="234">
        <f t="shared" si="35"/>
        <v>82753463447.064102</v>
      </c>
      <c r="F52" s="235"/>
      <c r="G52" s="235"/>
      <c r="H52" s="92">
        <f t="shared" si="36"/>
        <v>16.567767438422962</v>
      </c>
      <c r="I52" s="92"/>
      <c r="J52" s="92"/>
      <c r="K52" s="92"/>
      <c r="L52" s="235"/>
      <c r="M52" s="288">
        <f t="shared" si="37"/>
        <v>47417299430.939346</v>
      </c>
      <c r="N52" s="92">
        <f t="shared" si="38"/>
        <v>5.0582376270662612</v>
      </c>
      <c r="O52" s="92">
        <f t="shared" si="39"/>
        <v>2.9441686100248177</v>
      </c>
      <c r="Q52" s="289">
        <f t="shared" si="18"/>
        <v>0.572994741921241</v>
      </c>
    </row>
    <row r="53" spans="1:17">
      <c r="A53" s="287" t="s">
        <v>426</v>
      </c>
      <c r="B53" s="235">
        <v>82311.26004817088</v>
      </c>
      <c r="C53" s="235">
        <v>499774.92045224109</v>
      </c>
      <c r="D53" s="234">
        <f t="shared" si="34"/>
        <v>499774920452.24109</v>
      </c>
      <c r="E53" s="234">
        <f t="shared" si="35"/>
        <v>82311260048.170883</v>
      </c>
      <c r="F53" s="235"/>
      <c r="G53" s="235"/>
      <c r="H53" s="92">
        <f t="shared" si="36"/>
        <v>16.469665979575023</v>
      </c>
      <c r="I53" s="92"/>
      <c r="J53" s="92"/>
      <c r="K53" s="92"/>
      <c r="L53" s="235"/>
      <c r="M53" s="288">
        <f t="shared" si="37"/>
        <v>47026542029.828819</v>
      </c>
      <c r="N53" s="92">
        <f t="shared" si="38"/>
        <v>-0.8240819401358852</v>
      </c>
      <c r="O53" s="92">
        <f t="shared" si="39"/>
        <v>1.7251089294049622</v>
      </c>
      <c r="Q53" s="289">
        <f t="shared" si="18"/>
        <v>0.57132574574010353</v>
      </c>
    </row>
    <row r="54" spans="1:17">
      <c r="A54" s="287" t="s">
        <v>429</v>
      </c>
      <c r="B54" s="235">
        <v>83974.079876575677</v>
      </c>
      <c r="C54" s="235">
        <v>513279.15760609892</v>
      </c>
      <c r="D54" s="234">
        <f t="shared" si="34"/>
        <v>513279157606.09894</v>
      </c>
      <c r="E54" s="234">
        <f t="shared" si="35"/>
        <v>83974079876.575684</v>
      </c>
      <c r="F54" s="235"/>
      <c r="G54" s="235"/>
      <c r="H54" s="92">
        <f t="shared" si="36"/>
        <v>16.360313609503532</v>
      </c>
      <c r="I54" s="92"/>
      <c r="J54" s="92"/>
      <c r="K54" s="92"/>
      <c r="L54" s="235"/>
      <c r="M54" s="288">
        <f t="shared" si="37"/>
        <v>47291722509.390015</v>
      </c>
      <c r="N54" s="92">
        <f t="shared" si="38"/>
        <v>0.56389534104589711</v>
      </c>
      <c r="O54" s="92">
        <f t="shared" si="39"/>
        <v>1.7730539992569583</v>
      </c>
      <c r="Q54" s="289">
        <f t="shared" si="18"/>
        <v>0.56317047568605627</v>
      </c>
    </row>
    <row r="55" spans="1:17">
      <c r="K55" s="237"/>
      <c r="L55" s="237"/>
      <c r="M55" s="92"/>
      <c r="Q55" s="363"/>
    </row>
    <row r="56" spans="1:17">
      <c r="B56" s="7">
        <v>74822.137213590933</v>
      </c>
      <c r="M56" s="92"/>
    </row>
    <row r="57" spans="1:17">
      <c r="B57" s="7">
        <v>77729.695704274302</v>
      </c>
      <c r="M57" s="92"/>
    </row>
    <row r="58" spans="1:17">
      <c r="B58" s="7">
        <v>78919.641942002112</v>
      </c>
      <c r="M58" s="92"/>
    </row>
    <row r="59" spans="1:17">
      <c r="B59" s="7">
        <v>79587.841018227264</v>
      </c>
      <c r="M59" s="92"/>
    </row>
    <row r="60" spans="1:17">
      <c r="B60" s="7">
        <v>76650.248204265052</v>
      </c>
    </row>
  </sheetData>
  <mergeCells count="2">
    <mergeCell ref="D1:O1"/>
    <mergeCell ref="R11:T11"/>
  </mergeCells>
  <phoneticPr fontId="8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60"/>
  <sheetViews>
    <sheetView workbookViewId="0"/>
  </sheetViews>
  <sheetFormatPr defaultRowHeight="12.75"/>
  <cols>
    <col min="1" max="1" width="7.5" style="7" bestFit="1" customWidth="1"/>
    <col min="2" max="2" width="9" style="7" hidden="1" customWidth="1"/>
    <col min="3" max="3" width="16.5" style="7" hidden="1" customWidth="1"/>
    <col min="4" max="4" width="17.125" style="7" customWidth="1"/>
    <col min="5" max="5" width="15.5" style="7" bestFit="1" customWidth="1"/>
    <col min="6" max="6" width="13.75" style="7" hidden="1" customWidth="1"/>
    <col min="7" max="7" width="14.125" style="7" hidden="1" customWidth="1"/>
    <col min="8" max="8" width="10.375" style="7" hidden="1" customWidth="1"/>
    <col min="9" max="9" width="8" style="7" hidden="1" customWidth="1"/>
    <col min="10" max="10" width="7.875" style="7" hidden="1" customWidth="1"/>
    <col min="11" max="11" width="9.375" style="7" hidden="1" customWidth="1"/>
    <col min="12" max="12" width="11" hidden="1" customWidth="1"/>
    <col min="13" max="13" width="18.25" bestFit="1" customWidth="1"/>
    <col min="14" max="14" width="14.5" customWidth="1"/>
    <col min="15" max="15" width="12.5" customWidth="1"/>
    <col min="18" max="18" width="9" style="7"/>
    <col min="19" max="19" width="16.5" bestFit="1" customWidth="1"/>
  </cols>
  <sheetData>
    <row r="1" spans="1:20" ht="28.5" customHeight="1" thickBot="1">
      <c r="D1" s="418" t="s">
        <v>233</v>
      </c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20"/>
    </row>
    <row r="2" spans="1:20" ht="39" thickBot="1">
      <c r="C2" s="233" t="s">
        <v>214</v>
      </c>
      <c r="D2" s="241" t="s">
        <v>231</v>
      </c>
      <c r="E2" s="239" t="s">
        <v>223</v>
      </c>
      <c r="F2" s="239" t="s">
        <v>213</v>
      </c>
      <c r="G2" s="239" t="s">
        <v>212</v>
      </c>
      <c r="H2" s="239" t="s">
        <v>215</v>
      </c>
      <c r="I2" s="239" t="s">
        <v>216</v>
      </c>
      <c r="J2" s="239" t="s">
        <v>217</v>
      </c>
      <c r="K2" s="239" t="s">
        <v>218</v>
      </c>
      <c r="L2" s="239" t="s">
        <v>237</v>
      </c>
      <c r="M2" s="239" t="s">
        <v>234</v>
      </c>
      <c r="N2" s="239" t="s">
        <v>235</v>
      </c>
      <c r="O2" s="240" t="s">
        <v>236</v>
      </c>
    </row>
    <row r="3" spans="1:20" hidden="1">
      <c r="A3" t="s">
        <v>197</v>
      </c>
      <c r="B3" s="7">
        <v>37676.73632361889</v>
      </c>
      <c r="C3" s="7">
        <v>228114.65100000001</v>
      </c>
      <c r="D3" s="234">
        <f>'GDP Durban'!D3</f>
        <v>322910910060.36981</v>
      </c>
      <c r="E3" s="234">
        <f>'GDP Durban'!E3</f>
        <v>52513785574.425522</v>
      </c>
    </row>
    <row r="4" spans="1:20" hidden="1">
      <c r="A4" t="s">
        <v>198</v>
      </c>
      <c r="B4" s="7">
        <v>39785.998991779808</v>
      </c>
      <c r="C4" s="7">
        <v>237077.625</v>
      </c>
      <c r="D4" s="234">
        <f>'GDP Durban'!D4</f>
        <v>334720112818.65576</v>
      </c>
      <c r="E4" s="234">
        <f>'GDP Durban'!E4</f>
        <v>55248344021.382965</v>
      </c>
    </row>
    <row r="5" spans="1:20" hidden="1">
      <c r="A5" t="s">
        <v>199</v>
      </c>
      <c r="B5" s="7">
        <v>40039.788367970163</v>
      </c>
      <c r="C5" s="7">
        <v>239764.666</v>
      </c>
      <c r="D5" s="234">
        <f>'GDP Durban'!D5</f>
        <v>338640978501.02924</v>
      </c>
      <c r="E5" s="234">
        <f>'GDP Durban'!E5</f>
        <v>55639048975.850365</v>
      </c>
    </row>
    <row r="6" spans="1:20" hidden="1">
      <c r="A6" t="s">
        <v>196</v>
      </c>
      <c r="B6" s="7">
        <v>40074.592176024802</v>
      </c>
      <c r="C6" s="7">
        <v>242416.25599999999</v>
      </c>
      <c r="D6" s="234">
        <f>'GDP Durban'!D6</f>
        <v>342446668348.70929</v>
      </c>
      <c r="E6" s="234">
        <f>'GDP Durban'!E6</f>
        <v>55758173321.719719</v>
      </c>
    </row>
    <row r="7" spans="1:20" hidden="1">
      <c r="A7" t="s">
        <v>193</v>
      </c>
      <c r="B7" s="7">
        <v>38164.553783353913</v>
      </c>
      <c r="C7" s="7">
        <v>234422.22595000002</v>
      </c>
      <c r="D7" s="234">
        <f>'GDP Durban'!D7</f>
        <v>333305590430.95892</v>
      </c>
      <c r="E7" s="234">
        <f>'GDP Durban'!E7</f>
        <v>53541924463.459938</v>
      </c>
      <c r="F7" s="235">
        <v>4118958622</v>
      </c>
      <c r="G7" s="235">
        <v>674878797</v>
      </c>
      <c r="H7" s="92">
        <f>E7/D7*100</f>
        <v>16.063914317857993</v>
      </c>
      <c r="I7" s="92">
        <f>G7/F7*100</f>
        <v>16.384694747729856</v>
      </c>
      <c r="J7" s="92">
        <f>D7/F7</f>
        <v>80.919868592687919</v>
      </c>
      <c r="K7" s="92">
        <f>E7/G7</f>
        <v>79.335615078539703</v>
      </c>
      <c r="M7" s="234">
        <f>E7*$L$23</f>
        <v>4300105870.4671488</v>
      </c>
    </row>
    <row r="8" spans="1:20" hidden="1">
      <c r="A8" t="s">
        <v>194</v>
      </c>
      <c r="B8" s="7">
        <v>40899.509629239452</v>
      </c>
      <c r="C8" s="7">
        <v>246691.99999189001</v>
      </c>
      <c r="D8" s="234">
        <f>'GDP Durban'!D8</f>
        <v>347204329137.22797</v>
      </c>
      <c r="E8" s="234">
        <f>'GDP Durban'!E8</f>
        <v>56761421952.243866</v>
      </c>
      <c r="F8" s="235">
        <v>4128329079</v>
      </c>
      <c r="G8" s="235">
        <v>697677279</v>
      </c>
      <c r="H8" s="92">
        <f t="shared" ref="H8:H39" si="0">E8/D8*100</f>
        <v>16.348131975569249</v>
      </c>
      <c r="I8" s="92">
        <f t="shared" ref="I8:I37" si="1">G8/F8*100</f>
        <v>16.899749648082743</v>
      </c>
      <c r="J8" s="92">
        <f t="shared" ref="J8:K36" si="2">D8/F8</f>
        <v>84.102871281116677</v>
      </c>
      <c r="K8" s="92">
        <f t="shared" si="2"/>
        <v>81.357704573096555</v>
      </c>
      <c r="M8" s="234">
        <f t="shared" ref="M8:M30" si="3">E8*$L$23</f>
        <v>4558672968.8709812</v>
      </c>
      <c r="N8" s="92">
        <f>(M8-M7)/M7*100</f>
        <v>6.0130402876741869</v>
      </c>
    </row>
    <row r="9" spans="1:20" hidden="1">
      <c r="A9" t="s">
        <v>195</v>
      </c>
      <c r="B9" s="7">
        <v>40843.515709009815</v>
      </c>
      <c r="C9" s="7">
        <v>248774.73830440003</v>
      </c>
      <c r="D9" s="234">
        <f>'GDP Durban'!D9</f>
        <v>350396669892.96594</v>
      </c>
      <c r="E9" s="234">
        <f>'GDP Durban'!E9</f>
        <v>56894031533.402405</v>
      </c>
      <c r="F9" s="235">
        <v>4479766142</v>
      </c>
      <c r="G9" s="235">
        <v>748604188</v>
      </c>
      <c r="H9" s="92">
        <f t="shared" si="0"/>
        <v>16.237035457780337</v>
      </c>
      <c r="I9" s="92">
        <f t="shared" si="1"/>
        <v>16.71078722126741</v>
      </c>
      <c r="J9" s="92">
        <f t="shared" si="2"/>
        <v>78.217625381786263</v>
      </c>
      <c r="K9" s="92">
        <f t="shared" si="2"/>
        <v>76.000151275405912</v>
      </c>
      <c r="M9" s="234">
        <f t="shared" si="3"/>
        <v>4569323225.5461817</v>
      </c>
      <c r="N9" s="92">
        <f t="shared" ref="N9:N36" si="4">(M9-M8)/M8*100</f>
        <v>0.233626249303822</v>
      </c>
    </row>
    <row r="10" spans="1:20" ht="13.5" hidden="1" thickBot="1">
      <c r="A10" t="s">
        <v>192</v>
      </c>
      <c r="B10" s="7">
        <v>41049.652983244421</v>
      </c>
      <c r="C10" s="7">
        <v>252232.9458972</v>
      </c>
      <c r="D10" s="234">
        <f>'GDP Durban'!D10</f>
        <v>355528420538.84723</v>
      </c>
      <c r="E10" s="234">
        <f>'GDP Durban'!E10</f>
        <v>57325635367.883652</v>
      </c>
      <c r="F10" s="235">
        <v>4393645140</v>
      </c>
      <c r="G10" s="235">
        <v>741841930</v>
      </c>
      <c r="H10" s="92">
        <f t="shared" si="0"/>
        <v>16.124065491304343</v>
      </c>
      <c r="I10" s="92">
        <f t="shared" si="1"/>
        <v>16.884429815376485</v>
      </c>
      <c r="J10" s="92">
        <f t="shared" si="2"/>
        <v>80.918783654623326</v>
      </c>
      <c r="K10" s="92">
        <f t="shared" si="2"/>
        <v>77.274730706962941</v>
      </c>
      <c r="M10" s="234">
        <f t="shared" si="3"/>
        <v>4603986570.2235947</v>
      </c>
      <c r="N10" s="92">
        <f t="shared" si="4"/>
        <v>0.75861003843232377</v>
      </c>
    </row>
    <row r="11" spans="1:20" ht="15.75" thickBot="1">
      <c r="A11" t="str">
        <f>'GDP Durban'!A11</f>
        <v>2003q1</v>
      </c>
      <c r="B11" s="7">
        <v>39679.286244765506</v>
      </c>
      <c r="C11" s="7">
        <v>242968.67667019999</v>
      </c>
      <c r="D11" s="234">
        <f>'GDP Durban'!D11</f>
        <v>343994759999.99994</v>
      </c>
      <c r="E11" s="234">
        <f>'GDP Durban'!E11</f>
        <v>55181294713.915733</v>
      </c>
      <c r="F11" s="235">
        <v>4324510166.1150007</v>
      </c>
      <c r="G11" s="235">
        <v>733454143.19999993</v>
      </c>
      <c r="H11" s="92">
        <f t="shared" si="0"/>
        <v>16.041318395058035</v>
      </c>
      <c r="I11" s="92">
        <f t="shared" si="1"/>
        <v>16.960398172885121</v>
      </c>
      <c r="J11" s="92">
        <f t="shared" si="2"/>
        <v>79.545369715024549</v>
      </c>
      <c r="K11" s="92">
        <f t="shared" si="2"/>
        <v>75.234825824507993</v>
      </c>
      <c r="M11" s="234">
        <f t="shared" si="3"/>
        <v>4431768407.9739046</v>
      </c>
      <c r="N11" s="92">
        <f t="shared" si="4"/>
        <v>-3.7406312903585688</v>
      </c>
      <c r="O11" s="92">
        <f>(M11-M7)/M7*100</f>
        <v>3.0618440911189113</v>
      </c>
      <c r="R11" s="421" t="s">
        <v>347</v>
      </c>
      <c r="S11" s="422"/>
      <c r="T11" s="423"/>
    </row>
    <row r="12" spans="1:20">
      <c r="A12" t="str">
        <f>'GDP Durban'!A12</f>
        <v>2003q2</v>
      </c>
      <c r="B12" s="7">
        <v>42428.908098434826</v>
      </c>
      <c r="C12" s="7">
        <v>254647.49008620001</v>
      </c>
      <c r="D12" s="234">
        <f>'GDP Durban'!D12</f>
        <v>358345100000</v>
      </c>
      <c r="E12" s="234">
        <f>'GDP Durban'!E12</f>
        <v>58708707406.102829</v>
      </c>
      <c r="F12" s="235">
        <v>4344832650.1500006</v>
      </c>
      <c r="G12" s="235">
        <v>733104993.00000012</v>
      </c>
      <c r="H12" s="92">
        <f t="shared" si="0"/>
        <v>16.383287341197864</v>
      </c>
      <c r="I12" s="92">
        <f t="shared" si="1"/>
        <v>16.873031760491177</v>
      </c>
      <c r="J12" s="92">
        <f t="shared" si="2"/>
        <v>82.476157047758448</v>
      </c>
      <c r="K12" s="92">
        <f t="shared" si="2"/>
        <v>80.082263750320436</v>
      </c>
      <c r="M12" s="234">
        <f t="shared" si="3"/>
        <v>4715065061.5259399</v>
      </c>
      <c r="N12" s="92">
        <f t="shared" si="4"/>
        <v>6.3924065400689924</v>
      </c>
      <c r="O12" s="92">
        <f t="shared" ref="O12:O36" si="5">(M12-M8)/M8*100</f>
        <v>3.4306495272393143</v>
      </c>
      <c r="R12" s="7">
        <v>2001</v>
      </c>
    </row>
    <row r="13" spans="1:20">
      <c r="A13" t="str">
        <f>'GDP Durban'!A13</f>
        <v>2003q3</v>
      </c>
      <c r="B13" s="7">
        <v>42149.48137805095</v>
      </c>
      <c r="C13" s="7">
        <v>256275.03476719998</v>
      </c>
      <c r="D13" s="234">
        <f>'GDP Durban'!D13</f>
        <v>360923000000</v>
      </c>
      <c r="E13" s="234">
        <f>'GDP Durban'!E13</f>
        <v>58465530322.692268</v>
      </c>
      <c r="F13" s="235">
        <v>4469507962.3999996</v>
      </c>
      <c r="G13" s="235">
        <v>755965791.00000012</v>
      </c>
      <c r="H13" s="92">
        <f t="shared" si="0"/>
        <v>16.198892928046224</v>
      </c>
      <c r="I13" s="92">
        <f t="shared" si="1"/>
        <v>16.913848176569036</v>
      </c>
      <c r="J13" s="92">
        <f t="shared" si="2"/>
        <v>80.752289298125461</v>
      </c>
      <c r="K13" s="92">
        <f t="shared" si="2"/>
        <v>77.338857152984929</v>
      </c>
      <c r="M13" s="234">
        <f t="shared" si="3"/>
        <v>4695534810.8968191</v>
      </c>
      <c r="N13" s="92">
        <f t="shared" si="4"/>
        <v>-0.41420956814539134</v>
      </c>
      <c r="O13" s="92">
        <f t="shared" si="5"/>
        <v>2.7621505225328216</v>
      </c>
      <c r="R13" s="7">
        <f>R12+1</f>
        <v>2002</v>
      </c>
      <c r="S13" s="284">
        <f>SUM(M7:M10)</f>
        <v>18032088635.107906</v>
      </c>
    </row>
    <row r="14" spans="1:20">
      <c r="A14" t="str">
        <f>'GDP Durban'!A14</f>
        <v>2003q4</v>
      </c>
      <c r="B14" s="7">
        <v>42100.346979449736</v>
      </c>
      <c r="C14" s="7">
        <v>258872.64112069999</v>
      </c>
      <c r="D14" s="234">
        <f>'GDP Durban'!D14</f>
        <v>364059160000</v>
      </c>
      <c r="E14" s="234">
        <f>'GDP Durban'!E14</f>
        <v>58326547234.588341</v>
      </c>
      <c r="F14" s="235">
        <v>4792454884.6540003</v>
      </c>
      <c r="G14" s="235">
        <v>792421454</v>
      </c>
      <c r="H14" s="92">
        <f t="shared" si="0"/>
        <v>16.021172832071674</v>
      </c>
      <c r="I14" s="92">
        <f t="shared" si="1"/>
        <v>16.534771282613971</v>
      </c>
      <c r="J14" s="92">
        <f t="shared" si="2"/>
        <v>75.965067749674574</v>
      </c>
      <c r="K14" s="92">
        <f t="shared" si="2"/>
        <v>73.605462017928076</v>
      </c>
      <c r="L14">
        <f>L31/G31</f>
        <v>8.1954277173082804E-2</v>
      </c>
      <c r="M14" s="234">
        <f t="shared" si="3"/>
        <v>4684372679.5569334</v>
      </c>
      <c r="N14" s="92">
        <f t="shared" si="4"/>
        <v>-0.23771799783023675</v>
      </c>
      <c r="O14" s="92">
        <f t="shared" si="5"/>
        <v>1.7460109430648221</v>
      </c>
      <c r="R14" s="7">
        <f t="shared" ref="R14:R24" si="6">R13+1</f>
        <v>2003</v>
      </c>
      <c r="S14" s="284">
        <f>SUM(M11:M14)</f>
        <v>18526740959.953598</v>
      </c>
      <c r="T14" s="92">
        <f>(S14-S13)/S13*100</f>
        <v>2.7431782022334299</v>
      </c>
    </row>
    <row r="15" spans="1:20">
      <c r="A15" t="str">
        <f>'GDP Durban'!A15</f>
        <v>2004q1</v>
      </c>
      <c r="B15" s="7">
        <v>40825.253019522192</v>
      </c>
      <c r="C15" s="7">
        <v>251444.37829999998</v>
      </c>
      <c r="D15" s="234">
        <f>'GDP Durban'!D15</f>
        <v>356887070000</v>
      </c>
      <c r="E15" s="234">
        <f>'GDP Durban'!E15</f>
        <v>57038420961.214691</v>
      </c>
      <c r="F15" s="235">
        <v>4499340550.9499998</v>
      </c>
      <c r="G15" s="235">
        <v>735941631.61000013</v>
      </c>
      <c r="H15" s="92">
        <f t="shared" si="0"/>
        <v>15.982204387851509</v>
      </c>
      <c r="I15" s="92">
        <f t="shared" si="1"/>
        <v>16.356655453755593</v>
      </c>
      <c r="J15" s="92">
        <f t="shared" si="2"/>
        <v>79.319861646090814</v>
      </c>
      <c r="K15" s="92">
        <f t="shared" si="2"/>
        <v>77.504001012190656</v>
      </c>
      <c r="L15">
        <f t="shared" ref="L15:L20" si="7">L32/G32</f>
        <v>7.573159189140187E-2</v>
      </c>
      <c r="M15" s="234">
        <f t="shared" si="3"/>
        <v>4580919555.5696335</v>
      </c>
      <c r="N15" s="92">
        <f t="shared" si="4"/>
        <v>-2.2084733872430689</v>
      </c>
      <c r="O15" s="92">
        <f t="shared" si="5"/>
        <v>3.3654995899011135</v>
      </c>
      <c r="R15" s="7">
        <f t="shared" si="6"/>
        <v>2004</v>
      </c>
      <c r="S15" s="284">
        <f>SUM(M15:M18)</f>
        <v>19359818367.708511</v>
      </c>
      <c r="T15" s="92">
        <f t="shared" ref="T15:T21" si="8">(S15-S14)/S14*100</f>
        <v>4.4966214487245679</v>
      </c>
    </row>
    <row r="16" spans="1:20">
      <c r="A16" t="str">
        <f>'GDP Durban'!A16</f>
        <v>2004q2</v>
      </c>
      <c r="B16" s="7">
        <v>43839.245304415505</v>
      </c>
      <c r="C16" s="7">
        <v>264778.94630000001</v>
      </c>
      <c r="D16" s="234">
        <f>'GDP Durban'!D16</f>
        <v>371714000000</v>
      </c>
      <c r="E16" s="234">
        <f>'GDP Durban'!E16</f>
        <v>60603210461.404221</v>
      </c>
      <c r="F16" s="235">
        <v>4543677182.2600002</v>
      </c>
      <c r="G16" s="235">
        <v>765181765.9000001</v>
      </c>
      <c r="H16" s="92">
        <f t="shared" si="0"/>
        <v>16.303720188479375</v>
      </c>
      <c r="I16" s="92">
        <f t="shared" si="1"/>
        <v>16.8405838532614</v>
      </c>
      <c r="J16" s="92">
        <f t="shared" si="2"/>
        <v>81.809068974198439</v>
      </c>
      <c r="K16" s="92">
        <f t="shared" si="2"/>
        <v>79.201064586429681</v>
      </c>
      <c r="L16">
        <f t="shared" si="7"/>
        <v>7.7303872407602364E-2</v>
      </c>
      <c r="M16" s="234">
        <f t="shared" si="3"/>
        <v>4867218048.0193396</v>
      </c>
      <c r="N16" s="92">
        <f t="shared" si="4"/>
        <v>6.2498039744359826</v>
      </c>
      <c r="O16" s="92">
        <f t="shared" si="5"/>
        <v>3.2269541248739042</v>
      </c>
      <c r="R16" s="7">
        <f t="shared" si="6"/>
        <v>2005</v>
      </c>
      <c r="S16" s="284">
        <f>SUM(M19:M22)</f>
        <v>20474914165.547661</v>
      </c>
      <c r="T16" s="92">
        <f t="shared" si="8"/>
        <v>5.7598463821287167</v>
      </c>
    </row>
    <row r="17" spans="1:20">
      <c r="A17" t="str">
        <f>'GDP Durban'!A17</f>
        <v>2004q3</v>
      </c>
      <c r="B17" s="7">
        <v>44543.65678666599</v>
      </c>
      <c r="C17" s="7">
        <v>270547.82851100003</v>
      </c>
      <c r="D17" s="234">
        <f>'GDP Durban'!D17</f>
        <v>379044000000</v>
      </c>
      <c r="E17" s="234">
        <f>'GDP Durban'!E17</f>
        <v>61506209899.158623</v>
      </c>
      <c r="F17" s="235">
        <v>4775490888.2999992</v>
      </c>
      <c r="G17" s="235">
        <v>793665970.39999986</v>
      </c>
      <c r="H17" s="92">
        <f t="shared" si="0"/>
        <v>16.226667589820345</v>
      </c>
      <c r="I17" s="92">
        <f t="shared" si="1"/>
        <v>16.619568311699421</v>
      </c>
      <c r="J17" s="92">
        <f t="shared" si="2"/>
        <v>79.372782582134462</v>
      </c>
      <c r="K17" s="92">
        <f t="shared" si="2"/>
        <v>77.496342533320529</v>
      </c>
      <c r="L17">
        <f t="shared" si="7"/>
        <v>8.1540819678682028E-2</v>
      </c>
      <c r="M17" s="234">
        <f t="shared" si="3"/>
        <v>4939740528.7151213</v>
      </c>
      <c r="N17" s="92">
        <f t="shared" si="4"/>
        <v>1.4900191440014472</v>
      </c>
      <c r="O17" s="92">
        <f t="shared" si="5"/>
        <v>5.2008073127597649</v>
      </c>
      <c r="R17" s="7">
        <f t="shared" si="6"/>
        <v>2006</v>
      </c>
      <c r="S17" s="284">
        <f>SUM(M23:M26)</f>
        <v>21607805860.847939</v>
      </c>
      <c r="T17" s="92">
        <f t="shared" si="8"/>
        <v>5.5330717684108794</v>
      </c>
    </row>
    <row r="18" spans="1:20">
      <c r="A18" t="str">
        <f>'GDP Durban'!A18</f>
        <v>2004q4</v>
      </c>
      <c r="B18" s="7">
        <v>44924.845565797143</v>
      </c>
      <c r="C18" s="7">
        <v>275256.89010000002</v>
      </c>
      <c r="D18" s="234">
        <f>'GDP Durban'!D18</f>
        <v>384685190000</v>
      </c>
      <c r="E18" s="234">
        <f>'GDP Durban'!E18</f>
        <v>61907138228.654938</v>
      </c>
      <c r="F18" s="235">
        <v>4830257034.4000006</v>
      </c>
      <c r="G18" s="235">
        <v>826240651</v>
      </c>
      <c r="H18" s="92">
        <f t="shared" si="0"/>
        <v>16.092935168274852</v>
      </c>
      <c r="I18" s="92">
        <f t="shared" si="1"/>
        <v>17.105521406328908</v>
      </c>
      <c r="J18" s="92">
        <f t="shared" si="2"/>
        <v>79.640728694220385</v>
      </c>
      <c r="K18" s="92">
        <f t="shared" si="2"/>
        <v>74.926279835939638</v>
      </c>
      <c r="L18">
        <f t="shared" si="7"/>
        <v>8.0220365454144252E-2</v>
      </c>
      <c r="M18" s="234">
        <f t="shared" si="3"/>
        <v>4971940235.4044142</v>
      </c>
      <c r="N18" s="92">
        <f t="shared" si="4"/>
        <v>0.65185016302199161</v>
      </c>
      <c r="O18" s="92">
        <f t="shared" si="5"/>
        <v>6.1388701437538069</v>
      </c>
      <c r="R18" s="7">
        <f t="shared" si="6"/>
        <v>2007</v>
      </c>
      <c r="S18" s="284">
        <f>SUM(M27:M30)</f>
        <v>22877043893.75872</v>
      </c>
      <c r="T18" s="92">
        <f t="shared" si="8"/>
        <v>5.8739792512231226</v>
      </c>
    </row>
    <row r="19" spans="1:20">
      <c r="A19" t="str">
        <f>'GDP Durban'!A19</f>
        <v>2005q1</v>
      </c>
      <c r="B19" s="7">
        <v>43267.60531097796</v>
      </c>
      <c r="C19" s="7">
        <v>265766.29472999997</v>
      </c>
      <c r="D19" s="234">
        <f>'GDP Durban'!D19</f>
        <v>376326800000.00006</v>
      </c>
      <c r="E19" s="234">
        <f>'GDP Durban'!E19</f>
        <v>60432298014.112061</v>
      </c>
      <c r="F19" s="235">
        <v>4690209425</v>
      </c>
      <c r="G19" s="235">
        <v>774740717</v>
      </c>
      <c r="H19" s="92">
        <f t="shared" si="0"/>
        <v>16.058462489015412</v>
      </c>
      <c r="I19" s="92">
        <f t="shared" si="1"/>
        <v>16.51825423552382</v>
      </c>
      <c r="J19" s="92">
        <f t="shared" si="2"/>
        <v>80.23667301380685</v>
      </c>
      <c r="K19" s="92">
        <f t="shared" si="2"/>
        <v>78.003255396362576</v>
      </c>
      <c r="L19">
        <f t="shared" si="7"/>
        <v>8.3003445408079787E-2</v>
      </c>
      <c r="M19" s="234">
        <f t="shared" si="3"/>
        <v>4853491578.0558167</v>
      </c>
      <c r="N19" s="92">
        <f t="shared" si="4"/>
        <v>-2.3823427422788197</v>
      </c>
      <c r="O19" s="92">
        <f t="shared" si="5"/>
        <v>5.9501595515856875</v>
      </c>
      <c r="R19" s="7">
        <f t="shared" si="6"/>
        <v>2008</v>
      </c>
      <c r="S19" s="284">
        <f>SUM(M31:M34)</f>
        <v>23440104096.878128</v>
      </c>
      <c r="T19" s="92">
        <f t="shared" si="8"/>
        <v>2.4612454552007081</v>
      </c>
    </row>
    <row r="20" spans="1:20">
      <c r="A20" t="str">
        <f>'GDP Durban'!A20</f>
        <v>2005q2</v>
      </c>
      <c r="B20" s="7">
        <v>45920.174696248054</v>
      </c>
      <c r="C20" s="7">
        <v>277268.90181000001</v>
      </c>
      <c r="D20" s="234">
        <f>'GDP Durban'!D20</f>
        <v>391001650000</v>
      </c>
      <c r="E20" s="234">
        <f>'GDP Durban'!E20</f>
        <v>63723503402.272804</v>
      </c>
      <c r="F20" s="235">
        <v>4760343407</v>
      </c>
      <c r="G20" s="235">
        <v>805551748</v>
      </c>
      <c r="H20" s="92">
        <f t="shared" si="0"/>
        <v>16.297502428000701</v>
      </c>
      <c r="I20" s="92">
        <f t="shared" si="1"/>
        <v>16.922135214351357</v>
      </c>
      <c r="J20" s="92">
        <f t="shared" si="2"/>
        <v>82.137278042806543</v>
      </c>
      <c r="K20" s="92">
        <f t="shared" si="2"/>
        <v>79.105412607549582</v>
      </c>
      <c r="L20">
        <f t="shared" si="7"/>
        <v>8.2435750865621479E-2</v>
      </c>
      <c r="M20" s="234">
        <f t="shared" si="3"/>
        <v>5117817743.9970798</v>
      </c>
      <c r="N20" s="92">
        <f t="shared" si="4"/>
        <v>5.4461033194405051</v>
      </c>
      <c r="O20" s="92">
        <f t="shared" si="5"/>
        <v>5.1487254835381595</v>
      </c>
      <c r="R20" s="7">
        <f t="shared" si="6"/>
        <v>2009</v>
      </c>
      <c r="S20" s="284">
        <f>SUM(M35:M38)</f>
        <v>24616669705.845966</v>
      </c>
      <c r="T20" s="92">
        <f t="shared" si="8"/>
        <v>5.0194555625908643</v>
      </c>
    </row>
    <row r="21" spans="1:20">
      <c r="A21" t="str">
        <f>'GDP Durban'!A21</f>
        <v>2005q3</v>
      </c>
      <c r="B21" s="7">
        <v>47037.654231843975</v>
      </c>
      <c r="C21" s="7">
        <v>283831.22172999999</v>
      </c>
      <c r="D21" s="234">
        <f>'GDP Durban'!D21</f>
        <v>399721750000</v>
      </c>
      <c r="E21" s="234">
        <f>'GDP Durban'!E21</f>
        <v>65295808538.534554</v>
      </c>
      <c r="F21" s="235">
        <v>4824982237</v>
      </c>
      <c r="G21" s="235">
        <v>802738840</v>
      </c>
      <c r="H21" s="92">
        <f t="shared" si="0"/>
        <v>16.335315388400694</v>
      </c>
      <c r="I21" s="92">
        <f t="shared" si="1"/>
        <v>16.637135652941058</v>
      </c>
      <c r="J21" s="92">
        <f t="shared" si="2"/>
        <v>82.844190997174024</v>
      </c>
      <c r="K21" s="92">
        <f t="shared" si="2"/>
        <v>81.341284717872327</v>
      </c>
      <c r="M21" s="234">
        <f t="shared" si="3"/>
        <v>5244094089.3910332</v>
      </c>
      <c r="N21" s="92">
        <f t="shared" si="4"/>
        <v>2.4673865250881311</v>
      </c>
      <c r="O21" s="92">
        <f t="shared" si="5"/>
        <v>6.1613268734800828</v>
      </c>
      <c r="R21" s="7">
        <f t="shared" si="6"/>
        <v>2010</v>
      </c>
      <c r="S21" s="284">
        <f>SUM(M39:M42)</f>
        <v>24594664417.183254</v>
      </c>
      <c r="T21" s="92">
        <f t="shared" si="8"/>
        <v>-8.9391818331487308E-2</v>
      </c>
    </row>
    <row r="22" spans="1:20">
      <c r="A22" t="str">
        <f>'GDP Durban'!A22</f>
        <v>2005q4</v>
      </c>
      <c r="B22" s="7">
        <v>47137.581046113184</v>
      </c>
      <c r="C22" s="7">
        <v>287892.13373</v>
      </c>
      <c r="D22" s="234">
        <f>'GDP Durban'!D22</f>
        <v>404031700000</v>
      </c>
      <c r="E22" s="234">
        <f>'GDP Durban'!E22</f>
        <v>65487766114.089813</v>
      </c>
      <c r="F22" s="235">
        <v>5011501336</v>
      </c>
      <c r="G22" s="235">
        <v>832010091</v>
      </c>
      <c r="H22" s="92">
        <f t="shared" si="0"/>
        <v>16.208571286384167</v>
      </c>
      <c r="I22" s="92">
        <f t="shared" si="1"/>
        <v>16.602012754606594</v>
      </c>
      <c r="J22" s="92">
        <f t="shared" si="2"/>
        <v>80.620890410154729</v>
      </c>
      <c r="K22" s="92">
        <f t="shared" si="2"/>
        <v>78.710302702434191</v>
      </c>
      <c r="M22" s="234">
        <f t="shared" si="3"/>
        <v>5259510754.1037321</v>
      </c>
      <c r="N22" s="92">
        <f t="shared" si="4"/>
        <v>0.29398146657756075</v>
      </c>
      <c r="O22" s="92">
        <f t="shared" si="5"/>
        <v>5.7838691754895386</v>
      </c>
      <c r="R22" s="7">
        <f t="shared" si="6"/>
        <v>2011</v>
      </c>
      <c r="S22" s="284">
        <f>SUM(M43:M46)</f>
        <v>25572069354.609894</v>
      </c>
      <c r="T22" s="92">
        <f>(S22-S21)/S21*100</f>
        <v>3.9740527491961544</v>
      </c>
    </row>
    <row r="23" spans="1:20">
      <c r="A23" t="str">
        <f>'GDP Durban'!A23</f>
        <v>2006q1</v>
      </c>
      <c r="B23" s="7">
        <v>45515.077116805645</v>
      </c>
      <c r="C23" s="7">
        <v>278720.45539999998</v>
      </c>
      <c r="D23" s="234">
        <f>'GDP Durban'!D23</f>
        <v>395450149999.99994</v>
      </c>
      <c r="E23" s="234">
        <f>'GDP Durban'!E23</f>
        <v>63682061981.141251</v>
      </c>
      <c r="F23" s="235">
        <v>4675546289</v>
      </c>
      <c r="G23" s="235">
        <v>750919883</v>
      </c>
      <c r="H23" s="92">
        <f t="shared" si="0"/>
        <v>16.10368891784243</v>
      </c>
      <c r="I23" s="92">
        <f t="shared" si="1"/>
        <v>16.060580659134182</v>
      </c>
      <c r="J23" s="92">
        <f t="shared" si="2"/>
        <v>84.578384119597359</v>
      </c>
      <c r="K23" s="92">
        <f t="shared" si="2"/>
        <v>84.805401245636276</v>
      </c>
      <c r="L23">
        <f>AVERAGE(L14:L20)</f>
        <v>8.0312874696944939E-2</v>
      </c>
      <c r="M23" s="234">
        <f t="shared" si="3"/>
        <v>5114489464.3344784</v>
      </c>
      <c r="N23" s="92">
        <f t="shared" si="4"/>
        <v>-2.7573152057175832</v>
      </c>
      <c r="O23" s="92">
        <f t="shared" si="5"/>
        <v>5.3775283645018854</v>
      </c>
      <c r="R23" s="7">
        <f t="shared" si="6"/>
        <v>2012</v>
      </c>
      <c r="S23" s="284">
        <f>SUM(M47:M50)</f>
        <v>26553903551.100418</v>
      </c>
      <c r="T23" s="92">
        <f>(S23-S22)/S22*100</f>
        <v>3.83947885826271</v>
      </c>
    </row>
    <row r="24" spans="1:20">
      <c r="A24" t="str">
        <f>'GDP Durban'!A24</f>
        <v>2006q2</v>
      </c>
      <c r="B24" s="7">
        <v>48049.392570885168</v>
      </c>
      <c r="C24" s="7">
        <v>290944.85600000003</v>
      </c>
      <c r="D24" s="234">
        <f>'GDP Durban'!D24</f>
        <v>410299050000</v>
      </c>
      <c r="E24" s="234">
        <f>'GDP Durban'!E24</f>
        <v>66827792246.677605</v>
      </c>
      <c r="F24" s="235">
        <v>4859349229</v>
      </c>
      <c r="G24" s="235">
        <v>811777848</v>
      </c>
      <c r="H24" s="92">
        <f t="shared" si="0"/>
        <v>16.287581520522068</v>
      </c>
      <c r="I24" s="92">
        <f t="shared" si="1"/>
        <v>16.705484824087335</v>
      </c>
      <c r="J24" s="92">
        <f t="shared" si="2"/>
        <v>84.434978978540087</v>
      </c>
      <c r="K24" s="92">
        <f t="shared" si="2"/>
        <v>82.32275912840332</v>
      </c>
      <c r="M24" s="234">
        <f t="shared" si="3"/>
        <v>5367132104.9808874</v>
      </c>
      <c r="N24" s="92">
        <f t="shared" si="4"/>
        <v>4.9397431045306517</v>
      </c>
      <c r="O24" s="92">
        <f t="shared" si="5"/>
        <v>4.8714974517457108</v>
      </c>
      <c r="R24" s="7">
        <f t="shared" si="6"/>
        <v>2013</v>
      </c>
      <c r="S24" s="284">
        <f>SUM(M51:M54)</f>
        <v>26799463753.680428</v>
      </c>
      <c r="T24" s="92">
        <f>(S24-S23)/S23*100</f>
        <v>0.92476122053939303</v>
      </c>
    </row>
    <row r="25" spans="1:20">
      <c r="A25" t="str">
        <f>'GDP Durban'!A25</f>
        <v>2006q3</v>
      </c>
      <c r="B25" s="7">
        <v>49171.989963167063</v>
      </c>
      <c r="C25" s="7">
        <v>297456.96679999999</v>
      </c>
      <c r="D25" s="234">
        <f>'GDP Durban'!D25</f>
        <v>420695750000</v>
      </c>
      <c r="E25" s="234">
        <f>'GDP Durban'!E25</f>
        <v>68605409906.937042</v>
      </c>
      <c r="F25" s="235">
        <v>4906222423</v>
      </c>
      <c r="G25" s="235">
        <v>827883368</v>
      </c>
      <c r="H25" s="92">
        <f t="shared" si="0"/>
        <v>16.307607078734939</v>
      </c>
      <c r="I25" s="92">
        <f t="shared" si="1"/>
        <v>16.874150754334849</v>
      </c>
      <c r="J25" s="92">
        <f t="shared" si="2"/>
        <v>85.747386426634492</v>
      </c>
      <c r="K25" s="92">
        <f t="shared" si="2"/>
        <v>82.868448091515518</v>
      </c>
      <c r="M25" s="234">
        <f t="shared" si="3"/>
        <v>5509897689.3883801</v>
      </c>
      <c r="N25" s="92">
        <f t="shared" si="4"/>
        <v>2.6599975855820865</v>
      </c>
      <c r="O25" s="92">
        <f t="shared" si="5"/>
        <v>5.0686275926108175</v>
      </c>
      <c r="S25" s="284"/>
    </row>
    <row r="26" spans="1:20">
      <c r="A26" t="str">
        <f>'GDP Durban'!A26</f>
        <v>2006q4</v>
      </c>
      <c r="B26" s="7">
        <v>50201.911274013575</v>
      </c>
      <c r="C26" s="7">
        <v>306956.06460000004</v>
      </c>
      <c r="D26" s="234">
        <f>'GDP Durban'!D26</f>
        <v>432676710000</v>
      </c>
      <c r="E26" s="234">
        <f>'GDP Durban'!E26</f>
        <v>69930090578.09053</v>
      </c>
      <c r="F26" s="235">
        <v>5280826192</v>
      </c>
      <c r="G26" s="235">
        <v>873224453</v>
      </c>
      <c r="H26" s="92">
        <f t="shared" si="0"/>
        <v>16.162203548716668</v>
      </c>
      <c r="I26" s="92">
        <f t="shared" si="1"/>
        <v>16.535754468171294</v>
      </c>
      <c r="J26" s="92">
        <f t="shared" si="2"/>
        <v>81.933525980360457</v>
      </c>
      <c r="K26" s="92">
        <f t="shared" si="2"/>
        <v>80.082606869107607</v>
      </c>
      <c r="M26" s="234">
        <f t="shared" si="3"/>
        <v>5616286602.1441946</v>
      </c>
      <c r="N26" s="92">
        <f t="shared" si="4"/>
        <v>1.9308691150601769</v>
      </c>
      <c r="O26" s="92">
        <f t="shared" si="5"/>
        <v>6.7834417443122099</v>
      </c>
      <c r="Q26" s="289">
        <f>M26/E26</f>
        <v>8.0312874696944939E-2</v>
      </c>
    </row>
    <row r="27" spans="1:20">
      <c r="A27" t="str">
        <f>'GDP Durban'!A27</f>
        <v>2007q1</v>
      </c>
      <c r="B27" s="7">
        <v>48194.136510043994</v>
      </c>
      <c r="C27" s="7">
        <v>294828.76199999999</v>
      </c>
      <c r="D27" s="234">
        <f>'GDP Durban'!D27</f>
        <v>421784960000</v>
      </c>
      <c r="E27" s="234">
        <f>'GDP Durban'!E27</f>
        <v>68125905131.082443</v>
      </c>
      <c r="F27" s="235">
        <v>5154329343</v>
      </c>
      <c r="G27" s="235">
        <v>833477953</v>
      </c>
      <c r="H27" s="92">
        <f t="shared" si="0"/>
        <v>16.151809948624638</v>
      </c>
      <c r="I27" s="92">
        <f t="shared" si="1"/>
        <v>16.170444252498747</v>
      </c>
      <c r="J27" s="92">
        <f t="shared" si="2"/>
        <v>81.831200905471519</v>
      </c>
      <c r="K27" s="92">
        <f t="shared" si="2"/>
        <v>81.736901241204691</v>
      </c>
      <c r="M27" s="234">
        <f t="shared" si="3"/>
        <v>5471387282.4085827</v>
      </c>
      <c r="N27" s="92">
        <f t="shared" si="4"/>
        <v>-2.5799844274380876</v>
      </c>
      <c r="O27" s="92">
        <f t="shared" si="5"/>
        <v>6.9781709506472804</v>
      </c>
      <c r="Q27" s="289">
        <f t="shared" ref="Q27:Q38" si="9">M27/E27</f>
        <v>8.0312874696944939E-2</v>
      </c>
    </row>
    <row r="28" spans="1:20">
      <c r="A28" t="str">
        <f>'GDP Durban'!A28</f>
        <v>2007q2</v>
      </c>
      <c r="B28" s="7">
        <v>50488.786354107127</v>
      </c>
      <c r="C28" s="7">
        <v>305341.24400000001</v>
      </c>
      <c r="D28" s="234">
        <f>'GDP Durban'!D28</f>
        <v>433014500000</v>
      </c>
      <c r="E28" s="234">
        <f>'GDP Durban'!E28</f>
        <v>70787164818.62709</v>
      </c>
      <c r="F28" s="235">
        <v>5056692012</v>
      </c>
      <c r="G28" s="235">
        <v>821281896</v>
      </c>
      <c r="H28" s="92">
        <f t="shared" si="0"/>
        <v>16.347527581322819</v>
      </c>
      <c r="I28" s="92">
        <f t="shared" si="1"/>
        <v>16.241485422703654</v>
      </c>
      <c r="J28" s="92">
        <f t="shared" si="2"/>
        <v>85.631970262854921</v>
      </c>
      <c r="K28" s="92">
        <f t="shared" si="2"/>
        <v>86.191069306886433</v>
      </c>
      <c r="M28" s="234">
        <f t="shared" si="3"/>
        <v>5685120698.2303867</v>
      </c>
      <c r="N28" s="92">
        <f t="shared" si="4"/>
        <v>3.9063843370947695</v>
      </c>
      <c r="O28" s="92">
        <f t="shared" si="5"/>
        <v>5.9247394517156513</v>
      </c>
      <c r="Q28" s="289">
        <f>M28/E28</f>
        <v>8.0312874696944939E-2</v>
      </c>
    </row>
    <row r="29" spans="1:20">
      <c r="A29" t="str">
        <f>'GDP Durban'!A29</f>
        <v>2007q3</v>
      </c>
      <c r="B29" s="7">
        <v>51623.876873712463</v>
      </c>
      <c r="C29" s="7">
        <v>312536.95279999997</v>
      </c>
      <c r="D29" s="234">
        <f>'GDP Durban'!D29</f>
        <v>442196500000</v>
      </c>
      <c r="E29" s="234">
        <f>'GDP Durban'!E29</f>
        <v>72253952576.31102</v>
      </c>
      <c r="F29" s="235">
        <v>5400223668</v>
      </c>
      <c r="G29" s="235">
        <v>898105429</v>
      </c>
      <c r="H29" s="92">
        <f t="shared" si="0"/>
        <v>16.339783914235191</v>
      </c>
      <c r="I29" s="92">
        <f t="shared" si="1"/>
        <v>16.630893166923542</v>
      </c>
      <c r="J29" s="92">
        <f t="shared" si="2"/>
        <v>81.884849070292248</v>
      </c>
      <c r="K29" s="92">
        <f t="shared" si="2"/>
        <v>80.451526338909389</v>
      </c>
      <c r="M29" s="234">
        <f t="shared" si="3"/>
        <v>5802922639.6202688</v>
      </c>
      <c r="N29" s="92">
        <f t="shared" si="4"/>
        <v>2.0721097693941735</v>
      </c>
      <c r="O29" s="92">
        <f t="shared" si="5"/>
        <v>5.3181559214108685</v>
      </c>
      <c r="Q29" s="289">
        <f t="shared" si="9"/>
        <v>8.0312874696944939E-2</v>
      </c>
    </row>
    <row r="30" spans="1:20">
      <c r="A30" t="str">
        <f>'GDP Durban'!A30</f>
        <v>2007q4</v>
      </c>
      <c r="B30" s="7">
        <v>52621.553323250911</v>
      </c>
      <c r="C30" s="7">
        <v>321222.86990000005</v>
      </c>
      <c r="D30" s="234">
        <f>'GDP Durban'!D30</f>
        <v>454168720000</v>
      </c>
      <c r="E30" s="234">
        <f>'GDP Durban'!E30</f>
        <v>73682000499.038116</v>
      </c>
      <c r="F30" s="235">
        <v>5579296845</v>
      </c>
      <c r="G30" s="235">
        <v>902642355</v>
      </c>
      <c r="H30" s="92">
        <f t="shared" si="0"/>
        <v>16.223486394888251</v>
      </c>
      <c r="I30" s="92">
        <f t="shared" si="1"/>
        <v>16.178424989323183</v>
      </c>
      <c r="J30" s="92">
        <f t="shared" si="2"/>
        <v>81.402501536911856</v>
      </c>
      <c r="K30" s="92">
        <f t="shared" si="2"/>
        <v>81.629230105248183</v>
      </c>
      <c r="M30" s="234">
        <f t="shared" si="3"/>
        <v>5917613273.4994831</v>
      </c>
      <c r="N30" s="92">
        <f t="shared" si="4"/>
        <v>1.9764287929008029</v>
      </c>
      <c r="O30" s="92">
        <f t="shared" si="5"/>
        <v>5.3652296027814455</v>
      </c>
      <c r="Q30" s="289">
        <f t="shared" si="9"/>
        <v>8.0312874696944939E-2</v>
      </c>
    </row>
    <row r="31" spans="1:20">
      <c r="A31" t="str">
        <f>'GDP Durban'!A31</f>
        <v>2008q1</v>
      </c>
      <c r="B31" s="7">
        <v>50304.132188642834</v>
      </c>
      <c r="C31" s="7">
        <v>306287.391</v>
      </c>
      <c r="D31" s="234">
        <f>'GDP Durban'!D31</f>
        <v>437677308000</v>
      </c>
      <c r="E31" s="234">
        <f>'GDP Durban'!E31</f>
        <v>71161408615.893906</v>
      </c>
      <c r="F31" s="235">
        <v>5543646776</v>
      </c>
      <c r="G31" s="235">
        <v>903654581</v>
      </c>
      <c r="H31" s="92">
        <f t="shared" si="0"/>
        <v>16.258875503752162</v>
      </c>
      <c r="I31" s="92">
        <f t="shared" si="1"/>
        <v>16.300724369961191</v>
      </c>
      <c r="J31" s="92">
        <f t="shared" si="2"/>
        <v>78.951153579053354</v>
      </c>
      <c r="K31" s="92">
        <f t="shared" si="2"/>
        <v>78.748462202388708</v>
      </c>
      <c r="L31" s="235">
        <v>74058358</v>
      </c>
      <c r="M31" s="234">
        <f t="shared" ref="M31:M38" si="10">L31*K31</f>
        <v>5831981805.7339716</v>
      </c>
      <c r="N31" s="92">
        <f t="shared" si="4"/>
        <v>-1.4470608978283548</v>
      </c>
      <c r="O31" s="92">
        <f t="shared" si="5"/>
        <v>6.5905501605554431</v>
      </c>
      <c r="Q31" s="289">
        <f t="shared" si="9"/>
        <v>8.1954277173082804E-2</v>
      </c>
    </row>
    <row r="32" spans="1:20">
      <c r="A32" t="str">
        <f>'GDP Durban'!A32</f>
        <v>2008q2</v>
      </c>
      <c r="B32" s="7">
        <v>52106.987321482666</v>
      </c>
      <c r="C32" s="7">
        <v>319011.06899999996</v>
      </c>
      <c r="D32" s="234">
        <f>'GDP Durban'!D32</f>
        <v>454885920000</v>
      </c>
      <c r="E32" s="234">
        <f>'GDP Durban'!E32</f>
        <v>74756110982.452698</v>
      </c>
      <c r="F32" s="235">
        <v>5265926862</v>
      </c>
      <c r="G32" s="235">
        <v>890416751</v>
      </c>
      <c r="H32" s="92">
        <f t="shared" si="0"/>
        <v>16.434034929560514</v>
      </c>
      <c r="I32" s="92">
        <f t="shared" si="1"/>
        <v>16.909022368415872</v>
      </c>
      <c r="J32" s="92">
        <f t="shared" si="2"/>
        <v>86.382878441124845</v>
      </c>
      <c r="K32" s="92">
        <f t="shared" si="2"/>
        <v>83.956316970111331</v>
      </c>
      <c r="L32" s="235">
        <v>67432678</v>
      </c>
      <c r="M32" s="234">
        <f t="shared" si="10"/>
        <v>5661399288.3114529</v>
      </c>
      <c r="N32" s="92">
        <f t="shared" si="4"/>
        <v>-2.9249494100753703</v>
      </c>
      <c r="O32" s="92">
        <f t="shared" si="5"/>
        <v>-0.41725428848533774</v>
      </c>
      <c r="Q32" s="289">
        <f t="shared" si="9"/>
        <v>7.573159189140187E-2</v>
      </c>
    </row>
    <row r="33" spans="1:17">
      <c r="A33" t="str">
        <f>'GDP Durban'!A33</f>
        <v>2008q3</v>
      </c>
      <c r="B33" s="7">
        <v>53105.277179895078</v>
      </c>
      <c r="C33" s="7">
        <v>322043.50599999999</v>
      </c>
      <c r="D33" s="234">
        <f>'GDP Durban'!D33</f>
        <v>459649572000</v>
      </c>
      <c r="E33" s="234">
        <f>'GDP Durban'!E33</f>
        <v>75462980206.622635</v>
      </c>
      <c r="F33" s="235">
        <v>5202135900</v>
      </c>
      <c r="G33" s="235">
        <v>869415812</v>
      </c>
      <c r="H33" s="92">
        <f t="shared" si="0"/>
        <v>16.417502550534874</v>
      </c>
      <c r="I33" s="92">
        <f t="shared" si="1"/>
        <v>16.712670116903329</v>
      </c>
      <c r="J33" s="92">
        <f t="shared" si="2"/>
        <v>88.357855472403173</v>
      </c>
      <c r="K33" s="92">
        <f t="shared" si="2"/>
        <v>86.797340426818266</v>
      </c>
      <c r="L33" s="235">
        <v>67209209</v>
      </c>
      <c r="M33" s="234">
        <f t="shared" si="10"/>
        <v>5833580593.3901777</v>
      </c>
      <c r="N33" s="92">
        <f t="shared" si="4"/>
        <v>3.0413206401853876</v>
      </c>
      <c r="O33" s="92">
        <f t="shared" si="5"/>
        <v>0.52831918799998168</v>
      </c>
      <c r="Q33" s="289">
        <f t="shared" si="9"/>
        <v>7.730387240760235E-2</v>
      </c>
    </row>
    <row r="34" spans="1:17">
      <c r="A34" t="str">
        <f>'GDP Durban'!A34</f>
        <v>2008q4</v>
      </c>
      <c r="B34" s="7">
        <v>54606.740576335782</v>
      </c>
      <c r="C34" s="7">
        <v>324375.42606250005</v>
      </c>
      <c r="D34" s="234">
        <f>'GDP Durban'!D34</f>
        <v>462381807000</v>
      </c>
      <c r="E34" s="234">
        <f>'GDP Durban'!E34</f>
        <v>74970333061.794556</v>
      </c>
      <c r="F34" s="235">
        <v>5460259824</v>
      </c>
      <c r="G34" s="235">
        <v>899391940</v>
      </c>
      <c r="H34" s="92">
        <f t="shared" si="0"/>
        <v>16.213945256240272</v>
      </c>
      <c r="I34" s="92">
        <f t="shared" si="1"/>
        <v>16.47159602271703</v>
      </c>
      <c r="J34" s="92">
        <f t="shared" si="2"/>
        <v>84.681282924971669</v>
      </c>
      <c r="K34" s="92">
        <f t="shared" si="2"/>
        <v>83.356687699241064</v>
      </c>
      <c r="L34" s="235">
        <v>73337156</v>
      </c>
      <c r="M34" s="234">
        <f t="shared" si="10"/>
        <v>6113142409.442523</v>
      </c>
      <c r="N34" s="92">
        <f t="shared" si="4"/>
        <v>4.7922851424921911</v>
      </c>
      <c r="O34" s="92">
        <f t="shared" si="5"/>
        <v>3.3041891537364751</v>
      </c>
      <c r="Q34" s="289">
        <f t="shared" si="9"/>
        <v>8.1540819678682028E-2</v>
      </c>
    </row>
    <row r="35" spans="1:17">
      <c r="A35" t="str">
        <f>'GDP Durban'!A35</f>
        <v>2009q1</v>
      </c>
      <c r="B35" s="7">
        <v>49513.612728056825</v>
      </c>
      <c r="C35" s="7">
        <v>302489.23233921739</v>
      </c>
      <c r="D35" s="234">
        <f>'GDP Durban'!D35</f>
        <v>433798089999.99994</v>
      </c>
      <c r="E35" s="234">
        <f>'GDP Durban'!E35</f>
        <v>70528747919.669891</v>
      </c>
      <c r="F35" s="235">
        <v>5206564996</v>
      </c>
      <c r="G35" s="235">
        <v>842784368</v>
      </c>
      <c r="H35" s="92">
        <f t="shared" si="0"/>
        <v>16.258427490925538</v>
      </c>
      <c r="I35" s="92">
        <f t="shared" si="1"/>
        <v>16.186955673221753</v>
      </c>
      <c r="J35" s="92">
        <f t="shared" si="2"/>
        <v>83.31752130882262</v>
      </c>
      <c r="K35" s="92">
        <f t="shared" si="2"/>
        <v>83.685401150760185</v>
      </c>
      <c r="L35" s="235">
        <v>67608470</v>
      </c>
      <c r="M35" s="234">
        <f t="shared" si="10"/>
        <v>5657841933.1391354</v>
      </c>
      <c r="N35" s="92">
        <f t="shared" si="4"/>
        <v>-7.4478957925161096</v>
      </c>
      <c r="O35" s="92">
        <f t="shared" si="5"/>
        <v>-2.9859467741072665</v>
      </c>
      <c r="Q35" s="289">
        <f t="shared" si="9"/>
        <v>8.0220365454144266E-2</v>
      </c>
    </row>
    <row r="36" spans="1:17">
      <c r="A36" t="str">
        <f>'GDP Durban'!A36</f>
        <v>2009q2</v>
      </c>
      <c r="B36" s="7">
        <v>51361.105636596607</v>
      </c>
      <c r="C36" s="7">
        <v>310058.42735320871</v>
      </c>
      <c r="D36" s="234">
        <f>'GDP Durban'!D36</f>
        <v>442774057999.99988</v>
      </c>
      <c r="E36" s="234">
        <f>'GDP Durban'!E36</f>
        <v>72534525097.567886</v>
      </c>
      <c r="F36" s="235">
        <v>4994646966</v>
      </c>
      <c r="G36" s="235">
        <v>831381344</v>
      </c>
      <c r="H36" s="92">
        <f t="shared" si="0"/>
        <v>16.381837144028864</v>
      </c>
      <c r="I36" s="92">
        <f t="shared" si="1"/>
        <v>16.645447609399667</v>
      </c>
      <c r="J36" s="92">
        <f t="shared" si="2"/>
        <v>88.649720593685672</v>
      </c>
      <c r="K36" s="92">
        <f t="shared" si="2"/>
        <v>87.245793547140124</v>
      </c>
      <c r="L36" s="235">
        <v>69007516</v>
      </c>
      <c r="M36" s="234">
        <f t="shared" si="10"/>
        <v>6020615494.1369686</v>
      </c>
      <c r="N36" s="92">
        <f t="shared" si="4"/>
        <v>6.4118716161544649</v>
      </c>
      <c r="O36" s="92">
        <f t="shared" si="5"/>
        <v>6.3450074360088839</v>
      </c>
      <c r="Q36" s="289">
        <f t="shared" si="9"/>
        <v>8.3003445408079773E-2</v>
      </c>
    </row>
    <row r="37" spans="1:17">
      <c r="A37" t="str">
        <f>'GDP Durban'!A37</f>
        <v>2009q3</v>
      </c>
      <c r="D37" s="234">
        <f>'GDP Durban'!D37</f>
        <v>450502489000.00006</v>
      </c>
      <c r="E37" s="234">
        <f>'GDP Durban'!E37</f>
        <v>73855969771.98941</v>
      </c>
      <c r="F37" s="235">
        <v>5002707417</v>
      </c>
      <c r="G37" s="235">
        <v>835393434</v>
      </c>
      <c r="H37" s="92">
        <f t="shared" si="0"/>
        <v>16.39413134784909</v>
      </c>
      <c r="I37" s="92">
        <f t="shared" si="1"/>
        <v>16.698826542627685</v>
      </c>
      <c r="J37" s="92">
        <f>D37/F37</f>
        <v>90.051736279663402</v>
      </c>
      <c r="K37" s="92">
        <f>E37/G37</f>
        <v>88.408606970197241</v>
      </c>
      <c r="L37" s="235">
        <v>68866285</v>
      </c>
      <c r="M37" s="234">
        <f t="shared" si="10"/>
        <v>6088372324.0625896</v>
      </c>
      <c r="N37" s="92">
        <f t="shared" ref="N37:N42" si="11">(M37-M36)/M36*100</f>
        <v>1.1254136722666377</v>
      </c>
      <c r="O37" s="92">
        <f t="shared" ref="O37:O42" si="12">(M37-M33)/M33*100</f>
        <v>4.3676731056241405</v>
      </c>
      <c r="Q37" s="289">
        <f t="shared" si="9"/>
        <v>8.2435750865621479E-2</v>
      </c>
    </row>
    <row r="38" spans="1:17">
      <c r="A38" t="str">
        <f>'GDP Durban'!A38</f>
        <v>2009q4</v>
      </c>
      <c r="D38" s="234">
        <f>'GDP Durban'!D38</f>
        <v>459824142000</v>
      </c>
      <c r="E38" s="234">
        <f>'GDP Durban'!E38</f>
        <v>74797338159.696762</v>
      </c>
      <c r="F38" s="235">
        <v>5074816265</v>
      </c>
      <c r="G38" s="235">
        <v>901763015</v>
      </c>
      <c r="H38" s="92">
        <f t="shared" si="0"/>
        <v>16.266509590898508</v>
      </c>
      <c r="I38" s="92">
        <f>G38/F38*100</f>
        <v>17.769372680924043</v>
      </c>
      <c r="J38" s="92">
        <f>D38/F38</f>
        <v>90.609022669710384</v>
      </c>
      <c r="K38" s="92">
        <f>E38/G38</f>
        <v>82.94567077548281</v>
      </c>
      <c r="L38" s="235">
        <v>82582248</v>
      </c>
      <c r="M38" s="234">
        <f t="shared" si="10"/>
        <v>6849839954.5072737</v>
      </c>
      <c r="N38" s="92">
        <f t="shared" si="11"/>
        <v>12.506916297401787</v>
      </c>
      <c r="O38" s="92">
        <f t="shared" si="12"/>
        <v>12.051045039075614</v>
      </c>
      <c r="Q38" s="289">
        <f t="shared" si="9"/>
        <v>9.1578659388686506E-2</v>
      </c>
    </row>
    <row r="39" spans="1:17">
      <c r="A39" t="str">
        <f>'GDP Durban'!A39</f>
        <v>2010q1</v>
      </c>
      <c r="D39" s="234">
        <f>'GDP Durban'!D39</f>
        <v>443937100999.99994</v>
      </c>
      <c r="E39" s="234">
        <f>'GDP Durban'!E39</f>
        <v>72421686265.048981</v>
      </c>
      <c r="F39" s="235"/>
      <c r="G39" s="235"/>
      <c r="H39" s="92">
        <f t="shared" si="0"/>
        <v>16.313501642893549</v>
      </c>
      <c r="I39" s="92"/>
      <c r="J39" s="92"/>
      <c r="K39" s="92"/>
      <c r="L39" s="235"/>
      <c r="M39" s="288">
        <f t="shared" ref="M39:M43" si="13">E39*Q39</f>
        <v>5853784967.6139383</v>
      </c>
      <c r="N39" s="92">
        <f t="shared" si="11"/>
        <v>-14.541288460877391</v>
      </c>
      <c r="O39" s="92">
        <f t="shared" si="12"/>
        <v>3.4632115352520652</v>
      </c>
      <c r="Q39" s="289">
        <f>(Q27+Q31+Q35)/3</f>
        <v>8.0829172441390665E-2</v>
      </c>
    </row>
    <row r="40" spans="1:17">
      <c r="A40" t="str">
        <f>'GDP Durban'!A40</f>
        <v>2010q2</v>
      </c>
      <c r="D40" s="234">
        <f>'GDP Durban'!D40</f>
        <v>457733272000</v>
      </c>
      <c r="E40" s="234">
        <f>'GDP Durban'!E40</f>
        <v>75739547217.177216</v>
      </c>
      <c r="F40" s="235"/>
      <c r="G40" s="235"/>
      <c r="H40" s="92">
        <f>E40/D40*100</f>
        <v>16.546655410528519</v>
      </c>
      <c r="I40" s="92"/>
      <c r="J40" s="92"/>
      <c r="K40" s="92"/>
      <c r="L40" s="235"/>
      <c r="M40" s="288">
        <f t="shared" si="13"/>
        <v>6035126872.6069908</v>
      </c>
      <c r="N40" s="92">
        <f t="shared" si="11"/>
        <v>3.0978573008118073</v>
      </c>
      <c r="O40" s="92">
        <f t="shared" si="12"/>
        <v>0.24102815541291017</v>
      </c>
      <c r="Q40" s="289">
        <f t="shared" ref="Q40:Q54" si="14">(Q28+Q32+Q36)/3</f>
        <v>7.9682637332142189E-2</v>
      </c>
    </row>
    <row r="41" spans="1:17">
      <c r="A41" t="str">
        <f>'GDP Durban'!A41</f>
        <v>2010q3</v>
      </c>
      <c r="D41" s="234">
        <f>'GDP Durban'!D41</f>
        <v>465818166999.99994</v>
      </c>
      <c r="E41" s="234">
        <f>'GDP Durban'!E41</f>
        <v>76759950921.38913</v>
      </c>
      <c r="F41" s="235"/>
      <c r="G41" s="235"/>
      <c r="H41" s="92"/>
      <c r="I41" s="92"/>
      <c r="J41" s="92"/>
      <c r="K41" s="92"/>
      <c r="L41" s="235"/>
      <c r="M41" s="288">
        <f t="shared" si="13"/>
        <v>6142139320.9156723</v>
      </c>
      <c r="N41" s="92">
        <f t="shared" si="11"/>
        <v>1.7731598782852989</v>
      </c>
      <c r="O41" s="92">
        <f t="shared" si="12"/>
        <v>0.88310954046919299</v>
      </c>
      <c r="Q41" s="289">
        <f t="shared" si="14"/>
        <v>8.0017499323389585E-2</v>
      </c>
    </row>
    <row r="42" spans="1:17">
      <c r="A42" t="str">
        <f>'GDP Durban'!A42</f>
        <v>2010q4</v>
      </c>
      <c r="D42" s="234">
        <f>'GDP Durban'!D42</f>
        <v>475519782000</v>
      </c>
      <c r="E42" s="234">
        <f>'GDP Durban'!E42</f>
        <v>77696629793.574066</v>
      </c>
      <c r="F42" s="235"/>
      <c r="G42" s="235"/>
      <c r="H42" s="92"/>
      <c r="I42" s="92"/>
      <c r="J42" s="92"/>
      <c r="K42" s="92"/>
      <c r="L42" s="235"/>
      <c r="M42" s="288">
        <f t="shared" si="13"/>
        <v>6563613256.0466547</v>
      </c>
      <c r="N42" s="92">
        <f t="shared" si="11"/>
        <v>6.8620054529819576</v>
      </c>
      <c r="O42" s="92">
        <f t="shared" si="12"/>
        <v>-4.1785895781736988</v>
      </c>
      <c r="Q42" s="289">
        <f t="shared" si="14"/>
        <v>8.4477451254771171E-2</v>
      </c>
    </row>
    <row r="43" spans="1:17">
      <c r="A43" t="str">
        <f>'GDP Durban'!A43</f>
        <v>2011q1</v>
      </c>
      <c r="D43" s="234">
        <f>'GDP Durban'!D43</f>
        <v>460862825000</v>
      </c>
      <c r="E43" s="234">
        <f>'GDP Durban'!E43</f>
        <v>75199993433.368515</v>
      </c>
      <c r="F43" s="235"/>
      <c r="G43" s="235"/>
      <c r="H43" s="92"/>
      <c r="I43" s="92"/>
      <c r="J43" s="92"/>
      <c r="K43" s="92"/>
      <c r="L43" s="235"/>
      <c r="M43" s="288">
        <f t="shared" si="13"/>
        <v>6091295099.14785</v>
      </c>
      <c r="N43" s="92">
        <f t="shared" ref="N43" si="15">(M43-M42)/M42*100</f>
        <v>-7.1960083337281784</v>
      </c>
      <c r="O43" s="92">
        <f t="shared" ref="O43" si="16">(M43-M39)/M39*100</f>
        <v>4.057377113234196</v>
      </c>
      <c r="Q43" s="289">
        <f t="shared" si="14"/>
        <v>8.1001271689539245E-2</v>
      </c>
    </row>
    <row r="44" spans="1:17">
      <c r="A44" t="str">
        <f>'GDP Durban'!A44</f>
        <v>2011q2</v>
      </c>
      <c r="D44" s="234">
        <f>'GDP Durban'!D44</f>
        <v>474374351999.99994</v>
      </c>
      <c r="E44" s="234">
        <f>'GDP Durban'!E44</f>
        <v>78146804841.01947</v>
      </c>
      <c r="F44" s="235"/>
      <c r="G44" s="235"/>
      <c r="H44" s="92"/>
      <c r="I44" s="92"/>
      <c r="J44" s="92"/>
      <c r="K44" s="92"/>
      <c r="L44" s="235"/>
      <c r="M44" s="288">
        <f t="shared" ref="M44:M54" si="17">E44*Q44</f>
        <v>6210526496.6957283</v>
      </c>
      <c r="N44" s="92">
        <f t="shared" ref="N44:N47" si="18">(M44-M43)/M43*100</f>
        <v>1.9574063578787753</v>
      </c>
      <c r="O44" s="92">
        <f t="shared" ref="O44:O47" si="19">(M44-M40)/M40*100</f>
        <v>2.9063121255141104</v>
      </c>
      <c r="Q44" s="289">
        <f t="shared" si="14"/>
        <v>7.9472558210541278E-2</v>
      </c>
    </row>
    <row r="45" spans="1:17">
      <c r="A45" t="str">
        <f>'GDP Durban'!A45</f>
        <v>2011q3</v>
      </c>
      <c r="D45" s="234">
        <f>'GDP Durban'!D45</f>
        <v>481033335999.99994</v>
      </c>
      <c r="E45" s="234">
        <f>'GDP Durban'!E45</f>
        <v>79336356144.022598</v>
      </c>
      <c r="F45" s="235"/>
      <c r="G45" s="235"/>
      <c r="H45" s="92"/>
      <c r="I45" s="92"/>
      <c r="J45" s="92"/>
      <c r="K45" s="92"/>
      <c r="L45" s="235"/>
      <c r="M45" s="288">
        <f t="shared" si="17"/>
        <v>6340485488.7970037</v>
      </c>
      <c r="N45" s="92">
        <f t="shared" si="18"/>
        <v>2.0925599813545488</v>
      </c>
      <c r="O45" s="92">
        <f t="shared" si="19"/>
        <v>3.2292684603540045</v>
      </c>
      <c r="Q45" s="289">
        <f t="shared" si="14"/>
        <v>7.9919040865537805E-2</v>
      </c>
    </row>
    <row r="46" spans="1:17">
      <c r="A46" t="str">
        <f>'GDP Durban'!A46</f>
        <v>2011q4</v>
      </c>
      <c r="D46" s="234">
        <f>'GDP Durban'!D46</f>
        <v>493072837000</v>
      </c>
      <c r="E46" s="234">
        <f>'GDP Durban'!E46</f>
        <v>80704714857.85849</v>
      </c>
      <c r="F46" s="235"/>
      <c r="G46" s="235"/>
      <c r="H46" s="92"/>
      <c r="I46" s="92"/>
      <c r="J46" s="92"/>
      <c r="K46" s="92"/>
      <c r="L46" s="235"/>
      <c r="M46" s="288">
        <f t="shared" si="17"/>
        <v>6929762269.9693089</v>
      </c>
      <c r="N46" s="92">
        <f t="shared" si="18"/>
        <v>9.2938747705281806</v>
      </c>
      <c r="O46" s="92">
        <f t="shared" si="19"/>
        <v>5.578467219794577</v>
      </c>
      <c r="Q46" s="289">
        <f t="shared" si="14"/>
        <v>8.5865643440713235E-2</v>
      </c>
    </row>
    <row r="47" spans="1:17">
      <c r="A47" t="str">
        <f>'GDP Durban'!A47</f>
        <v>2012q1</v>
      </c>
      <c r="D47" s="234">
        <f>'GDP Durban'!D47</f>
        <v>473284397000</v>
      </c>
      <c r="E47" s="234">
        <f>'GDP Durban'!E47</f>
        <v>77631579507.842682</v>
      </c>
      <c r="F47" s="235"/>
      <c r="G47" s="235"/>
      <c r="H47" s="92"/>
      <c r="I47" s="92"/>
      <c r="J47" s="92"/>
      <c r="K47" s="92"/>
      <c r="L47" s="235"/>
      <c r="M47" s="288">
        <f t="shared" si="17"/>
        <v>6263595556.4137917</v>
      </c>
      <c r="N47" s="92">
        <f t="shared" si="18"/>
        <v>-9.61312506263606</v>
      </c>
      <c r="O47" s="92">
        <f t="shared" si="19"/>
        <v>2.8286342142584067</v>
      </c>
      <c r="Q47" s="289">
        <f t="shared" si="14"/>
        <v>8.0683603195024725E-2</v>
      </c>
    </row>
    <row r="48" spans="1:17">
      <c r="A48" t="str">
        <f>'GDP Durban'!A48</f>
        <v>2012q2</v>
      </c>
      <c r="D48" s="234">
        <f>'GDP Durban'!D48</f>
        <v>488293724000.00006</v>
      </c>
      <c r="E48" s="234">
        <f>'GDP Durban'!E48</f>
        <v>80708192955.819916</v>
      </c>
      <c r="F48" s="235"/>
      <c r="G48" s="235"/>
      <c r="H48" s="92"/>
      <c r="I48" s="92"/>
      <c r="J48" s="92"/>
      <c r="K48" s="92"/>
      <c r="L48" s="235"/>
      <c r="M48" s="288">
        <f t="shared" si="17"/>
        <v>6514728773.2577705</v>
      </c>
      <c r="N48" s="92">
        <f t="shared" ref="N48:N49" si="20">(M48-M47)/M47*100</f>
        <v>4.0094098442678607</v>
      </c>
      <c r="O48" s="92">
        <f t="shared" ref="O48:O49" si="21">(M48-M44)/M44*100</f>
        <v>4.8981721070490742</v>
      </c>
      <c r="Q48" s="289">
        <f t="shared" si="14"/>
        <v>8.0719546983587742E-2</v>
      </c>
    </row>
    <row r="49" spans="1:17">
      <c r="A49" t="str">
        <f>'GDP Durban'!A49</f>
        <v>2012q3</v>
      </c>
      <c r="D49" s="234">
        <f>'GDP Durban'!D49</f>
        <v>491517195000</v>
      </c>
      <c r="E49" s="234">
        <f>'GDP Durban'!E49</f>
        <v>81187502547.664658</v>
      </c>
      <c r="F49" s="235"/>
      <c r="G49" s="235"/>
      <c r="H49" s="92"/>
      <c r="I49" s="92"/>
      <c r="J49" s="92"/>
      <c r="K49" s="92"/>
      <c r="L49" s="235"/>
      <c r="M49" s="288">
        <f t="shared" si="17"/>
        <v>6559200332.4915018</v>
      </c>
      <c r="N49" s="92">
        <f t="shared" si="20"/>
        <v>0.68263101629467715</v>
      </c>
      <c r="O49" s="92">
        <f t="shared" si="21"/>
        <v>3.4494967945427057</v>
      </c>
      <c r="Q49" s="289">
        <f t="shared" si="14"/>
        <v>8.0790763684849623E-2</v>
      </c>
    </row>
    <row r="50" spans="1:17">
      <c r="A50" t="str">
        <f>'GDP Durban'!A50</f>
        <v>2012q4</v>
      </c>
      <c r="D50" s="234">
        <f>'GDP Durban'!D50</f>
        <v>503348264999.99994</v>
      </c>
      <c r="E50" s="234">
        <f>'GDP Durban'!E50</f>
        <v>82654977409.226288</v>
      </c>
      <c r="F50" s="235"/>
      <c r="G50" s="235"/>
      <c r="H50" s="92"/>
      <c r="I50" s="92"/>
      <c r="J50" s="92"/>
      <c r="K50" s="92"/>
      <c r="L50" s="235"/>
      <c r="M50" s="288">
        <f t="shared" si="17"/>
        <v>7216378888.937356</v>
      </c>
      <c r="N50" s="92">
        <f t="shared" ref="N50" si="22">(M50-M49)/M49*100</f>
        <v>10.019187143750891</v>
      </c>
      <c r="O50" s="92">
        <f t="shared" ref="O50" si="23">(M50-M46)/M46*100</f>
        <v>4.1360238317283073</v>
      </c>
      <c r="Q50" s="289">
        <f t="shared" si="14"/>
        <v>8.7307251361390295E-2</v>
      </c>
    </row>
    <row r="51" spans="1:17">
      <c r="A51" t="str">
        <f>'GDP Durban'!A51</f>
        <v>2013q1</v>
      </c>
      <c r="D51" s="234">
        <f>'GDP Durban'!D51</f>
        <v>480893886285.29028</v>
      </c>
      <c r="E51" s="234">
        <f>'GDP Durban'!E51</f>
        <v>78747632494.84906</v>
      </c>
      <c r="F51" s="235"/>
      <c r="G51" s="235"/>
      <c r="H51" s="92"/>
      <c r="I51" s="92"/>
      <c r="J51" s="92"/>
      <c r="K51" s="92"/>
      <c r="L51" s="235"/>
      <c r="M51" s="288">
        <f t="shared" si="17"/>
        <v>6365802357.8875685</v>
      </c>
      <c r="N51" s="92">
        <f t="shared" ref="N51:N54" si="24">(M51-M50)/M50*100</f>
        <v>-11.78674989410151</v>
      </c>
      <c r="O51" s="92">
        <f t="shared" ref="O51:O54" si="25">(M51-M47)/M47*100</f>
        <v>1.631759275534947</v>
      </c>
      <c r="Q51" s="289">
        <f t="shared" si="14"/>
        <v>8.0838015775318198E-2</v>
      </c>
    </row>
    <row r="52" spans="1:17">
      <c r="A52" t="str">
        <f>'GDP Durban'!A52</f>
        <v>2013q2</v>
      </c>
      <c r="D52" s="234">
        <f>'GDP Durban'!D52</f>
        <v>499484699761.94434</v>
      </c>
      <c r="E52" s="234">
        <f>'GDP Durban'!E52</f>
        <v>82753463447.064102</v>
      </c>
      <c r="F52" s="235"/>
      <c r="G52" s="235"/>
      <c r="H52" s="92"/>
      <c r="I52" s="92"/>
      <c r="J52" s="92"/>
      <c r="K52" s="92"/>
      <c r="L52" s="235"/>
      <c r="M52" s="288">
        <f t="shared" si="17"/>
        <v>6616821912.5072327</v>
      </c>
      <c r="N52" s="92">
        <f t="shared" si="24"/>
        <v>3.9432508348085547</v>
      </c>
      <c r="O52" s="92">
        <f t="shared" si="25"/>
        <v>1.5671126581438508</v>
      </c>
      <c r="Q52" s="289">
        <f t="shared" si="14"/>
        <v>7.9958247508757074E-2</v>
      </c>
    </row>
    <row r="53" spans="1:17">
      <c r="A53" t="str">
        <f>'GDP Durban'!A53</f>
        <v>2013q3</v>
      </c>
      <c r="D53" s="234">
        <f>'GDP Durban'!D53</f>
        <v>499774920452.24109</v>
      </c>
      <c r="E53" s="234">
        <f>'GDP Durban'!E53</f>
        <v>82311260048.170883</v>
      </c>
      <c r="F53" s="235"/>
      <c r="G53" s="235"/>
      <c r="H53" s="92"/>
      <c r="I53" s="92"/>
      <c r="J53" s="92"/>
      <c r="K53" s="92"/>
      <c r="L53" s="235"/>
      <c r="M53" s="288">
        <f t="shared" si="17"/>
        <v>6604855903.2831717</v>
      </c>
      <c r="N53" s="92">
        <f t="shared" si="24"/>
        <v>-0.18084224393953618</v>
      </c>
      <c r="O53" s="92">
        <f t="shared" si="25"/>
        <v>0.69605391629085445</v>
      </c>
      <c r="Q53" s="289">
        <f t="shared" si="14"/>
        <v>8.0242434624592338E-2</v>
      </c>
    </row>
    <row r="54" spans="1:17">
      <c r="A54" t="str">
        <f>'GDP Durban'!A54</f>
        <v>2013q4</v>
      </c>
      <c r="D54" s="234">
        <f>'GDP Durban'!D54</f>
        <v>513279157606.09894</v>
      </c>
      <c r="E54" s="234">
        <f>'GDP Durban'!E54</f>
        <v>83974079876.575684</v>
      </c>
      <c r="F54" s="235"/>
      <c r="G54" s="235"/>
      <c r="H54" s="92"/>
      <c r="I54" s="92"/>
      <c r="J54" s="92"/>
      <c r="K54" s="92"/>
      <c r="L54" s="235"/>
      <c r="M54" s="288">
        <f t="shared" si="17"/>
        <v>7211983580.0024548</v>
      </c>
      <c r="N54" s="92">
        <f t="shared" si="24"/>
        <v>9.192141139937501</v>
      </c>
      <c r="O54" s="92">
        <f t="shared" si="25"/>
        <v>-6.0907402487405511E-2</v>
      </c>
      <c r="Q54" s="289">
        <f t="shared" si="14"/>
        <v>8.5883448685624905E-2</v>
      </c>
    </row>
    <row r="55" spans="1:17">
      <c r="M55" s="92"/>
    </row>
    <row r="56" spans="1:17">
      <c r="K56" s="237"/>
      <c r="L56" s="237"/>
      <c r="M56" s="92"/>
    </row>
    <row r="57" spans="1:17">
      <c r="M57" s="92"/>
    </row>
    <row r="58" spans="1:17">
      <c r="M58" s="92"/>
    </row>
    <row r="59" spans="1:17">
      <c r="M59" s="92"/>
    </row>
    <row r="60" spans="1:17">
      <c r="M60" s="92"/>
    </row>
  </sheetData>
  <mergeCells count="2">
    <mergeCell ref="D1:O1"/>
    <mergeCell ref="R11:T11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58"/>
  <sheetViews>
    <sheetView workbookViewId="0"/>
  </sheetViews>
  <sheetFormatPr defaultRowHeight="12.75"/>
  <cols>
    <col min="1" max="1" width="7.5" style="7" bestFit="1" customWidth="1"/>
    <col min="2" max="2" width="9" style="7" hidden="1" customWidth="1"/>
    <col min="3" max="3" width="16.5" style="7" hidden="1" customWidth="1"/>
    <col min="4" max="4" width="17.125" style="7" customWidth="1"/>
    <col min="5" max="5" width="15.5" style="7" bestFit="1" customWidth="1"/>
    <col min="6" max="6" width="13.75" style="7" hidden="1" customWidth="1"/>
    <col min="7" max="7" width="14.125" style="7" hidden="1" customWidth="1"/>
    <col min="8" max="8" width="10.375" style="7" hidden="1" customWidth="1"/>
    <col min="9" max="9" width="8" style="7" hidden="1" customWidth="1"/>
    <col min="10" max="10" width="7.875" style="7" hidden="1" customWidth="1"/>
    <col min="11" max="11" width="9.375" style="7" hidden="1" customWidth="1"/>
    <col min="12" max="12" width="11" hidden="1" customWidth="1"/>
    <col min="13" max="13" width="18.25" bestFit="1" customWidth="1"/>
    <col min="14" max="14" width="14.5" customWidth="1"/>
    <col min="15" max="15" width="12.5" customWidth="1"/>
    <col min="19" max="19" width="15.5" bestFit="1" customWidth="1"/>
  </cols>
  <sheetData>
    <row r="1" spans="1:20" ht="28.5" customHeight="1" thickBot="1">
      <c r="D1" s="418" t="s">
        <v>238</v>
      </c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20"/>
    </row>
    <row r="2" spans="1:20" ht="39" thickBot="1">
      <c r="C2" s="233" t="s">
        <v>214</v>
      </c>
      <c r="D2" s="241" t="s">
        <v>231</v>
      </c>
      <c r="E2" s="239" t="s">
        <v>223</v>
      </c>
      <c r="F2" s="239" t="s">
        <v>213</v>
      </c>
      <c r="G2" s="239" t="s">
        <v>212</v>
      </c>
      <c r="H2" s="239" t="s">
        <v>215</v>
      </c>
      <c r="I2" s="239" t="s">
        <v>216</v>
      </c>
      <c r="J2" s="239" t="s">
        <v>217</v>
      </c>
      <c r="K2" s="239" t="s">
        <v>218</v>
      </c>
      <c r="L2" s="239" t="s">
        <v>242</v>
      </c>
      <c r="M2" s="239" t="s">
        <v>239</v>
      </c>
      <c r="N2" s="239" t="s">
        <v>240</v>
      </c>
      <c r="O2" s="240" t="s">
        <v>241</v>
      </c>
    </row>
    <row r="3" spans="1:20" hidden="1">
      <c r="A3" t="s">
        <v>197</v>
      </c>
      <c r="B3" s="7">
        <v>37676.73632361889</v>
      </c>
      <c r="C3" s="7">
        <v>228114.65100000001</v>
      </c>
      <c r="D3" s="234">
        <v>322910910060.36981</v>
      </c>
      <c r="E3" s="234">
        <v>50112796216.986862</v>
      </c>
    </row>
    <row r="4" spans="1:20" hidden="1">
      <c r="A4" t="s">
        <v>198</v>
      </c>
      <c r="B4" s="7">
        <v>39785.998991779808</v>
      </c>
      <c r="C4" s="7">
        <v>237077.625</v>
      </c>
      <c r="D4" s="234">
        <v>334720112818.65576</v>
      </c>
      <c r="E4" s="234">
        <v>52845129483.895035</v>
      </c>
    </row>
    <row r="5" spans="1:20" hidden="1">
      <c r="A5" t="s">
        <v>199</v>
      </c>
      <c r="B5" s="7">
        <v>40039.788367970163</v>
      </c>
      <c r="C5" s="7">
        <v>239764.666</v>
      </c>
      <c r="D5" s="234">
        <v>338640978501.02924</v>
      </c>
      <c r="E5" s="234">
        <v>53165072537.585495</v>
      </c>
    </row>
    <row r="6" spans="1:20" hidden="1">
      <c r="A6" t="s">
        <v>196</v>
      </c>
      <c r="B6" s="7">
        <v>40074.592176024802</v>
      </c>
      <c r="C6" s="7">
        <v>242416.25599999999</v>
      </c>
      <c r="D6" s="234">
        <v>342446668348.70929</v>
      </c>
      <c r="E6" s="234">
        <v>53231276652.014305</v>
      </c>
    </row>
    <row r="7" spans="1:20" hidden="1">
      <c r="A7" t="s">
        <v>193</v>
      </c>
      <c r="B7" s="7">
        <v>38164.553783353913</v>
      </c>
      <c r="C7" s="7">
        <v>234422.22595000002</v>
      </c>
      <c r="D7" s="234">
        <v>333305590430.95892</v>
      </c>
      <c r="E7" s="234">
        <v>51711374534.346764</v>
      </c>
      <c r="F7" s="235">
        <v>4118958622</v>
      </c>
      <c r="G7" s="235">
        <v>674878797</v>
      </c>
      <c r="H7" s="92">
        <f>E7/D7*100</f>
        <v>15.514703629028473</v>
      </c>
      <c r="I7" s="92">
        <f>G7/F7*100</f>
        <v>16.384694747729856</v>
      </c>
      <c r="J7" s="92">
        <f>D7/F7</f>
        <v>80.919868592687919</v>
      </c>
      <c r="K7" s="92">
        <f>E7/G7</f>
        <v>76.623202216777841</v>
      </c>
      <c r="M7" s="234">
        <f>E7*$L$26</f>
        <v>3204610900.4491315</v>
      </c>
    </row>
    <row r="8" spans="1:20" hidden="1">
      <c r="A8" t="s">
        <v>194</v>
      </c>
      <c r="B8" s="7">
        <v>40899.509629239452</v>
      </c>
      <c r="C8" s="7">
        <v>246691.99999189001</v>
      </c>
      <c r="D8" s="234">
        <v>347204329137.22797</v>
      </c>
      <c r="E8" s="234">
        <v>54878905030.490082</v>
      </c>
      <c r="F8" s="235">
        <v>4128329079</v>
      </c>
      <c r="G8" s="235">
        <v>697677279</v>
      </c>
      <c r="H8" s="92">
        <f t="shared" ref="H8:H38" si="0">E8/D8*100</f>
        <v>15.80593916177811</v>
      </c>
      <c r="I8" s="92">
        <f t="shared" ref="I8:I37" si="1">G8/F8*100</f>
        <v>16.899749648082743</v>
      </c>
      <c r="J8" s="92">
        <f t="shared" ref="J8:K36" si="2">D8/F8</f>
        <v>84.102871281116677</v>
      </c>
      <c r="K8" s="92">
        <f t="shared" si="2"/>
        <v>78.659441381192067</v>
      </c>
      <c r="M8" s="234">
        <f t="shared" ref="M8:M30" si="3">E8*$L$26</f>
        <v>3400906258.034411</v>
      </c>
      <c r="N8" s="92">
        <f>(M8-M7)/M7*100</f>
        <v>6.1254037910739285</v>
      </c>
    </row>
    <row r="9" spans="1:20" hidden="1">
      <c r="A9" t="s">
        <v>195</v>
      </c>
      <c r="B9" s="7">
        <v>40843.515709009815</v>
      </c>
      <c r="C9" s="7">
        <v>248774.73830440003</v>
      </c>
      <c r="D9" s="234">
        <v>350396669892.96594</v>
      </c>
      <c r="E9" s="234">
        <v>54975894517.663895</v>
      </c>
      <c r="F9" s="235">
        <v>4479766142</v>
      </c>
      <c r="G9" s="235">
        <v>748604188</v>
      </c>
      <c r="H9" s="92">
        <f t="shared" si="0"/>
        <v>15.68961672337158</v>
      </c>
      <c r="I9" s="92">
        <f t="shared" si="1"/>
        <v>16.71078722126741</v>
      </c>
      <c r="J9" s="92">
        <f t="shared" si="2"/>
        <v>78.217625381786263</v>
      </c>
      <c r="K9" s="92">
        <f t="shared" si="2"/>
        <v>73.43786663088224</v>
      </c>
      <c r="M9" s="234">
        <f t="shared" si="3"/>
        <v>3406916803.5019217</v>
      </c>
      <c r="N9" s="92">
        <f t="shared" ref="N9:N36" si="4">(M9-M8)/M8*100</f>
        <v>0.17673364131431712</v>
      </c>
    </row>
    <row r="10" spans="1:20" ht="13.5" hidden="1" thickBot="1">
      <c r="A10" t="s">
        <v>192</v>
      </c>
      <c r="B10" s="7">
        <v>41049.652983244421</v>
      </c>
      <c r="C10" s="7">
        <v>252232.9458972</v>
      </c>
      <c r="D10" s="234">
        <v>355528420538.84723</v>
      </c>
      <c r="E10" s="234">
        <v>55380505788.006569</v>
      </c>
      <c r="F10" s="235">
        <v>4393645140</v>
      </c>
      <c r="G10" s="235">
        <v>741841930</v>
      </c>
      <c r="H10" s="92">
        <f t="shared" si="0"/>
        <v>15.576956043083861</v>
      </c>
      <c r="I10" s="92">
        <f t="shared" si="1"/>
        <v>16.884429815376485</v>
      </c>
      <c r="J10" s="92">
        <f t="shared" si="2"/>
        <v>80.918783654623326</v>
      </c>
      <c r="K10" s="92">
        <f t="shared" si="2"/>
        <v>74.65270369390764</v>
      </c>
      <c r="M10" s="234">
        <f t="shared" si="3"/>
        <v>3431991010.0775657</v>
      </c>
      <c r="N10" s="92">
        <f t="shared" si="4"/>
        <v>0.73597942133105787</v>
      </c>
    </row>
    <row r="11" spans="1:20" ht="15.75" thickBot="1">
      <c r="A11" t="str">
        <f>'GDP Durban'!A11</f>
        <v>2003q1</v>
      </c>
      <c r="B11" s="7">
        <v>39679.286244765506</v>
      </c>
      <c r="C11" s="7">
        <v>242968.67667019999</v>
      </c>
      <c r="D11" s="234">
        <f>'GDP Durban'!D11</f>
        <v>343994759999.99994</v>
      </c>
      <c r="E11" s="234">
        <f>'GDP Durban'!E11</f>
        <v>55181294713.915733</v>
      </c>
      <c r="F11" s="235">
        <v>4324510166.1150007</v>
      </c>
      <c r="G11" s="235">
        <v>733454143.19999993</v>
      </c>
      <c r="H11" s="92">
        <f t="shared" si="0"/>
        <v>16.041318395058035</v>
      </c>
      <c r="I11" s="92">
        <f t="shared" si="1"/>
        <v>16.960398172885121</v>
      </c>
      <c r="J11" s="92">
        <f t="shared" si="2"/>
        <v>79.545369715024549</v>
      </c>
      <c r="K11" s="92">
        <f t="shared" si="2"/>
        <v>75.234825824507993</v>
      </c>
      <c r="M11" s="234">
        <f t="shared" si="3"/>
        <v>3419645680.1521807</v>
      </c>
      <c r="N11" s="92">
        <f t="shared" si="4"/>
        <v>-0.35971335266131671</v>
      </c>
      <c r="O11" s="92">
        <f>(M11-M7)/M7*100</f>
        <v>6.7101681415647594</v>
      </c>
      <c r="R11" s="421" t="s">
        <v>347</v>
      </c>
      <c r="S11" s="422"/>
      <c r="T11" s="423"/>
    </row>
    <row r="12" spans="1:20">
      <c r="A12" t="str">
        <f>'GDP Durban'!A12</f>
        <v>2003q2</v>
      </c>
      <c r="B12" s="7">
        <v>39679.286244765506</v>
      </c>
      <c r="C12" s="7">
        <v>242968.67667019999</v>
      </c>
      <c r="D12" s="234">
        <f>'GDP Durban'!D12</f>
        <v>358345100000</v>
      </c>
      <c r="E12" s="234">
        <f>'GDP Durban'!E12</f>
        <v>58708707406.102829</v>
      </c>
      <c r="F12" s="235">
        <v>4344832650.1500006</v>
      </c>
      <c r="G12" s="235">
        <v>733104993.00000012</v>
      </c>
      <c r="H12" s="92">
        <f t="shared" si="0"/>
        <v>16.383287341197864</v>
      </c>
      <c r="I12" s="92">
        <f t="shared" si="1"/>
        <v>16.873031760491177</v>
      </c>
      <c r="J12" s="92">
        <f t="shared" si="2"/>
        <v>82.476157047758448</v>
      </c>
      <c r="K12" s="92">
        <f t="shared" si="2"/>
        <v>80.082263750320436</v>
      </c>
      <c r="M12" s="234">
        <f t="shared" si="3"/>
        <v>3638243334.2574153</v>
      </c>
      <c r="N12" s="92">
        <f t="shared" si="4"/>
        <v>6.3924065400689889</v>
      </c>
      <c r="O12" s="92">
        <f t="shared" ref="O12:O36" si="5">(M12-M8)/M8*100</f>
        <v>6.9786421093586899</v>
      </c>
      <c r="R12" s="7">
        <v>2001</v>
      </c>
    </row>
    <row r="13" spans="1:20">
      <c r="A13" t="str">
        <f>'GDP Durban'!A13</f>
        <v>2003q3</v>
      </c>
      <c r="B13" s="7">
        <v>39679.286244765506</v>
      </c>
      <c r="C13" s="7">
        <v>242968.67667019999</v>
      </c>
      <c r="D13" s="234">
        <f>'GDP Durban'!D13</f>
        <v>360923000000</v>
      </c>
      <c r="E13" s="234">
        <f>'GDP Durban'!E13</f>
        <v>58465530322.692268</v>
      </c>
      <c r="F13" s="235">
        <v>4469507962.3999996</v>
      </c>
      <c r="G13" s="235">
        <v>755965791.00000012</v>
      </c>
      <c r="H13" s="92">
        <f t="shared" si="0"/>
        <v>16.198892928046224</v>
      </c>
      <c r="I13" s="92">
        <f t="shared" si="1"/>
        <v>16.913848176569036</v>
      </c>
      <c r="J13" s="92">
        <f t="shared" si="2"/>
        <v>80.752289298125461</v>
      </c>
      <c r="K13" s="92">
        <f t="shared" si="2"/>
        <v>77.338857152984929</v>
      </c>
      <c r="M13" s="234">
        <f t="shared" si="3"/>
        <v>3623173382.254509</v>
      </c>
      <c r="N13" s="92">
        <f t="shared" si="4"/>
        <v>-0.41420956814539672</v>
      </c>
      <c r="O13" s="92">
        <f t="shared" si="5"/>
        <v>6.3475743971881036</v>
      </c>
      <c r="R13" s="7">
        <f>R12+1</f>
        <v>2002</v>
      </c>
      <c r="S13" s="284">
        <f>SUM(M7:M10)</f>
        <v>13444424972.06303</v>
      </c>
    </row>
    <row r="14" spans="1:20">
      <c r="A14" t="str">
        <f>'GDP Durban'!A14</f>
        <v>2003q4</v>
      </c>
      <c r="B14" s="7">
        <v>39679.286244765506</v>
      </c>
      <c r="C14" s="7">
        <v>242968.67667019999</v>
      </c>
      <c r="D14" s="234">
        <f>'GDP Durban'!D14</f>
        <v>364059160000</v>
      </c>
      <c r="E14" s="234">
        <f>'GDP Durban'!E14</f>
        <v>58326547234.588341</v>
      </c>
      <c r="F14" s="235">
        <v>4792454884.6540003</v>
      </c>
      <c r="G14" s="235">
        <v>792421454</v>
      </c>
      <c r="H14" s="92">
        <f t="shared" si="0"/>
        <v>16.021172832071674</v>
      </c>
      <c r="I14" s="92">
        <f t="shared" si="1"/>
        <v>16.534771282613971</v>
      </c>
      <c r="J14" s="92">
        <f t="shared" si="2"/>
        <v>75.965067749674574</v>
      </c>
      <c r="K14" s="92">
        <f t="shared" si="2"/>
        <v>73.605462017928076</v>
      </c>
      <c r="M14" s="234">
        <f t="shared" si="3"/>
        <v>3614560447.0322962</v>
      </c>
      <c r="N14" s="92">
        <f t="shared" si="4"/>
        <v>-0.23771799783021749</v>
      </c>
      <c r="O14" s="92">
        <f t="shared" si="5"/>
        <v>5.3196362233654071</v>
      </c>
      <c r="R14" s="7">
        <f t="shared" ref="R14:R24" si="6">R13+1</f>
        <v>2003</v>
      </c>
      <c r="S14" s="284">
        <f>SUM(M11:M14)</f>
        <v>14295622843.6964</v>
      </c>
      <c r="T14" s="92">
        <f>(S14-S13)/S13*100</f>
        <v>6.3312330084932906</v>
      </c>
    </row>
    <row r="15" spans="1:20">
      <c r="A15" t="str">
        <f>'GDP Durban'!A15</f>
        <v>2004q1</v>
      </c>
      <c r="B15" s="7">
        <v>39679.286244765506</v>
      </c>
      <c r="C15" s="7">
        <v>242968.67667019999</v>
      </c>
      <c r="D15" s="234">
        <f>'GDP Durban'!D15</f>
        <v>356887070000</v>
      </c>
      <c r="E15" s="234">
        <f>'GDP Durban'!E15</f>
        <v>57038420961.214691</v>
      </c>
      <c r="F15" s="235">
        <v>4499340550.9499998</v>
      </c>
      <c r="G15" s="235">
        <v>735941631.61000013</v>
      </c>
      <c r="H15" s="92">
        <f t="shared" si="0"/>
        <v>15.982204387851509</v>
      </c>
      <c r="I15" s="92">
        <f t="shared" si="1"/>
        <v>16.356655453755593</v>
      </c>
      <c r="J15" s="92">
        <f t="shared" si="2"/>
        <v>79.319861646090814</v>
      </c>
      <c r="K15" s="92">
        <f t="shared" si="2"/>
        <v>77.504001012190656</v>
      </c>
      <c r="M15" s="234">
        <f t="shared" si="3"/>
        <v>3534733841.4937735</v>
      </c>
      <c r="N15" s="92">
        <f t="shared" si="4"/>
        <v>-2.2084733872430786</v>
      </c>
      <c r="O15" s="92">
        <f t="shared" si="5"/>
        <v>3.3654995899011135</v>
      </c>
      <c r="R15" s="7">
        <f t="shared" si="6"/>
        <v>2004</v>
      </c>
      <c r="S15" s="284">
        <f>SUM(M15:M18)</f>
        <v>14938442886.714821</v>
      </c>
      <c r="T15" s="92">
        <f t="shared" ref="T15:T21" si="7">(S15-S14)/S14*100</f>
        <v>4.496621448724567</v>
      </c>
    </row>
    <row r="16" spans="1:20">
      <c r="A16" t="str">
        <f>'GDP Durban'!A16</f>
        <v>2004q2</v>
      </c>
      <c r="B16" s="7">
        <v>39679.286244765506</v>
      </c>
      <c r="C16" s="7">
        <v>242968.67667019999</v>
      </c>
      <c r="D16" s="234">
        <f>'GDP Durban'!D16</f>
        <v>371714000000</v>
      </c>
      <c r="E16" s="234">
        <f>'GDP Durban'!E16</f>
        <v>60603210461.404221</v>
      </c>
      <c r="F16" s="235">
        <v>4543677182.2600002</v>
      </c>
      <c r="G16" s="235">
        <v>765181765.9000001</v>
      </c>
      <c r="H16" s="92">
        <f t="shared" si="0"/>
        <v>16.303720188479375</v>
      </c>
      <c r="I16" s="92">
        <f t="shared" si="1"/>
        <v>16.8405838532614</v>
      </c>
      <c r="J16" s="92">
        <f t="shared" si="2"/>
        <v>81.809068974198439</v>
      </c>
      <c r="K16" s="92">
        <f t="shared" si="2"/>
        <v>79.201064586429681</v>
      </c>
      <c r="M16" s="234">
        <f t="shared" si="3"/>
        <v>3755647777.605185</v>
      </c>
      <c r="N16" s="92">
        <f t="shared" si="4"/>
        <v>6.2498039744359835</v>
      </c>
      <c r="O16" s="92">
        <f t="shared" si="5"/>
        <v>3.2269541248739095</v>
      </c>
      <c r="R16" s="7">
        <f t="shared" si="6"/>
        <v>2005</v>
      </c>
      <c r="S16" s="284">
        <f>SUM(M19:M22)</f>
        <v>15798874248.871632</v>
      </c>
      <c r="T16" s="92">
        <f t="shared" si="7"/>
        <v>5.7598463821287336</v>
      </c>
    </row>
    <row r="17" spans="1:20">
      <c r="A17" t="str">
        <f>'GDP Durban'!A17</f>
        <v>2004q3</v>
      </c>
      <c r="B17" s="7">
        <v>39679.286244765506</v>
      </c>
      <c r="C17" s="7">
        <v>242968.67667019999</v>
      </c>
      <c r="D17" s="234">
        <f>'GDP Durban'!D17</f>
        <v>379044000000</v>
      </c>
      <c r="E17" s="234">
        <f>'GDP Durban'!E17</f>
        <v>61506209899.158623</v>
      </c>
      <c r="F17" s="235">
        <v>4775490888.2999992</v>
      </c>
      <c r="G17" s="235">
        <v>793665970.39999986</v>
      </c>
      <c r="H17" s="92">
        <f t="shared" si="0"/>
        <v>16.226667589820345</v>
      </c>
      <c r="I17" s="92">
        <f t="shared" si="1"/>
        <v>16.619568311699421</v>
      </c>
      <c r="J17" s="92">
        <f t="shared" si="2"/>
        <v>79.372782582134462</v>
      </c>
      <c r="K17" s="92">
        <f t="shared" si="2"/>
        <v>77.496342533320529</v>
      </c>
      <c r="M17" s="234">
        <f t="shared" si="3"/>
        <v>3811607648.4727669</v>
      </c>
      <c r="N17" s="92">
        <f t="shared" si="4"/>
        <v>1.490019144001439</v>
      </c>
      <c r="O17" s="92">
        <f t="shared" si="5"/>
        <v>5.2008073127597676</v>
      </c>
      <c r="R17" s="7">
        <f t="shared" si="6"/>
        <v>2006</v>
      </c>
      <c r="S17" s="284">
        <f>SUM(M23:M26)</f>
        <v>16673037299.662685</v>
      </c>
      <c r="T17" s="92">
        <f t="shared" si="7"/>
        <v>5.5330717684108865</v>
      </c>
    </row>
    <row r="18" spans="1:20">
      <c r="A18" t="str">
        <f>'GDP Durban'!A18</f>
        <v>2004q4</v>
      </c>
      <c r="B18" s="7">
        <v>39679.286244765506</v>
      </c>
      <c r="C18" s="7">
        <v>242968.67667019999</v>
      </c>
      <c r="D18" s="234">
        <f>'GDP Durban'!D18</f>
        <v>384685190000</v>
      </c>
      <c r="E18" s="234">
        <f>'GDP Durban'!E18</f>
        <v>61907138228.654938</v>
      </c>
      <c r="F18" s="235">
        <v>4830257034.4000006</v>
      </c>
      <c r="G18" s="235">
        <v>826240651</v>
      </c>
      <c r="H18" s="92">
        <f t="shared" si="0"/>
        <v>16.092935168274852</v>
      </c>
      <c r="I18" s="92">
        <f t="shared" si="1"/>
        <v>17.105521406328908</v>
      </c>
      <c r="J18" s="92">
        <f t="shared" si="2"/>
        <v>79.640728694220385</v>
      </c>
      <c r="K18" s="92">
        <f t="shared" si="2"/>
        <v>74.926279835939638</v>
      </c>
      <c r="M18" s="234">
        <f t="shared" si="3"/>
        <v>3836453619.1430955</v>
      </c>
      <c r="N18" s="92">
        <f t="shared" si="4"/>
        <v>0.6518501630219965</v>
      </c>
      <c r="O18" s="92">
        <f t="shared" si="5"/>
        <v>6.1388701437537936</v>
      </c>
      <c r="R18" s="7">
        <f t="shared" si="6"/>
        <v>2007</v>
      </c>
      <c r="S18" s="284">
        <f>SUM(M27:M30)</f>
        <v>17652408051.193562</v>
      </c>
      <c r="T18" s="92">
        <f t="shared" si="7"/>
        <v>5.8739792512231102</v>
      </c>
    </row>
    <row r="19" spans="1:20">
      <c r="A19" t="str">
        <f>'GDP Durban'!A19</f>
        <v>2005q1</v>
      </c>
      <c r="B19" s="7">
        <v>39679.286244765506</v>
      </c>
      <c r="C19" s="7">
        <v>242968.67667019999</v>
      </c>
      <c r="D19" s="234">
        <f>'GDP Durban'!D19</f>
        <v>376326800000.00006</v>
      </c>
      <c r="E19" s="234">
        <f>'GDP Durban'!E19</f>
        <v>60432298014.112061</v>
      </c>
      <c r="F19" s="235">
        <v>4690209425</v>
      </c>
      <c r="G19" s="235">
        <v>774740717</v>
      </c>
      <c r="H19" s="92">
        <f t="shared" si="0"/>
        <v>16.058462489015412</v>
      </c>
      <c r="I19" s="92">
        <f t="shared" si="1"/>
        <v>16.51825423552382</v>
      </c>
      <c r="J19" s="92">
        <f t="shared" si="2"/>
        <v>80.23667301380685</v>
      </c>
      <c r="K19" s="92">
        <f t="shared" si="2"/>
        <v>78.003255396362576</v>
      </c>
      <c r="L19">
        <f t="shared" ref="L19:L24" si="8">M31/E31</f>
        <v>6.3044421173581153E-2</v>
      </c>
      <c r="M19" s="234">
        <f t="shared" si="3"/>
        <v>3745056144.7865467</v>
      </c>
      <c r="N19" s="92">
        <f t="shared" si="4"/>
        <v>-2.3823427422788233</v>
      </c>
      <c r="O19" s="92">
        <f t="shared" si="5"/>
        <v>5.9501595515856813</v>
      </c>
      <c r="R19" s="7">
        <f t="shared" si="6"/>
        <v>2008</v>
      </c>
      <c r="S19" s="284">
        <f>SUM(M31:M34)</f>
        <v>19405662468.980453</v>
      </c>
      <c r="T19" s="92">
        <f t="shared" si="7"/>
        <v>9.9320977211851051</v>
      </c>
    </row>
    <row r="20" spans="1:20">
      <c r="A20" t="str">
        <f>'GDP Durban'!A20</f>
        <v>2005q2</v>
      </c>
      <c r="B20" s="7">
        <v>39679.286244765506</v>
      </c>
      <c r="C20" s="7">
        <v>242968.67667019999</v>
      </c>
      <c r="D20" s="234">
        <f>'GDP Durban'!D20</f>
        <v>391001650000</v>
      </c>
      <c r="E20" s="234">
        <f>'GDP Durban'!E20</f>
        <v>63723503402.272804</v>
      </c>
      <c r="F20" s="235">
        <v>4760343407</v>
      </c>
      <c r="G20" s="235">
        <v>805551748</v>
      </c>
      <c r="H20" s="92">
        <f t="shared" si="0"/>
        <v>16.297502428000701</v>
      </c>
      <c r="I20" s="92">
        <f t="shared" si="1"/>
        <v>16.922135214351357</v>
      </c>
      <c r="J20" s="92">
        <f t="shared" si="2"/>
        <v>82.137278042806543</v>
      </c>
      <c r="K20" s="92">
        <f t="shared" si="2"/>
        <v>79.105412607549582</v>
      </c>
      <c r="L20">
        <f t="shared" si="8"/>
        <v>6.8349776586806368E-2</v>
      </c>
      <c r="M20" s="234">
        <f t="shared" si="3"/>
        <v>3949015771.8026781</v>
      </c>
      <c r="N20" s="92">
        <f t="shared" si="4"/>
        <v>5.4461033194405228</v>
      </c>
      <c r="O20" s="92">
        <f t="shared" si="5"/>
        <v>5.1487254835381702</v>
      </c>
      <c r="R20" s="7">
        <f t="shared" si="6"/>
        <v>2009</v>
      </c>
      <c r="S20" s="284">
        <f>SUM(M35:M38)</f>
        <v>16858805032.615551</v>
      </c>
      <c r="T20" s="92">
        <f t="shared" si="7"/>
        <v>-13.124300396526021</v>
      </c>
    </row>
    <row r="21" spans="1:20">
      <c r="A21" t="str">
        <f>'GDP Durban'!A21</f>
        <v>2005q3</v>
      </c>
      <c r="B21" s="7">
        <v>39679.286244765506</v>
      </c>
      <c r="C21" s="7">
        <v>242968.67667019999</v>
      </c>
      <c r="D21" s="234">
        <f>'GDP Durban'!D21</f>
        <v>399721750000</v>
      </c>
      <c r="E21" s="234">
        <f>'GDP Durban'!E21</f>
        <v>65295808538.534554</v>
      </c>
      <c r="F21" s="235">
        <v>4824982237</v>
      </c>
      <c r="G21" s="235">
        <v>802738840</v>
      </c>
      <c r="H21" s="92">
        <f t="shared" si="0"/>
        <v>16.335315388400694</v>
      </c>
      <c r="I21" s="92">
        <f t="shared" si="1"/>
        <v>16.637135652941058</v>
      </c>
      <c r="J21" s="92">
        <f t="shared" si="2"/>
        <v>82.844190997174024</v>
      </c>
      <c r="K21" s="92">
        <f t="shared" si="2"/>
        <v>81.341284717872327</v>
      </c>
      <c r="L21">
        <f t="shared" si="8"/>
        <v>6.7743762175790742E-2</v>
      </c>
      <c r="M21" s="234">
        <f t="shared" si="3"/>
        <v>4046453254.829742</v>
      </c>
      <c r="N21" s="92">
        <f t="shared" si="4"/>
        <v>2.4673865250881186</v>
      </c>
      <c r="O21" s="92">
        <f t="shared" si="5"/>
        <v>6.161326873480089</v>
      </c>
      <c r="R21" s="7">
        <f t="shared" si="6"/>
        <v>2010</v>
      </c>
      <c r="S21" s="284">
        <f>SUM(M39:M42)</f>
        <v>18684739292.25539</v>
      </c>
      <c r="T21" s="92">
        <f t="shared" si="7"/>
        <v>10.830745453828619</v>
      </c>
    </row>
    <row r="22" spans="1:20">
      <c r="A22" t="str">
        <f>'GDP Durban'!A22</f>
        <v>2005q4</v>
      </c>
      <c r="B22" s="7">
        <v>39679.286244765506</v>
      </c>
      <c r="C22" s="7">
        <v>242968.67667019999</v>
      </c>
      <c r="D22" s="234">
        <f>'GDP Durban'!D22</f>
        <v>404031700000</v>
      </c>
      <c r="E22" s="234">
        <f>'GDP Durban'!E22</f>
        <v>65487766114.089813</v>
      </c>
      <c r="F22" s="235">
        <v>5011501336</v>
      </c>
      <c r="G22" s="235">
        <v>832010091</v>
      </c>
      <c r="H22" s="92">
        <f t="shared" si="0"/>
        <v>16.208571286384167</v>
      </c>
      <c r="I22" s="92">
        <f t="shared" si="1"/>
        <v>16.602012754606594</v>
      </c>
      <c r="J22" s="92">
        <f t="shared" si="2"/>
        <v>80.620890410154729</v>
      </c>
      <c r="K22" s="92">
        <f t="shared" si="2"/>
        <v>78.710302702434191</v>
      </c>
      <c r="L22">
        <f t="shared" si="8"/>
        <v>6.265975876990848E-2</v>
      </c>
      <c r="M22" s="234">
        <f t="shared" si="3"/>
        <v>4058349077.4526658</v>
      </c>
      <c r="N22" s="92">
        <f t="shared" si="4"/>
        <v>0.29398146657755914</v>
      </c>
      <c r="O22" s="92">
        <f t="shared" si="5"/>
        <v>5.7838691754895386</v>
      </c>
      <c r="R22" s="7">
        <f t="shared" si="6"/>
        <v>2011</v>
      </c>
      <c r="S22" s="284">
        <f>SUM(M43:M46)</f>
        <v>19325026785.163357</v>
      </c>
      <c r="T22" s="92">
        <f>(S22-S21)/S21*100</f>
        <v>3.4267938283375377</v>
      </c>
    </row>
    <row r="23" spans="1:20">
      <c r="A23" t="str">
        <f>'GDP Durban'!A23</f>
        <v>2006q1</v>
      </c>
      <c r="B23" s="7">
        <v>39679.286244765506</v>
      </c>
      <c r="C23" s="7">
        <v>242968.67667019999</v>
      </c>
      <c r="D23" s="234">
        <f>'GDP Durban'!D23</f>
        <v>395450149999.99994</v>
      </c>
      <c r="E23" s="234">
        <f>'GDP Durban'!E23</f>
        <v>63682061981.141251</v>
      </c>
      <c r="F23" s="235">
        <v>4675546289</v>
      </c>
      <c r="G23" s="235">
        <v>750919883</v>
      </c>
      <c r="H23" s="92">
        <f t="shared" si="0"/>
        <v>16.10368891784243</v>
      </c>
      <c r="I23" s="92">
        <f t="shared" si="1"/>
        <v>16.060580659134182</v>
      </c>
      <c r="J23" s="92">
        <f t="shared" si="2"/>
        <v>84.578384119597359</v>
      </c>
      <c r="K23" s="92">
        <f t="shared" si="2"/>
        <v>84.805401245636276</v>
      </c>
      <c r="L23">
        <f t="shared" si="8"/>
        <v>5.6239370116081697E-2</v>
      </c>
      <c r="M23" s="234">
        <f t="shared" si="3"/>
        <v>3946447601.2389646</v>
      </c>
      <c r="N23" s="92">
        <f t="shared" si="4"/>
        <v>-2.7573152057175743</v>
      </c>
      <c r="O23" s="92">
        <f t="shared" si="5"/>
        <v>5.3775283645018987</v>
      </c>
      <c r="R23" s="7">
        <f t="shared" si="6"/>
        <v>2012</v>
      </c>
      <c r="S23" s="284">
        <f>SUM(M47:M50)</f>
        <v>19458900010.014904</v>
      </c>
      <c r="T23" s="92">
        <f>(S23-S22)/S22*100</f>
        <v>0.69274535212715671</v>
      </c>
    </row>
    <row r="24" spans="1:20">
      <c r="A24" t="str">
        <f>'GDP Durban'!A24</f>
        <v>2006q2</v>
      </c>
      <c r="B24" s="7">
        <v>39679.286244765506</v>
      </c>
      <c r="C24" s="7">
        <v>242968.67667019999</v>
      </c>
      <c r="D24" s="234">
        <f>'GDP Durban'!D24</f>
        <v>410299050000</v>
      </c>
      <c r="E24" s="234">
        <f>'GDP Durban'!E24</f>
        <v>66827792246.677605</v>
      </c>
      <c r="F24" s="235">
        <v>4859349229</v>
      </c>
      <c r="G24" s="235">
        <v>811777848</v>
      </c>
      <c r="H24" s="92">
        <f t="shared" si="0"/>
        <v>16.287581520522068</v>
      </c>
      <c r="I24" s="92">
        <f t="shared" si="1"/>
        <v>16.705484824087335</v>
      </c>
      <c r="J24" s="92">
        <f t="shared" si="2"/>
        <v>84.434978978540087</v>
      </c>
      <c r="K24" s="92">
        <f t="shared" si="2"/>
        <v>82.32275912840332</v>
      </c>
      <c r="L24">
        <f t="shared" si="8"/>
        <v>5.6442926388302499E-2</v>
      </c>
      <c r="M24" s="234">
        <f t="shared" si="3"/>
        <v>4141391974.4950809</v>
      </c>
      <c r="N24" s="92">
        <f t="shared" si="4"/>
        <v>4.9397431045306348</v>
      </c>
      <c r="O24" s="92">
        <f t="shared" si="5"/>
        <v>4.8714974517456895</v>
      </c>
      <c r="R24" s="7">
        <f t="shared" si="6"/>
        <v>2013</v>
      </c>
      <c r="S24" s="284">
        <f>SUM(M51:M54)</f>
        <v>20082576535.470791</v>
      </c>
      <c r="T24" s="92">
        <f>(S24-S23)/S23*100</f>
        <v>3.2050965118012806</v>
      </c>
    </row>
    <row r="25" spans="1:20">
      <c r="A25" t="str">
        <f>'GDP Durban'!A25</f>
        <v>2006q3</v>
      </c>
      <c r="B25" s="7">
        <v>39679.286244765506</v>
      </c>
      <c r="C25" s="7">
        <v>242968.67667019999</v>
      </c>
      <c r="D25" s="234">
        <f>'GDP Durban'!D25</f>
        <v>420695750000</v>
      </c>
      <c r="E25" s="234">
        <f>'GDP Durban'!E25</f>
        <v>68605409906.937042</v>
      </c>
      <c r="F25" s="235">
        <v>4906222423</v>
      </c>
      <c r="G25" s="235">
        <v>827883368</v>
      </c>
      <c r="H25" s="92">
        <f t="shared" si="0"/>
        <v>16.307607078734939</v>
      </c>
      <c r="I25" s="92">
        <f t="shared" si="1"/>
        <v>16.874150754334849</v>
      </c>
      <c r="J25" s="92">
        <f t="shared" si="2"/>
        <v>85.747386426634492</v>
      </c>
      <c r="K25" s="92">
        <f t="shared" si="2"/>
        <v>82.868448091515518</v>
      </c>
      <c r="L25">
        <v>5.9317703476050719E-2</v>
      </c>
      <c r="M25" s="234">
        <f t="shared" si="3"/>
        <v>4251552901.0261407</v>
      </c>
      <c r="N25" s="92">
        <f t="shared" si="4"/>
        <v>2.6599975855820936</v>
      </c>
      <c r="O25" s="92">
        <f t="shared" si="5"/>
        <v>5.0686275926108149</v>
      </c>
    </row>
    <row r="26" spans="1:20">
      <c r="A26" t="str">
        <f>'GDP Durban'!A26</f>
        <v>2006q4</v>
      </c>
      <c r="B26" s="7">
        <v>39679.286244765506</v>
      </c>
      <c r="C26" s="7">
        <v>242968.67667019999</v>
      </c>
      <c r="D26" s="234">
        <f>'GDP Durban'!D26</f>
        <v>432676710000</v>
      </c>
      <c r="E26" s="234">
        <f>'GDP Durban'!E26</f>
        <v>69930090578.09053</v>
      </c>
      <c r="F26" s="235">
        <v>5280826192</v>
      </c>
      <c r="G26" s="235">
        <v>873224453</v>
      </c>
      <c r="H26" s="92">
        <f t="shared" si="0"/>
        <v>16.162203548716668</v>
      </c>
      <c r="I26" s="92">
        <f t="shared" si="1"/>
        <v>16.535754468171294</v>
      </c>
      <c r="J26" s="92">
        <f t="shared" si="2"/>
        <v>81.933525980360457</v>
      </c>
      <c r="K26" s="92">
        <f t="shared" si="2"/>
        <v>80.082606869107607</v>
      </c>
      <c r="L26">
        <f>AVERAGE(L19:L25)</f>
        <v>6.1971102669503099E-2</v>
      </c>
      <c r="M26" s="234">
        <f t="shared" si="3"/>
        <v>4333644822.9024992</v>
      </c>
      <c r="N26" s="92">
        <f t="shared" si="4"/>
        <v>1.9308691150601718</v>
      </c>
      <c r="O26" s="92">
        <f t="shared" si="5"/>
        <v>6.7834417443122046</v>
      </c>
      <c r="Q26" s="289">
        <f>M26/E26</f>
        <v>6.1971102669503092E-2</v>
      </c>
    </row>
    <row r="27" spans="1:20">
      <c r="A27" t="str">
        <f>'GDP Durban'!A27</f>
        <v>2007q1</v>
      </c>
      <c r="B27" s="7">
        <v>39679.286244765506</v>
      </c>
      <c r="C27" s="7">
        <v>242968.67667019999</v>
      </c>
      <c r="D27" s="234">
        <f>'GDP Durban'!D27</f>
        <v>421784960000</v>
      </c>
      <c r="E27" s="234">
        <f>'GDP Durban'!E27</f>
        <v>68125905131.082443</v>
      </c>
      <c r="F27" s="235">
        <v>5154329343</v>
      </c>
      <c r="G27" s="235">
        <v>833477953</v>
      </c>
      <c r="H27" s="92">
        <f t="shared" si="0"/>
        <v>16.151809948624638</v>
      </c>
      <c r="I27" s="92">
        <f t="shared" si="1"/>
        <v>16.170444252498747</v>
      </c>
      <c r="J27" s="92">
        <f t="shared" si="2"/>
        <v>81.831200905471519</v>
      </c>
      <c r="K27" s="92">
        <f t="shared" si="2"/>
        <v>81.736901241204691</v>
      </c>
      <c r="M27" s="234">
        <f t="shared" si="3"/>
        <v>4221837461.3311381</v>
      </c>
      <c r="N27" s="92">
        <f t="shared" si="4"/>
        <v>-2.5799844274380805</v>
      </c>
      <c r="O27" s="92">
        <f t="shared" si="5"/>
        <v>6.9781709506472733</v>
      </c>
      <c r="Q27" s="289">
        <f t="shared" ref="Q27:Q38" si="9">M27/E27</f>
        <v>6.1971102669503099E-2</v>
      </c>
    </row>
    <row r="28" spans="1:20">
      <c r="A28" t="str">
        <f>'GDP Durban'!A28</f>
        <v>2007q2</v>
      </c>
      <c r="B28" s="7">
        <v>39679.286244765506</v>
      </c>
      <c r="C28" s="7">
        <v>242968.67667019999</v>
      </c>
      <c r="D28" s="234">
        <f>'GDP Durban'!D28</f>
        <v>433014500000</v>
      </c>
      <c r="E28" s="234">
        <f>'GDP Durban'!E28</f>
        <v>70787164818.62709</v>
      </c>
      <c r="F28" s="235">
        <v>5056692012</v>
      </c>
      <c r="G28" s="235">
        <v>821281896</v>
      </c>
      <c r="H28" s="92">
        <f t="shared" si="0"/>
        <v>16.347527581322819</v>
      </c>
      <c r="I28" s="92">
        <f t="shared" si="1"/>
        <v>16.241485422703654</v>
      </c>
      <c r="J28" s="92">
        <f t="shared" si="2"/>
        <v>85.631970262854921</v>
      </c>
      <c r="K28" s="92">
        <f t="shared" si="2"/>
        <v>86.191069306886433</v>
      </c>
      <c r="M28" s="234">
        <f t="shared" si="3"/>
        <v>4386758658.6581774</v>
      </c>
      <c r="N28" s="92">
        <f t="shared" si="4"/>
        <v>3.9063843370947744</v>
      </c>
      <c r="O28" s="92">
        <f t="shared" si="5"/>
        <v>5.9247394517156655</v>
      </c>
      <c r="Q28" s="289">
        <f>M28/E28</f>
        <v>6.1971102669503099E-2</v>
      </c>
    </row>
    <row r="29" spans="1:20">
      <c r="A29" t="str">
        <f>'GDP Durban'!A29</f>
        <v>2007q3</v>
      </c>
      <c r="B29" s="7">
        <v>39679.286244765506</v>
      </c>
      <c r="C29" s="7">
        <v>242968.67667019999</v>
      </c>
      <c r="D29" s="234">
        <f>'GDP Durban'!D29</f>
        <v>442196500000</v>
      </c>
      <c r="E29" s="234">
        <f>'GDP Durban'!E29</f>
        <v>72253952576.31102</v>
      </c>
      <c r="F29" s="235">
        <v>5400223668</v>
      </c>
      <c r="G29" s="235">
        <v>898105429</v>
      </c>
      <c r="H29" s="92">
        <f t="shared" si="0"/>
        <v>16.339783914235191</v>
      </c>
      <c r="I29" s="92">
        <f t="shared" si="1"/>
        <v>16.630893166923542</v>
      </c>
      <c r="J29" s="92">
        <f t="shared" si="2"/>
        <v>81.884849070292248</v>
      </c>
      <c r="K29" s="92">
        <f t="shared" si="2"/>
        <v>80.451526338909389</v>
      </c>
      <c r="M29" s="234">
        <f t="shared" si="3"/>
        <v>4477657113.3839779</v>
      </c>
      <c r="N29" s="92">
        <f t="shared" si="4"/>
        <v>2.0721097693941646</v>
      </c>
      <c r="O29" s="92">
        <f t="shared" si="5"/>
        <v>5.3181559214108676</v>
      </c>
      <c r="Q29" s="289">
        <f t="shared" si="9"/>
        <v>6.1971102669503092E-2</v>
      </c>
    </row>
    <row r="30" spans="1:20">
      <c r="A30" t="str">
        <f>'GDP Durban'!A30</f>
        <v>2007q4</v>
      </c>
      <c r="B30" s="7">
        <v>39679.286244765506</v>
      </c>
      <c r="C30" s="7">
        <v>242968.67667019999</v>
      </c>
      <c r="D30" s="234">
        <f>'GDP Durban'!D30</f>
        <v>454168720000</v>
      </c>
      <c r="E30" s="234">
        <f>'GDP Durban'!E30</f>
        <v>73682000499.038116</v>
      </c>
      <c r="F30" s="235">
        <v>5579296845</v>
      </c>
      <c r="G30" s="235">
        <v>902642355</v>
      </c>
      <c r="H30" s="92">
        <f t="shared" si="0"/>
        <v>16.223486394888251</v>
      </c>
      <c r="I30" s="92">
        <f t="shared" si="1"/>
        <v>16.178424989323183</v>
      </c>
      <c r="J30" s="92">
        <f t="shared" si="2"/>
        <v>81.402501536911856</v>
      </c>
      <c r="K30" s="92">
        <f t="shared" si="2"/>
        <v>81.629230105248183</v>
      </c>
      <c r="M30" s="234">
        <f t="shared" si="3"/>
        <v>4566154817.8202696</v>
      </c>
      <c r="N30" s="92">
        <f t="shared" si="4"/>
        <v>1.9764287929007986</v>
      </c>
      <c r="O30" s="92">
        <f t="shared" si="5"/>
        <v>5.3652296027814437</v>
      </c>
      <c r="Q30" s="289">
        <f t="shared" si="9"/>
        <v>6.1971102669503099E-2</v>
      </c>
    </row>
    <row r="31" spans="1:20">
      <c r="A31" t="str">
        <f>'GDP Durban'!A31</f>
        <v>2008q1</v>
      </c>
      <c r="B31" s="7">
        <v>39679.286244765506</v>
      </c>
      <c r="C31" s="7">
        <v>242968.67667019999</v>
      </c>
      <c r="D31" s="234">
        <f>'GDP Durban'!D31</f>
        <v>437677308000</v>
      </c>
      <c r="E31" s="234">
        <f>'GDP Durban'!E31</f>
        <v>71161408615.893906</v>
      </c>
      <c r="F31" s="235">
        <v>5543646776</v>
      </c>
      <c r="G31" s="235">
        <v>903654581</v>
      </c>
      <c r="H31" s="92">
        <f t="shared" si="0"/>
        <v>16.258875503752162</v>
      </c>
      <c r="I31" s="92">
        <f t="shared" si="1"/>
        <v>16.300724369961191</v>
      </c>
      <c r="J31" s="92">
        <f t="shared" si="2"/>
        <v>78.951153579053354</v>
      </c>
      <c r="K31" s="92">
        <f t="shared" si="2"/>
        <v>78.748462202388708</v>
      </c>
      <c r="L31" s="235">
        <v>56970380</v>
      </c>
      <c r="M31" s="234">
        <f t="shared" ref="M31:M38" si="10">L31*K31</f>
        <v>4486329816.085722</v>
      </c>
      <c r="N31" s="92">
        <f t="shared" si="4"/>
        <v>-1.7481886821492709</v>
      </c>
      <c r="O31" s="92">
        <f t="shared" si="5"/>
        <v>6.2648635144563301</v>
      </c>
      <c r="Q31" s="289">
        <f t="shared" si="9"/>
        <v>6.3044421173581153E-2</v>
      </c>
    </row>
    <row r="32" spans="1:20">
      <c r="A32" t="str">
        <f>'GDP Durban'!A32</f>
        <v>2008q2</v>
      </c>
      <c r="B32" s="7">
        <v>39679.286244765506</v>
      </c>
      <c r="C32" s="7">
        <v>242968.67667019999</v>
      </c>
      <c r="D32" s="234">
        <f>'GDP Durban'!D32</f>
        <v>454885920000</v>
      </c>
      <c r="E32" s="234">
        <f>'GDP Durban'!E32</f>
        <v>74756110982.452698</v>
      </c>
      <c r="F32" s="235">
        <v>5265926862</v>
      </c>
      <c r="G32" s="235">
        <v>890416751</v>
      </c>
      <c r="H32" s="92">
        <f t="shared" si="0"/>
        <v>16.434034929560514</v>
      </c>
      <c r="I32" s="92">
        <f t="shared" si="1"/>
        <v>16.909022368415872</v>
      </c>
      <c r="J32" s="92">
        <f t="shared" si="2"/>
        <v>86.382878441124845</v>
      </c>
      <c r="K32" s="92">
        <f t="shared" si="2"/>
        <v>83.956316970111331</v>
      </c>
      <c r="L32" s="235">
        <v>60859786</v>
      </c>
      <c r="M32" s="234">
        <f t="shared" si="10"/>
        <v>5109563484.1491442</v>
      </c>
      <c r="N32" s="92">
        <f t="shared" si="4"/>
        <v>13.891837952457703</v>
      </c>
      <c r="O32" s="92">
        <f t="shared" si="5"/>
        <v>16.476968115498256</v>
      </c>
      <c r="Q32" s="289">
        <f t="shared" si="9"/>
        <v>6.8349776586806368E-2</v>
      </c>
    </row>
    <row r="33" spans="1:17">
      <c r="A33" t="str">
        <f>'GDP Durban'!A33</f>
        <v>2008q3</v>
      </c>
      <c r="B33" s="7">
        <v>39679.286244765506</v>
      </c>
      <c r="C33" s="7">
        <v>242968.67667019999</v>
      </c>
      <c r="D33" s="234">
        <f>'GDP Durban'!D33</f>
        <v>459649572000</v>
      </c>
      <c r="E33" s="234">
        <f>'GDP Durban'!E33</f>
        <v>75462980206.622635</v>
      </c>
      <c r="F33" s="235">
        <v>5202135900</v>
      </c>
      <c r="G33" s="235">
        <v>869415812</v>
      </c>
      <c r="H33" s="92">
        <f t="shared" si="0"/>
        <v>16.417502550534874</v>
      </c>
      <c r="I33" s="92">
        <f t="shared" si="1"/>
        <v>16.712670116903329</v>
      </c>
      <c r="J33" s="92">
        <f t="shared" si="2"/>
        <v>88.357855472403173</v>
      </c>
      <c r="K33" s="92">
        <f t="shared" si="2"/>
        <v>86.797340426818266</v>
      </c>
      <c r="L33" s="235">
        <v>58897498</v>
      </c>
      <c r="M33" s="234">
        <f t="shared" si="10"/>
        <v>5112146184.1938477</v>
      </c>
      <c r="N33" s="92">
        <f t="shared" si="4"/>
        <v>5.0546393106094475E-2</v>
      </c>
      <c r="O33" s="92">
        <f t="shared" si="5"/>
        <v>14.170112957362122</v>
      </c>
      <c r="Q33" s="289">
        <f t="shared" si="9"/>
        <v>6.7743762175790742E-2</v>
      </c>
    </row>
    <row r="34" spans="1:17">
      <c r="A34" t="str">
        <f>'GDP Durban'!A34</f>
        <v>2008q4</v>
      </c>
      <c r="B34" s="7">
        <v>39679.286244765506</v>
      </c>
      <c r="C34" s="7">
        <v>242968.67667019999</v>
      </c>
      <c r="D34" s="234">
        <f>'GDP Durban'!D34</f>
        <v>462381807000</v>
      </c>
      <c r="E34" s="234">
        <f>'GDP Durban'!E34</f>
        <v>74970333061.794556</v>
      </c>
      <c r="F34" s="235">
        <v>5460259824</v>
      </c>
      <c r="G34" s="235">
        <v>899391940</v>
      </c>
      <c r="H34" s="92">
        <f t="shared" si="0"/>
        <v>16.213945256240272</v>
      </c>
      <c r="I34" s="92">
        <f t="shared" si="1"/>
        <v>16.47159602271703</v>
      </c>
      <c r="J34" s="92">
        <f t="shared" si="2"/>
        <v>84.681282924971669</v>
      </c>
      <c r="K34" s="92">
        <f t="shared" si="2"/>
        <v>83.356687699241064</v>
      </c>
      <c r="L34" s="235">
        <v>56355682</v>
      </c>
      <c r="M34" s="234">
        <f t="shared" si="10"/>
        <v>4697622984.5517406</v>
      </c>
      <c r="N34" s="92">
        <f t="shared" si="4"/>
        <v>-8.1085944084260309</v>
      </c>
      <c r="O34" s="92">
        <f t="shared" si="5"/>
        <v>2.8791876748986271</v>
      </c>
      <c r="Q34" s="289">
        <f t="shared" si="9"/>
        <v>6.265975876990848E-2</v>
      </c>
    </row>
    <row r="35" spans="1:17">
      <c r="A35" t="str">
        <f>'GDP Durban'!A35</f>
        <v>2009q1</v>
      </c>
      <c r="B35" s="7">
        <v>39679.286244765506</v>
      </c>
      <c r="C35" s="7">
        <v>242968.67667019999</v>
      </c>
      <c r="D35" s="234">
        <f>'GDP Durban'!D35</f>
        <v>433798089999.99994</v>
      </c>
      <c r="E35" s="234">
        <f>'GDP Durban'!E35</f>
        <v>70528747919.669891</v>
      </c>
      <c r="F35" s="235">
        <v>5206564996</v>
      </c>
      <c r="G35" s="235">
        <v>842784368</v>
      </c>
      <c r="H35" s="92">
        <f t="shared" si="0"/>
        <v>16.258427490925538</v>
      </c>
      <c r="I35" s="92">
        <f t="shared" si="1"/>
        <v>16.186955673221753</v>
      </c>
      <c r="J35" s="92">
        <f t="shared" si="2"/>
        <v>83.31752130882262</v>
      </c>
      <c r="K35" s="92">
        <f t="shared" si="2"/>
        <v>83.685401150760185</v>
      </c>
      <c r="L35" s="235">
        <v>47397662</v>
      </c>
      <c r="M35" s="234">
        <f t="shared" si="10"/>
        <v>3966492358.0781422</v>
      </c>
      <c r="N35" s="92">
        <f t="shared" si="4"/>
        <v>-15.563842157575037</v>
      </c>
      <c r="O35" s="92">
        <f t="shared" si="5"/>
        <v>-11.587143150815711</v>
      </c>
      <c r="Q35" s="289">
        <f t="shared" si="9"/>
        <v>5.6239370116081697E-2</v>
      </c>
    </row>
    <row r="36" spans="1:17">
      <c r="A36" t="str">
        <f>'GDP Durban'!A36</f>
        <v>2009q2</v>
      </c>
      <c r="B36" s="7">
        <v>39679.286244765506</v>
      </c>
      <c r="C36" s="7">
        <v>242968.67667019999</v>
      </c>
      <c r="D36" s="234">
        <f>'GDP Durban'!D36</f>
        <v>442774057999.99988</v>
      </c>
      <c r="E36" s="234">
        <f>'GDP Durban'!E36</f>
        <v>72534525097.567886</v>
      </c>
      <c r="F36" s="235">
        <v>4994646966</v>
      </c>
      <c r="G36" s="235">
        <v>831381344</v>
      </c>
      <c r="H36" s="92">
        <f t="shared" si="0"/>
        <v>16.381837144028864</v>
      </c>
      <c r="I36" s="92">
        <f t="shared" si="1"/>
        <v>16.645447609399667</v>
      </c>
      <c r="J36" s="92">
        <f t="shared" si="2"/>
        <v>88.649720593685672</v>
      </c>
      <c r="K36" s="92">
        <f t="shared" si="2"/>
        <v>87.245793547140124</v>
      </c>
      <c r="L36" s="235">
        <v>46925596</v>
      </c>
      <c r="M36" s="234">
        <f t="shared" si="10"/>
        <v>4094060860.6925044</v>
      </c>
      <c r="N36" s="92">
        <f t="shared" si="4"/>
        <v>3.2161539995042911</v>
      </c>
      <c r="O36" s="92">
        <f t="shared" si="5"/>
        <v>-19.874547534381865</v>
      </c>
      <c r="Q36" s="289">
        <f t="shared" si="9"/>
        <v>5.6442926388302499E-2</v>
      </c>
    </row>
    <row r="37" spans="1:17">
      <c r="A37" t="str">
        <f>'GDP Durban'!A37</f>
        <v>2009q3</v>
      </c>
      <c r="B37" s="7">
        <v>39679.286244765506</v>
      </c>
      <c r="C37" s="7">
        <v>242968.67667019999</v>
      </c>
      <c r="D37" s="234">
        <f>'GDP Durban'!D37</f>
        <v>450502489000.00006</v>
      </c>
      <c r="E37" s="234">
        <f>'GDP Durban'!E37</f>
        <v>73855969771.98941</v>
      </c>
      <c r="F37" s="235">
        <v>5002707417</v>
      </c>
      <c r="G37" s="235">
        <v>835393434</v>
      </c>
      <c r="H37" s="92">
        <f t="shared" si="0"/>
        <v>16.39413134784909</v>
      </c>
      <c r="I37" s="92">
        <f t="shared" si="1"/>
        <v>16.698826542627685</v>
      </c>
      <c r="J37" s="92">
        <f>D37/F37</f>
        <v>90.051736279663402</v>
      </c>
      <c r="K37" s="92">
        <f>E37/G37</f>
        <v>88.408606970197241</v>
      </c>
      <c r="L37" s="235">
        <v>49355219</v>
      </c>
      <c r="M37" s="234">
        <f t="shared" si="10"/>
        <v>4363426158.499011</v>
      </c>
      <c r="N37" s="92">
        <f t="shared" ref="N37:N46" si="11">(M37-M36)/M36*100</f>
        <v>6.5794160607799048</v>
      </c>
      <c r="O37" s="92">
        <f t="shared" ref="O37:O46" si="12">(M37-M33)/M33*100</f>
        <v>-14.64590406295091</v>
      </c>
      <c r="Q37" s="289">
        <f t="shared" si="9"/>
        <v>5.9080209385509723E-2</v>
      </c>
    </row>
    <row r="38" spans="1:17">
      <c r="A38" t="str">
        <f>'GDP Durban'!A38</f>
        <v>2009q4</v>
      </c>
      <c r="B38" s="7">
        <v>39679.286244765506</v>
      </c>
      <c r="C38" s="7">
        <v>242968.67667019999</v>
      </c>
      <c r="D38" s="234">
        <f>'GDP Durban'!D38</f>
        <v>459824142000</v>
      </c>
      <c r="E38" s="234">
        <f>'GDP Durban'!E38</f>
        <v>74797338159.696762</v>
      </c>
      <c r="F38" s="235">
        <v>5074816265</v>
      </c>
      <c r="G38" s="235">
        <v>901763015</v>
      </c>
      <c r="H38" s="92">
        <f t="shared" si="0"/>
        <v>16.266509590898508</v>
      </c>
      <c r="I38" s="92">
        <f>G38/F38*100</f>
        <v>17.769372680924043</v>
      </c>
      <c r="J38" s="92">
        <f>D38/F38</f>
        <v>90.609022669710384</v>
      </c>
      <c r="K38" s="92">
        <f>E38/G38</f>
        <v>82.94567077548281</v>
      </c>
      <c r="L38" s="235">
        <v>53466632</v>
      </c>
      <c r="M38" s="234">
        <f t="shared" si="10"/>
        <v>4434825655.3458939</v>
      </c>
      <c r="N38" s="92">
        <f t="shared" si="11"/>
        <v>1.6363172941018387</v>
      </c>
      <c r="O38" s="92">
        <f t="shared" si="12"/>
        <v>-5.5942618228423795</v>
      </c>
      <c r="Q38" s="289">
        <f t="shared" si="9"/>
        <v>5.9291222982792213E-2</v>
      </c>
    </row>
    <row r="39" spans="1:17">
      <c r="A39" t="str">
        <f>'GDP Durban'!A39</f>
        <v>2010q1</v>
      </c>
      <c r="B39" s="7">
        <v>39679.286244765506</v>
      </c>
      <c r="C39" s="7">
        <v>242968.67667019999</v>
      </c>
      <c r="D39" s="234">
        <f>'GDP Durban'!D39</f>
        <v>443937100999.99994</v>
      </c>
      <c r="E39" s="234">
        <f>'GDP Durban'!E39</f>
        <v>72421686265.048981</v>
      </c>
      <c r="F39" s="235"/>
      <c r="G39" s="235"/>
      <c r="H39" s="92"/>
      <c r="I39" s="92"/>
      <c r="J39" s="92"/>
      <c r="K39" s="92"/>
      <c r="L39" s="235"/>
      <c r="M39" s="288">
        <f t="shared" ref="M39:M46" si="13">E39*Q39</f>
        <v>4375595021.4384794</v>
      </c>
      <c r="N39" s="92">
        <f t="shared" si="11"/>
        <v>-1.3355797614279552</v>
      </c>
      <c r="O39" s="92">
        <f t="shared" si="12"/>
        <v>10.313965751809921</v>
      </c>
      <c r="Q39" s="289">
        <f>(Q27+Q31+Q35)/3</f>
        <v>6.0418297986388647E-2</v>
      </c>
    </row>
    <row r="40" spans="1:17">
      <c r="A40" t="str">
        <f>'GDP Durban'!A40</f>
        <v>2010q2</v>
      </c>
      <c r="B40" s="7">
        <v>39679.286244765506</v>
      </c>
      <c r="C40" s="7">
        <v>242968.67667019999</v>
      </c>
      <c r="D40" s="234">
        <f>'GDP Durban'!D40</f>
        <v>457733272000</v>
      </c>
      <c r="E40" s="234">
        <f>'GDP Durban'!E40</f>
        <v>75739547217.177216</v>
      </c>
      <c r="F40" s="235"/>
      <c r="G40" s="235"/>
      <c r="H40" s="92"/>
      <c r="I40" s="92"/>
      <c r="J40" s="92"/>
      <c r="K40" s="92"/>
      <c r="L40" s="235"/>
      <c r="M40" s="288">
        <f t="shared" si="13"/>
        <v>4715135358.6932659</v>
      </c>
      <c r="N40" s="92">
        <f t="shared" si="11"/>
        <v>7.7598666145104636</v>
      </c>
      <c r="O40" s="92">
        <f t="shared" si="12"/>
        <v>15.170133496640489</v>
      </c>
      <c r="Q40" s="289">
        <f t="shared" ref="Q40:Q54" si="14">(Q28+Q32+Q36)/3</f>
        <v>6.2254601881537329E-2</v>
      </c>
    </row>
    <row r="41" spans="1:17">
      <c r="A41" t="str">
        <f>'GDP Durban'!A41</f>
        <v>2010q3</v>
      </c>
      <c r="B41" s="7">
        <v>39679.286244765506</v>
      </c>
      <c r="C41" s="7">
        <v>242968.67667019999</v>
      </c>
      <c r="D41" s="234">
        <f>'GDP Durban'!D41</f>
        <v>465818166999.99994</v>
      </c>
      <c r="E41" s="234">
        <f>'GDP Durban'!E41</f>
        <v>76759950921.38913</v>
      </c>
      <c r="F41" s="235"/>
      <c r="G41" s="235"/>
      <c r="H41" s="92"/>
      <c r="I41" s="92"/>
      <c r="J41" s="92"/>
      <c r="K41" s="92"/>
      <c r="L41" s="235"/>
      <c r="M41" s="288">
        <f t="shared" si="13"/>
        <v>4830633544.052166</v>
      </c>
      <c r="N41" s="92">
        <f t="shared" si="11"/>
        <v>2.4495200364917791</v>
      </c>
      <c r="O41" s="92">
        <f t="shared" si="12"/>
        <v>10.707351713587176</v>
      </c>
      <c r="Q41" s="289">
        <f t="shared" si="14"/>
        <v>6.2931691410267845E-2</v>
      </c>
    </row>
    <row r="42" spans="1:17">
      <c r="A42" t="str">
        <f>'GDP Durban'!A42</f>
        <v>2010q4</v>
      </c>
      <c r="B42" s="7">
        <v>39679.286244765506</v>
      </c>
      <c r="C42" s="7">
        <v>242968.67667019999</v>
      </c>
      <c r="D42" s="234">
        <f>'GDP Durban'!D42</f>
        <v>475519782000</v>
      </c>
      <c r="E42" s="234">
        <f>'GDP Durban'!E42</f>
        <v>77696629793.574066</v>
      </c>
      <c r="F42" s="235"/>
      <c r="G42" s="235"/>
      <c r="H42" s="92"/>
      <c r="I42" s="92"/>
      <c r="J42" s="92"/>
      <c r="K42" s="92"/>
      <c r="L42" s="235"/>
      <c r="M42" s="288">
        <f t="shared" si="13"/>
        <v>4763375368.0714808</v>
      </c>
      <c r="N42" s="92">
        <f t="shared" si="11"/>
        <v>-1.3923261900811847</v>
      </c>
      <c r="O42" s="92">
        <f t="shared" si="12"/>
        <v>7.4084020040233511</v>
      </c>
      <c r="Q42" s="289">
        <f t="shared" si="14"/>
        <v>6.1307361474067928E-2</v>
      </c>
    </row>
    <row r="43" spans="1:17">
      <c r="A43" t="str">
        <f>'GDP Durban'!A43</f>
        <v>2011q1</v>
      </c>
      <c r="B43" s="7">
        <v>39679.286244765506</v>
      </c>
      <c r="C43" s="7">
        <v>242968.67667019999</v>
      </c>
      <c r="D43" s="234">
        <f>'GDP Durban'!D43</f>
        <v>460862825000</v>
      </c>
      <c r="E43" s="234">
        <f>'GDP Durban'!E43</f>
        <v>75199993433.368515</v>
      </c>
      <c r="F43" s="235"/>
      <c r="G43" s="235"/>
      <c r="H43" s="92"/>
      <c r="I43" s="92"/>
      <c r="J43" s="92"/>
      <c r="K43" s="92"/>
      <c r="L43" s="235"/>
      <c r="M43" s="288">
        <f t="shared" si="13"/>
        <v>4504531977.840559</v>
      </c>
      <c r="N43" s="92">
        <f t="shared" si="11"/>
        <v>-5.434033017131676</v>
      </c>
      <c r="O43" s="92">
        <f t="shared" si="12"/>
        <v>2.9467296623738157</v>
      </c>
      <c r="Q43" s="289">
        <f t="shared" si="14"/>
        <v>5.9900696425350501E-2</v>
      </c>
    </row>
    <row r="44" spans="1:17">
      <c r="A44" t="str">
        <f>'GDP Durban'!A44</f>
        <v>2011q2</v>
      </c>
      <c r="B44" s="7">
        <v>39679.286244765506</v>
      </c>
      <c r="C44" s="7">
        <v>242968.67667019999</v>
      </c>
      <c r="D44" s="234">
        <f>'GDP Durban'!D44</f>
        <v>474374351999.99994</v>
      </c>
      <c r="E44" s="234">
        <f>'GDP Durban'!E44</f>
        <v>78146804841.01947</v>
      </c>
      <c r="F44" s="235"/>
      <c r="G44" s="235"/>
      <c r="H44" s="92"/>
      <c r="I44" s="92"/>
      <c r="J44" s="92"/>
      <c r="K44" s="92"/>
      <c r="L44" s="235"/>
      <c r="M44" s="288">
        <f t="shared" si="13"/>
        <v>4872383076.2236681</v>
      </c>
      <c r="N44" s="92">
        <f t="shared" si="11"/>
        <v>8.1662445775211108</v>
      </c>
      <c r="O44" s="92">
        <f t="shared" si="12"/>
        <v>3.3349565933560221</v>
      </c>
      <c r="Q44" s="289">
        <f t="shared" si="14"/>
        <v>6.2349101618882068E-2</v>
      </c>
    </row>
    <row r="45" spans="1:17">
      <c r="A45" t="str">
        <f>'GDP Durban'!A45</f>
        <v>2011q3</v>
      </c>
      <c r="B45" s="7">
        <v>39679.286244765506</v>
      </c>
      <c r="C45" s="7">
        <v>242968.67667019999</v>
      </c>
      <c r="D45" s="234">
        <f>'GDP Durban'!D45</f>
        <v>481033335999.99994</v>
      </c>
      <c r="E45" s="234">
        <f>'GDP Durban'!E45</f>
        <v>79336356144.022598</v>
      </c>
      <c r="F45" s="235"/>
      <c r="G45" s="235"/>
      <c r="H45" s="92"/>
      <c r="I45" s="92"/>
      <c r="J45" s="92"/>
      <c r="K45" s="92"/>
      <c r="L45" s="235"/>
      <c r="M45" s="288">
        <f t="shared" si="13"/>
        <v>5018174285.9524879</v>
      </c>
      <c r="N45" s="92">
        <f t="shared" si="11"/>
        <v>2.9921951424602491</v>
      </c>
      <c r="O45" s="92">
        <f t="shared" si="12"/>
        <v>3.8823218567518127</v>
      </c>
      <c r="Q45" s="289">
        <f t="shared" si="14"/>
        <v>6.3251887657189435E-2</v>
      </c>
    </row>
    <row r="46" spans="1:17">
      <c r="A46" t="str">
        <f>'GDP Durban'!A46</f>
        <v>2011q4</v>
      </c>
      <c r="B46" s="7">
        <v>39679.286244765506</v>
      </c>
      <c r="C46" s="7">
        <v>242968.67667019999</v>
      </c>
      <c r="D46" s="234">
        <f>'GDP Durban'!D46</f>
        <v>493072837000</v>
      </c>
      <c r="E46" s="234">
        <f>'GDP Durban'!E46</f>
        <v>80704714857.85849</v>
      </c>
      <c r="F46" s="235"/>
      <c r="G46" s="235"/>
      <c r="H46" s="92"/>
      <c r="I46" s="92"/>
      <c r="J46" s="92"/>
      <c r="K46" s="92"/>
      <c r="L46" s="235"/>
      <c r="M46" s="288">
        <f t="shared" si="13"/>
        <v>4929937445.1466417</v>
      </c>
      <c r="N46" s="92">
        <f t="shared" si="11"/>
        <v>-1.7583454814004769</v>
      </c>
      <c r="O46" s="92">
        <f t="shared" si="12"/>
        <v>3.4967237348459475</v>
      </c>
      <c r="Q46" s="289">
        <f t="shared" si="14"/>
        <v>6.1086114408922872E-2</v>
      </c>
    </row>
    <row r="47" spans="1:17">
      <c r="A47" t="str">
        <f>'GDP Durban'!A47</f>
        <v>2012q1</v>
      </c>
      <c r="B47" s="7">
        <v>39679.286244765506</v>
      </c>
      <c r="C47" s="7">
        <v>242968.67667019999</v>
      </c>
      <c r="D47" s="234">
        <f>'GDP Durban'!D47</f>
        <v>473284397000</v>
      </c>
      <c r="E47" s="234">
        <f>'GDP Durban'!E47</f>
        <v>77631579507.842682</v>
      </c>
      <c r="F47" s="235"/>
      <c r="G47" s="235"/>
      <c r="H47" s="92"/>
      <c r="I47" s="92"/>
      <c r="J47" s="92"/>
      <c r="K47" s="92"/>
      <c r="L47" s="235"/>
      <c r="M47" s="288">
        <f t="shared" ref="M47:M50" si="15">E47*Q47</f>
        <v>4568834904.5387316</v>
      </c>
      <c r="N47" s="92">
        <f t="shared" ref="N47:N50" si="16">(M47-M46)/M46*100</f>
        <v>-7.3246880842961506</v>
      </c>
      <c r="O47" s="92">
        <f t="shared" ref="O47:O50" si="17">(M47-M43)/M43*100</f>
        <v>1.4275162661626599</v>
      </c>
      <c r="Q47" s="289">
        <f t="shared" si="14"/>
        <v>5.8852788175940279E-2</v>
      </c>
    </row>
    <row r="48" spans="1:17">
      <c r="A48" t="str">
        <f>'GDP Durban'!A48</f>
        <v>2012q2</v>
      </c>
      <c r="B48" s="7">
        <v>39679.286244765506</v>
      </c>
      <c r="C48" s="7">
        <v>242968.67667019999</v>
      </c>
      <c r="D48" s="234">
        <f>'GDP Durban'!D48</f>
        <v>488293724000.00006</v>
      </c>
      <c r="E48" s="234">
        <f>'GDP Durban'!E48</f>
        <v>80708192955.819916</v>
      </c>
      <c r="F48" s="235"/>
      <c r="G48" s="235"/>
      <c r="H48" s="92"/>
      <c r="I48" s="92"/>
      <c r="J48" s="92"/>
      <c r="K48" s="92"/>
      <c r="L48" s="235"/>
      <c r="M48" s="288">
        <f t="shared" si="15"/>
        <v>4870648779.6866264</v>
      </c>
      <c r="N48" s="92">
        <f t="shared" si="16"/>
        <v>6.6059264879120407</v>
      </c>
      <c r="O48" s="92">
        <f t="shared" si="17"/>
        <v>-3.5594420839049207E-2</v>
      </c>
      <c r="Q48" s="289">
        <f t="shared" si="14"/>
        <v>6.0348876629573965E-2</v>
      </c>
    </row>
    <row r="49" spans="1:17">
      <c r="A49" t="str">
        <f>'GDP Durban'!A49</f>
        <v>2012q3</v>
      </c>
      <c r="B49" s="7">
        <v>39679.286244765506</v>
      </c>
      <c r="C49" s="7">
        <v>242968.67667019999</v>
      </c>
      <c r="D49" s="234">
        <f>'GDP Durban'!D49</f>
        <v>491517195000</v>
      </c>
      <c r="E49" s="234">
        <f>'GDP Durban'!E49</f>
        <v>81187502547.664658</v>
      </c>
      <c r="F49" s="235"/>
      <c r="G49" s="235"/>
      <c r="H49" s="92"/>
      <c r="I49" s="92"/>
      <c r="J49" s="92"/>
      <c r="K49" s="92"/>
      <c r="L49" s="235"/>
      <c r="M49" s="288">
        <f t="shared" si="15"/>
        <v>5013701432.3384209</v>
      </c>
      <c r="N49" s="92">
        <f t="shared" si="16"/>
        <v>2.9370348617294129</v>
      </c>
      <c r="O49" s="92">
        <f t="shared" si="17"/>
        <v>-8.9133086241903928E-2</v>
      </c>
      <c r="Q49" s="289">
        <f t="shared" si="14"/>
        <v>6.1754596150988994E-2</v>
      </c>
    </row>
    <row r="50" spans="1:17">
      <c r="A50" t="str">
        <f>'GDP Durban'!A50</f>
        <v>2012q4</v>
      </c>
      <c r="B50" s="7">
        <v>39679.286244765506</v>
      </c>
      <c r="C50" s="7">
        <v>242968.67667019999</v>
      </c>
      <c r="D50" s="234">
        <f>'GDP Durban'!D50</f>
        <v>503348264999.99994</v>
      </c>
      <c r="E50" s="234">
        <f>'GDP Durban'!E50</f>
        <v>82654977409.226288</v>
      </c>
      <c r="F50" s="235"/>
      <c r="G50" s="235"/>
      <c r="H50" s="92"/>
      <c r="I50" s="92"/>
      <c r="J50" s="92"/>
      <c r="K50" s="92"/>
      <c r="L50" s="235"/>
      <c r="M50" s="288">
        <f t="shared" si="15"/>
        <v>5005714893.4511251</v>
      </c>
      <c r="N50" s="92">
        <f t="shared" si="16"/>
        <v>-0.15929426582489481</v>
      </c>
      <c r="O50" s="92">
        <f t="shared" si="17"/>
        <v>1.5370874204313438</v>
      </c>
      <c r="Q50" s="289">
        <f t="shared" si="14"/>
        <v>6.0561566288594333E-2</v>
      </c>
    </row>
    <row r="51" spans="1:17">
      <c r="A51" t="str">
        <f>'GDP Durban'!A51</f>
        <v>2013q1</v>
      </c>
      <c r="B51" s="7">
        <v>39679.286244765506</v>
      </c>
      <c r="C51" s="7">
        <v>242968.67667019999</v>
      </c>
      <c r="D51" s="234">
        <f>'GDP Durban'!D51</f>
        <v>480893886285.29028</v>
      </c>
      <c r="E51" s="234">
        <f>'GDP Durban'!E51</f>
        <v>78747632494.84906</v>
      </c>
      <c r="F51" s="235"/>
      <c r="G51" s="235"/>
      <c r="H51" s="92"/>
      <c r="I51" s="92"/>
      <c r="J51" s="92"/>
      <c r="K51" s="92"/>
      <c r="L51" s="235"/>
      <c r="M51" s="288">
        <f t="shared" ref="M51:M54" si="18">E51*Q51</f>
        <v>4703117896.2205257</v>
      </c>
      <c r="N51" s="92">
        <f t="shared" ref="N51:N54" si="19">(M51-M50)/M50*100</f>
        <v>-6.0450306034504857</v>
      </c>
      <c r="O51" s="92">
        <f t="shared" ref="O51:O54" si="20">(M51-M47)/M47*100</f>
        <v>2.9391079889622613</v>
      </c>
      <c r="Q51" s="289">
        <f t="shared" si="14"/>
        <v>5.9723927529226478E-2</v>
      </c>
    </row>
    <row r="52" spans="1:17">
      <c r="A52" t="str">
        <f>'GDP Durban'!A52</f>
        <v>2013q2</v>
      </c>
      <c r="B52" s="7">
        <v>39679.286244765506</v>
      </c>
      <c r="C52" s="7">
        <v>242968.67667019999</v>
      </c>
      <c r="D52" s="234">
        <f>'GDP Durban'!D52</f>
        <v>499484699761.94434</v>
      </c>
      <c r="E52" s="234">
        <f>'GDP Durban'!E52</f>
        <v>82753463447.064102</v>
      </c>
      <c r="F52" s="235"/>
      <c r="G52" s="235"/>
      <c r="H52" s="92"/>
      <c r="I52" s="92"/>
      <c r="J52" s="92"/>
      <c r="K52" s="92"/>
      <c r="L52" s="235"/>
      <c r="M52" s="288">
        <f t="shared" si="18"/>
        <v>5101822193.0758667</v>
      </c>
      <c r="N52" s="92">
        <f t="shared" si="19"/>
        <v>8.4774463590577618</v>
      </c>
      <c r="O52" s="92">
        <f t="shared" si="20"/>
        <v>4.7462550441609501</v>
      </c>
      <c r="Q52" s="289">
        <f t="shared" si="14"/>
        <v>6.1650860043331118E-2</v>
      </c>
    </row>
    <row r="53" spans="1:17">
      <c r="A53" t="str">
        <f>'GDP Durban'!A53</f>
        <v>2013q3</v>
      </c>
      <c r="B53" s="7">
        <v>39679.286244765506</v>
      </c>
      <c r="C53" s="7">
        <v>242968.67667019999</v>
      </c>
      <c r="D53" s="234">
        <f>'GDP Durban'!D53</f>
        <v>499774920452.24109</v>
      </c>
      <c r="E53" s="234">
        <f>'GDP Durban'!E53</f>
        <v>82311260048.170883</v>
      </c>
      <c r="F53" s="235"/>
      <c r="G53" s="235"/>
      <c r="H53" s="92"/>
      <c r="I53" s="92"/>
      <c r="J53" s="92"/>
      <c r="K53" s="92"/>
      <c r="L53" s="235"/>
      <c r="M53" s="288">
        <f t="shared" si="18"/>
        <v>5156476004.4614124</v>
      </c>
      <c r="N53" s="92">
        <f t="shared" si="19"/>
        <v>1.071260606842027</v>
      </c>
      <c r="O53" s="92">
        <f t="shared" si="20"/>
        <v>2.8476879616742683</v>
      </c>
      <c r="Q53" s="289">
        <f t="shared" si="14"/>
        <v>6.2646058406148758E-2</v>
      </c>
    </row>
    <row r="54" spans="1:17">
      <c r="A54" t="str">
        <f>'GDP Durban'!A54</f>
        <v>2013q4</v>
      </c>
      <c r="B54" s="7">
        <v>39679.286244765506</v>
      </c>
      <c r="C54" s="7">
        <v>242968.67667019999</v>
      </c>
      <c r="D54" s="234">
        <f>'GDP Durban'!D54</f>
        <v>513279157606.09894</v>
      </c>
      <c r="E54" s="234">
        <f>'GDP Durban'!E54</f>
        <v>83974079876.575684</v>
      </c>
      <c r="F54" s="235"/>
      <c r="G54" s="235"/>
      <c r="H54" s="92"/>
      <c r="I54" s="92"/>
      <c r="J54" s="92"/>
      <c r="K54" s="92"/>
      <c r="L54" s="235"/>
      <c r="M54" s="288">
        <f t="shared" si="18"/>
        <v>5121160441.7129869</v>
      </c>
      <c r="N54" s="92">
        <f t="shared" si="19"/>
        <v>-0.68487786460889677</v>
      </c>
      <c r="O54" s="92">
        <f t="shared" si="20"/>
        <v>2.3062749421245874</v>
      </c>
      <c r="Q54" s="289">
        <f t="shared" si="14"/>
        <v>6.0985014057195037E-2</v>
      </c>
    </row>
    <row r="55" spans="1:17">
      <c r="M55" s="92"/>
    </row>
    <row r="56" spans="1:17">
      <c r="M56" s="92"/>
    </row>
    <row r="57" spans="1:17">
      <c r="M57" s="92"/>
    </row>
    <row r="58" spans="1:17">
      <c r="M58" s="92"/>
    </row>
  </sheetData>
  <mergeCells count="2">
    <mergeCell ref="D1:O1"/>
    <mergeCell ref="R11:T11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58"/>
  <sheetViews>
    <sheetView topLeftCell="A2" workbookViewId="0">
      <selection activeCell="A2" sqref="A2"/>
    </sheetView>
  </sheetViews>
  <sheetFormatPr defaultRowHeight="12.75"/>
  <cols>
    <col min="1" max="1" width="7.5" style="7" bestFit="1" customWidth="1"/>
    <col min="2" max="2" width="9" style="7" hidden="1" customWidth="1"/>
    <col min="3" max="3" width="16.5" style="7" hidden="1" customWidth="1"/>
    <col min="4" max="4" width="17.125" style="7" customWidth="1"/>
    <col min="5" max="5" width="15.5" style="7" bestFit="1" customWidth="1"/>
    <col min="6" max="6" width="13.75" style="7" hidden="1" customWidth="1"/>
    <col min="7" max="7" width="14.125" style="7" hidden="1" customWidth="1"/>
    <col min="8" max="8" width="10.375" style="7" hidden="1" customWidth="1"/>
    <col min="9" max="9" width="8" style="7" hidden="1" customWidth="1"/>
    <col min="10" max="10" width="7.875" style="7" hidden="1" customWidth="1"/>
    <col min="11" max="11" width="9.375" style="7" hidden="1" customWidth="1"/>
    <col min="12" max="12" width="11" hidden="1" customWidth="1"/>
    <col min="13" max="13" width="17.375" customWidth="1"/>
    <col min="14" max="14" width="15.75" customWidth="1"/>
    <col min="15" max="15" width="15" customWidth="1"/>
    <col min="16" max="16" width="8.375" customWidth="1"/>
    <col min="17" max="17" width="7.75" customWidth="1"/>
    <col min="19" max="19" width="15.5" bestFit="1" customWidth="1"/>
    <col min="21" max="21" width="8" customWidth="1"/>
  </cols>
  <sheetData>
    <row r="1" spans="1:20" ht="28.5" customHeight="1" thickBot="1">
      <c r="D1" s="418" t="s">
        <v>243</v>
      </c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20"/>
    </row>
    <row r="2" spans="1:20" ht="39" thickBot="1">
      <c r="C2" s="233" t="s">
        <v>214</v>
      </c>
      <c r="D2" s="241" t="s">
        <v>231</v>
      </c>
      <c r="E2" s="239" t="s">
        <v>223</v>
      </c>
      <c r="F2" s="239" t="s">
        <v>213</v>
      </c>
      <c r="G2" s="239" t="s">
        <v>212</v>
      </c>
      <c r="H2" s="239" t="s">
        <v>215</v>
      </c>
      <c r="I2" s="239" t="s">
        <v>216</v>
      </c>
      <c r="J2" s="239" t="s">
        <v>217</v>
      </c>
      <c r="K2" s="239" t="s">
        <v>218</v>
      </c>
      <c r="L2" s="239" t="s">
        <v>245</v>
      </c>
      <c r="M2" s="239" t="s">
        <v>246</v>
      </c>
      <c r="N2" s="239" t="s">
        <v>247</v>
      </c>
      <c r="O2" s="240" t="s">
        <v>244</v>
      </c>
    </row>
    <row r="3" spans="1:20" hidden="1">
      <c r="A3" t="s">
        <v>197</v>
      </c>
      <c r="B3" s="7">
        <v>37676.73632361889</v>
      </c>
      <c r="C3" s="7">
        <v>228114.65100000001</v>
      </c>
      <c r="D3" s="234">
        <v>322910910060.36981</v>
      </c>
      <c r="E3" s="234">
        <v>50112796216.986862</v>
      </c>
    </row>
    <row r="4" spans="1:20" hidden="1">
      <c r="A4" t="s">
        <v>198</v>
      </c>
      <c r="B4" s="7">
        <v>39785.998991779808</v>
      </c>
      <c r="C4" s="7">
        <v>237077.625</v>
      </c>
      <c r="D4" s="234">
        <v>334720112818.65576</v>
      </c>
      <c r="E4" s="234">
        <v>52845129483.895035</v>
      </c>
    </row>
    <row r="5" spans="1:20" hidden="1">
      <c r="A5" t="s">
        <v>199</v>
      </c>
      <c r="B5" s="7">
        <v>40039.788367970163</v>
      </c>
      <c r="C5" s="7">
        <v>239764.666</v>
      </c>
      <c r="D5" s="234">
        <v>338640978501.02924</v>
      </c>
      <c r="E5" s="234">
        <v>53165072537.585495</v>
      </c>
    </row>
    <row r="6" spans="1:20" hidden="1">
      <c r="A6" t="s">
        <v>196</v>
      </c>
      <c r="B6" s="7">
        <v>40074.592176024802</v>
      </c>
      <c r="C6" s="7">
        <v>242416.25599999999</v>
      </c>
      <c r="D6" s="234">
        <v>342446668348.70929</v>
      </c>
      <c r="E6" s="234">
        <v>53231276652.014305</v>
      </c>
    </row>
    <row r="7" spans="1:20" hidden="1">
      <c r="A7" t="s">
        <v>193</v>
      </c>
      <c r="B7" s="7">
        <v>38164.553783353913</v>
      </c>
      <c r="C7" s="7">
        <v>234422.22595000002</v>
      </c>
      <c r="D7" s="234">
        <v>333305590430.95892</v>
      </c>
      <c r="E7" s="234">
        <v>51711374534.346764</v>
      </c>
      <c r="F7" s="235">
        <v>4118958622</v>
      </c>
      <c r="G7" s="235">
        <v>674878797</v>
      </c>
      <c r="H7" s="92">
        <f>E7/D7*100</f>
        <v>15.514703629028473</v>
      </c>
      <c r="I7" s="92">
        <f>G7/F7*100</f>
        <v>16.384694747729856</v>
      </c>
      <c r="J7" s="92">
        <f>D7/F7</f>
        <v>80.919868592687919</v>
      </c>
      <c r="K7" s="92">
        <f>E7/G7</f>
        <v>76.623202216777841</v>
      </c>
      <c r="M7" s="234">
        <f>E7*$L$26</f>
        <v>1579132763.2632537</v>
      </c>
    </row>
    <row r="8" spans="1:20" hidden="1">
      <c r="A8" t="s">
        <v>194</v>
      </c>
      <c r="B8" s="7">
        <v>40899.509629239452</v>
      </c>
      <c r="C8" s="7">
        <v>246691.99999189001</v>
      </c>
      <c r="D8" s="234">
        <v>347204329137.22797</v>
      </c>
      <c r="E8" s="234">
        <v>54878905030.490082</v>
      </c>
      <c r="F8" s="235">
        <v>4128329079</v>
      </c>
      <c r="G8" s="235">
        <v>697677279</v>
      </c>
      <c r="H8" s="92">
        <f t="shared" ref="H8:H38" si="0">E8/D8*100</f>
        <v>15.80593916177811</v>
      </c>
      <c r="I8" s="92">
        <f t="shared" ref="I8:I37" si="1">G8/F8*100</f>
        <v>16.899749648082743</v>
      </c>
      <c r="J8" s="92">
        <f t="shared" ref="J8:K36" si="2">D8/F8</f>
        <v>84.102871281116677</v>
      </c>
      <c r="K8" s="92">
        <f t="shared" si="2"/>
        <v>78.659441381192067</v>
      </c>
      <c r="M8" s="234">
        <f t="shared" ref="M8:M30" si="3">E8*$L$26</f>
        <v>1675861021.4102716</v>
      </c>
      <c r="N8" s="92">
        <f>(M8-M7)/M7*100</f>
        <v>6.1254037910739374</v>
      </c>
    </row>
    <row r="9" spans="1:20" hidden="1">
      <c r="A9" t="s">
        <v>195</v>
      </c>
      <c r="B9" s="7">
        <v>40843.515709009815</v>
      </c>
      <c r="C9" s="7">
        <v>248774.73830440003</v>
      </c>
      <c r="D9" s="234">
        <v>350396669892.96594</v>
      </c>
      <c r="E9" s="234">
        <v>54975894517.663895</v>
      </c>
      <c r="F9" s="235">
        <v>4479766142</v>
      </c>
      <c r="G9" s="235">
        <v>748604188</v>
      </c>
      <c r="H9" s="92">
        <f t="shared" si="0"/>
        <v>15.68961672337158</v>
      </c>
      <c r="I9" s="92">
        <f t="shared" si="1"/>
        <v>16.71078722126741</v>
      </c>
      <c r="J9" s="92">
        <f t="shared" si="2"/>
        <v>78.217625381786263</v>
      </c>
      <c r="K9" s="92">
        <f t="shared" si="2"/>
        <v>73.43786663088224</v>
      </c>
      <c r="M9" s="234">
        <f t="shared" si="3"/>
        <v>1678822831.6167772</v>
      </c>
      <c r="N9" s="92">
        <f t="shared" ref="N9:N36" si="4">(M9-M8)/M8*100</f>
        <v>0.17673364131430855</v>
      </c>
    </row>
    <row r="10" spans="1:20" ht="13.5" hidden="1" thickBot="1">
      <c r="A10" t="s">
        <v>192</v>
      </c>
      <c r="B10" s="7">
        <v>41049.652983244421</v>
      </c>
      <c r="C10" s="7">
        <v>252232.9458972</v>
      </c>
      <c r="D10" s="234">
        <v>355528420538.84723</v>
      </c>
      <c r="E10" s="234">
        <v>55380505788.006569</v>
      </c>
      <c r="F10" s="235">
        <v>4393645140</v>
      </c>
      <c r="G10" s="235">
        <v>741841930</v>
      </c>
      <c r="H10" s="92">
        <f t="shared" si="0"/>
        <v>15.576956043083861</v>
      </c>
      <c r="I10" s="92">
        <f t="shared" si="1"/>
        <v>16.884429815376485</v>
      </c>
      <c r="J10" s="92">
        <f t="shared" si="2"/>
        <v>80.918783654623326</v>
      </c>
      <c r="K10" s="92">
        <f t="shared" si="2"/>
        <v>74.65270369390764</v>
      </c>
      <c r="M10" s="234">
        <f t="shared" si="3"/>
        <v>1691178622.1780841</v>
      </c>
      <c r="N10" s="92">
        <f t="shared" si="4"/>
        <v>0.73597942133106475</v>
      </c>
    </row>
    <row r="11" spans="1:20" ht="15.75" thickBot="1">
      <c r="A11" t="str">
        <f>'GDP Durban'!A11</f>
        <v>2003q1</v>
      </c>
      <c r="B11" s="7">
        <v>39679.286244765506</v>
      </c>
      <c r="C11" s="7">
        <v>242968.67667019999</v>
      </c>
      <c r="D11" s="234">
        <f>'GDP Durban'!D11</f>
        <v>343994759999.99994</v>
      </c>
      <c r="E11" s="234">
        <f>'GDP Durban'!E11</f>
        <v>55181294713.915733</v>
      </c>
      <c r="F11" s="235">
        <v>4324510166.1150007</v>
      </c>
      <c r="G11" s="235">
        <v>733454143.19999993</v>
      </c>
      <c r="H11" s="92">
        <f t="shared" si="0"/>
        <v>16.041318395058035</v>
      </c>
      <c r="I11" s="92">
        <f t="shared" si="1"/>
        <v>16.960398172885121</v>
      </c>
      <c r="J11" s="92">
        <f t="shared" si="2"/>
        <v>79.545369715024549</v>
      </c>
      <c r="K11" s="92">
        <f t="shared" si="2"/>
        <v>75.234825824507993</v>
      </c>
      <c r="M11" s="234">
        <f t="shared" si="3"/>
        <v>1685095226.8567557</v>
      </c>
      <c r="N11" s="92">
        <f t="shared" si="4"/>
        <v>-0.35971335266132576</v>
      </c>
      <c r="O11" s="92">
        <f>(M11-M7)/M7*100</f>
        <v>6.7101681415647558</v>
      </c>
      <c r="R11" s="421" t="s">
        <v>347</v>
      </c>
      <c r="S11" s="422"/>
      <c r="T11" s="423"/>
    </row>
    <row r="12" spans="1:20">
      <c r="A12" t="str">
        <f>'GDP Durban'!A12</f>
        <v>2003q2</v>
      </c>
      <c r="B12" s="7">
        <v>39679.286244765506</v>
      </c>
      <c r="C12" s="7">
        <v>242968.67667019999</v>
      </c>
      <c r="D12" s="234">
        <f>'GDP Durban'!D12</f>
        <v>358345100000</v>
      </c>
      <c r="E12" s="234">
        <f>'GDP Durban'!E12</f>
        <v>58708707406.102829</v>
      </c>
      <c r="F12" s="235">
        <v>4344832650.1500006</v>
      </c>
      <c r="G12" s="235">
        <v>733104993.00000012</v>
      </c>
      <c r="H12" s="92">
        <f t="shared" si="0"/>
        <v>16.383287341197864</v>
      </c>
      <c r="I12" s="92">
        <f t="shared" si="1"/>
        <v>16.873031760491177</v>
      </c>
      <c r="J12" s="92">
        <f t="shared" si="2"/>
        <v>82.476157047758448</v>
      </c>
      <c r="K12" s="92">
        <f t="shared" si="2"/>
        <v>80.082263750320436</v>
      </c>
      <c r="M12" s="234">
        <f t="shared" si="3"/>
        <v>1792813364.3447375</v>
      </c>
      <c r="N12" s="92">
        <f t="shared" si="4"/>
        <v>6.3924065400689996</v>
      </c>
      <c r="O12" s="92">
        <f t="shared" ref="O12:O36" si="5">(M12-M8)/M8*100</f>
        <v>6.9786421093586899</v>
      </c>
      <c r="R12" s="7">
        <v>2001</v>
      </c>
    </row>
    <row r="13" spans="1:20">
      <c r="A13" t="str">
        <f>'GDP Durban'!A13</f>
        <v>2003q3</v>
      </c>
      <c r="B13" s="7">
        <v>39679.286244765506</v>
      </c>
      <c r="C13" s="7">
        <v>242968.67667019999</v>
      </c>
      <c r="D13" s="234">
        <f>'GDP Durban'!D13</f>
        <v>360923000000</v>
      </c>
      <c r="E13" s="234">
        <f>'GDP Durban'!E13</f>
        <v>58465530322.692268</v>
      </c>
      <c r="F13" s="235">
        <v>4469507962.3999996</v>
      </c>
      <c r="G13" s="235">
        <v>755965791.00000012</v>
      </c>
      <c r="H13" s="92">
        <f t="shared" si="0"/>
        <v>16.198892928046224</v>
      </c>
      <c r="I13" s="92">
        <f t="shared" si="1"/>
        <v>16.913848176569036</v>
      </c>
      <c r="J13" s="92">
        <f t="shared" si="2"/>
        <v>80.752289298125461</v>
      </c>
      <c r="K13" s="92">
        <f t="shared" si="2"/>
        <v>77.338857152984929</v>
      </c>
      <c r="M13" s="234">
        <f t="shared" si="3"/>
        <v>1785387359.8506322</v>
      </c>
      <c r="N13" s="92">
        <f t="shared" si="4"/>
        <v>-0.41420956814539917</v>
      </c>
      <c r="O13" s="92">
        <f t="shared" si="5"/>
        <v>6.3475743971881107</v>
      </c>
      <c r="R13" s="7">
        <f>R12+1</f>
        <v>2002</v>
      </c>
      <c r="S13" s="284">
        <f>SUM(M7:M10)</f>
        <v>6624995238.4683867</v>
      </c>
    </row>
    <row r="14" spans="1:20">
      <c r="A14" t="str">
        <f>'GDP Durban'!A14</f>
        <v>2003q4</v>
      </c>
      <c r="B14" s="7">
        <v>39679.286244765506</v>
      </c>
      <c r="C14" s="7">
        <v>242968.67667019999</v>
      </c>
      <c r="D14" s="234">
        <f>'GDP Durban'!D14</f>
        <v>364059160000</v>
      </c>
      <c r="E14" s="234">
        <f>'GDP Durban'!E14</f>
        <v>58326547234.588341</v>
      </c>
      <c r="F14" s="235">
        <v>4792454884.6540003</v>
      </c>
      <c r="G14" s="235">
        <v>792421454</v>
      </c>
      <c r="H14" s="92">
        <f t="shared" si="0"/>
        <v>16.021172832071674</v>
      </c>
      <c r="I14" s="92">
        <f t="shared" si="1"/>
        <v>16.534771282613971</v>
      </c>
      <c r="J14" s="92">
        <f t="shared" si="2"/>
        <v>75.965067749674574</v>
      </c>
      <c r="K14" s="92">
        <f t="shared" si="2"/>
        <v>73.605462017928076</v>
      </c>
      <c r="M14" s="234">
        <f t="shared" si="3"/>
        <v>1781143172.7652814</v>
      </c>
      <c r="N14" s="92">
        <f t="shared" si="4"/>
        <v>-0.23771799783022024</v>
      </c>
      <c r="O14" s="92">
        <f t="shared" si="5"/>
        <v>5.3196362233654035</v>
      </c>
      <c r="R14" s="7">
        <f t="shared" ref="R14:R24" si="6">R13+1</f>
        <v>2003</v>
      </c>
      <c r="S14" s="284">
        <f>SUM(M11:M14)</f>
        <v>7044439123.8174076</v>
      </c>
      <c r="T14" s="92">
        <f>(S14-S13)/S13*100</f>
        <v>6.3312330084933155</v>
      </c>
    </row>
    <row r="15" spans="1:20">
      <c r="A15" t="str">
        <f>'GDP Durban'!A15</f>
        <v>2004q1</v>
      </c>
      <c r="B15" s="7">
        <v>39679.286244765506</v>
      </c>
      <c r="C15" s="7">
        <v>242968.67667019999</v>
      </c>
      <c r="D15" s="234">
        <f>'GDP Durban'!D15</f>
        <v>356887070000</v>
      </c>
      <c r="E15" s="234">
        <f>'GDP Durban'!E15</f>
        <v>57038420961.214691</v>
      </c>
      <c r="F15" s="235">
        <v>4499340550.9499998</v>
      </c>
      <c r="G15" s="235">
        <v>735941631.61000013</v>
      </c>
      <c r="H15" s="92">
        <f t="shared" si="0"/>
        <v>15.982204387851509</v>
      </c>
      <c r="I15" s="92">
        <f t="shared" si="1"/>
        <v>16.356655453755593</v>
      </c>
      <c r="J15" s="92">
        <f t="shared" si="2"/>
        <v>79.319861646090814</v>
      </c>
      <c r="K15" s="92">
        <f t="shared" si="2"/>
        <v>77.504001012190656</v>
      </c>
      <c r="M15" s="234">
        <f t="shared" si="3"/>
        <v>1741807099.8060632</v>
      </c>
      <c r="N15" s="92">
        <f t="shared" si="4"/>
        <v>-2.2084733872430795</v>
      </c>
      <c r="O15" s="92">
        <f t="shared" si="5"/>
        <v>3.3654995899011184</v>
      </c>
      <c r="R15" s="7">
        <f t="shared" si="6"/>
        <v>2004</v>
      </c>
      <c r="S15" s="284">
        <f>SUM(M15:M18)</f>
        <v>7361200884.4013243</v>
      </c>
      <c r="T15" s="92">
        <f t="shared" ref="T15:T21" si="7">(S15-S14)/S14*100</f>
        <v>4.4966214487245404</v>
      </c>
    </row>
    <row r="16" spans="1:20">
      <c r="A16" t="str">
        <f>'GDP Durban'!A16</f>
        <v>2004q2</v>
      </c>
      <c r="B16" s="7">
        <v>39679.286244765506</v>
      </c>
      <c r="C16" s="7">
        <v>242968.67667019999</v>
      </c>
      <c r="D16" s="234">
        <f>'GDP Durban'!D16</f>
        <v>371714000000</v>
      </c>
      <c r="E16" s="234">
        <f>'GDP Durban'!E16</f>
        <v>60603210461.404221</v>
      </c>
      <c r="F16" s="235">
        <v>4543677182.2600002</v>
      </c>
      <c r="G16" s="235">
        <v>765181765.9000001</v>
      </c>
      <c r="H16" s="92">
        <f t="shared" si="0"/>
        <v>16.303720188479375</v>
      </c>
      <c r="I16" s="92">
        <f t="shared" si="1"/>
        <v>16.8405838532614</v>
      </c>
      <c r="J16" s="92">
        <f t="shared" si="2"/>
        <v>81.809068974198439</v>
      </c>
      <c r="K16" s="92">
        <f t="shared" si="2"/>
        <v>79.201064586429681</v>
      </c>
      <c r="M16" s="234">
        <f t="shared" si="3"/>
        <v>1850666629.1567507</v>
      </c>
      <c r="N16" s="92">
        <f t="shared" si="4"/>
        <v>6.2498039744359852</v>
      </c>
      <c r="O16" s="92">
        <f t="shared" si="5"/>
        <v>3.2269541248739055</v>
      </c>
      <c r="R16" s="7">
        <f t="shared" si="6"/>
        <v>2005</v>
      </c>
      <c r="S16" s="284">
        <f>SUM(M19:M22)</f>
        <v>7785194747.222743</v>
      </c>
      <c r="T16" s="92">
        <f t="shared" si="7"/>
        <v>5.7598463821287433</v>
      </c>
    </row>
    <row r="17" spans="1:20">
      <c r="A17" t="str">
        <f>'GDP Durban'!A17</f>
        <v>2004q3</v>
      </c>
      <c r="B17" s="7">
        <v>39679.286244765506</v>
      </c>
      <c r="C17" s="7">
        <v>242968.67667019999</v>
      </c>
      <c r="D17" s="234">
        <f>'GDP Durban'!D17</f>
        <v>379044000000</v>
      </c>
      <c r="E17" s="234">
        <f>'GDP Durban'!E17</f>
        <v>61506209899.158623</v>
      </c>
      <c r="F17" s="235">
        <v>4775490888.2999992</v>
      </c>
      <c r="G17" s="235">
        <v>793665970.39999986</v>
      </c>
      <c r="H17" s="92">
        <f t="shared" si="0"/>
        <v>16.226667589820345</v>
      </c>
      <c r="I17" s="92">
        <f t="shared" si="1"/>
        <v>16.619568311699421</v>
      </c>
      <c r="J17" s="92">
        <f t="shared" si="2"/>
        <v>79.372782582134462</v>
      </c>
      <c r="K17" s="92">
        <f t="shared" si="2"/>
        <v>77.496342533320529</v>
      </c>
      <c r="M17" s="234">
        <f t="shared" si="3"/>
        <v>1878241916.2228324</v>
      </c>
      <c r="N17" s="92">
        <f t="shared" si="4"/>
        <v>1.4900191440014423</v>
      </c>
      <c r="O17" s="92">
        <f t="shared" si="5"/>
        <v>5.2008073127597694</v>
      </c>
      <c r="R17" s="7">
        <f t="shared" si="6"/>
        <v>2006</v>
      </c>
      <c r="S17" s="284">
        <f>SUM(M23:M26)</f>
        <v>8215955159.897131</v>
      </c>
      <c r="T17" s="92">
        <f t="shared" si="7"/>
        <v>5.5330717684108741</v>
      </c>
    </row>
    <row r="18" spans="1:20">
      <c r="A18" t="str">
        <f>'GDP Durban'!A18</f>
        <v>2004q4</v>
      </c>
      <c r="B18" s="7">
        <v>39679.286244765506</v>
      </c>
      <c r="C18" s="7">
        <v>242968.67667019999</v>
      </c>
      <c r="D18" s="234">
        <f>'GDP Durban'!D18</f>
        <v>384685190000</v>
      </c>
      <c r="E18" s="234">
        <f>'GDP Durban'!E18</f>
        <v>61907138228.654938</v>
      </c>
      <c r="F18" s="235">
        <v>4830257034.4000006</v>
      </c>
      <c r="G18" s="235">
        <v>826240651</v>
      </c>
      <c r="H18" s="92">
        <f t="shared" si="0"/>
        <v>16.092935168274852</v>
      </c>
      <c r="I18" s="92">
        <f t="shared" si="1"/>
        <v>17.105521406328908</v>
      </c>
      <c r="J18" s="92">
        <f t="shared" si="2"/>
        <v>79.640728694220385</v>
      </c>
      <c r="K18" s="92">
        <f t="shared" si="2"/>
        <v>74.926279835939638</v>
      </c>
      <c r="M18" s="234">
        <f t="shared" si="3"/>
        <v>1890485239.2156782</v>
      </c>
      <c r="N18" s="92">
        <f t="shared" si="4"/>
        <v>0.65185016302198417</v>
      </c>
      <c r="O18" s="92">
        <f t="shared" si="5"/>
        <v>6.1388701437537856</v>
      </c>
      <c r="R18" s="7">
        <f t="shared" si="6"/>
        <v>2007</v>
      </c>
      <c r="S18" s="284">
        <f>SUM(M27:M30)</f>
        <v>8698558661.2792854</v>
      </c>
      <c r="T18" s="92">
        <f t="shared" si="7"/>
        <v>5.8739792512231404</v>
      </c>
    </row>
    <row r="19" spans="1:20">
      <c r="A19" t="str">
        <f>'GDP Durban'!A19</f>
        <v>2005q1</v>
      </c>
      <c r="B19" s="7">
        <v>39679.286244765506</v>
      </c>
      <c r="C19" s="7">
        <v>242968.67667019999</v>
      </c>
      <c r="D19" s="234">
        <f>'GDP Durban'!D19</f>
        <v>376326800000.00006</v>
      </c>
      <c r="E19" s="234">
        <f>'GDP Durban'!E19</f>
        <v>60432298014.112061</v>
      </c>
      <c r="F19" s="235">
        <v>4690209425</v>
      </c>
      <c r="G19" s="235">
        <v>774740717</v>
      </c>
      <c r="H19" s="92">
        <f t="shared" si="0"/>
        <v>16.058462489015412</v>
      </c>
      <c r="I19" s="92">
        <f t="shared" si="1"/>
        <v>16.51825423552382</v>
      </c>
      <c r="J19" s="92">
        <f t="shared" si="2"/>
        <v>80.23667301380685</v>
      </c>
      <c r="K19" s="92">
        <f t="shared" si="2"/>
        <v>78.003255396362576</v>
      </c>
      <c r="L19">
        <f t="shared" ref="L19:L24" si="8">M31/E31</f>
        <v>2.938203884344609E-2</v>
      </c>
      <c r="M19" s="234">
        <f t="shared" si="3"/>
        <v>1845447401.3253713</v>
      </c>
      <c r="N19" s="92">
        <f t="shared" si="4"/>
        <v>-2.3823427422788122</v>
      </c>
      <c r="O19" s="92">
        <f t="shared" si="5"/>
        <v>5.9501595515856858</v>
      </c>
      <c r="R19" s="7">
        <f t="shared" si="6"/>
        <v>2008</v>
      </c>
      <c r="S19" s="284">
        <f>SUM(M31:M34)</f>
        <v>8778068249.1578083</v>
      </c>
      <c r="T19" s="92">
        <f t="shared" si="7"/>
        <v>0.91405474141884446</v>
      </c>
    </row>
    <row r="20" spans="1:20">
      <c r="A20" t="str">
        <f>'GDP Durban'!A20</f>
        <v>2005q2</v>
      </c>
      <c r="B20" s="7">
        <v>39679.286244765506</v>
      </c>
      <c r="C20" s="7">
        <v>242968.67667019999</v>
      </c>
      <c r="D20" s="234">
        <f>'GDP Durban'!D20</f>
        <v>391001650000</v>
      </c>
      <c r="E20" s="234">
        <f>'GDP Durban'!E20</f>
        <v>63723503402.272804</v>
      </c>
      <c r="F20" s="235">
        <v>4760343407</v>
      </c>
      <c r="G20" s="235">
        <v>805551748</v>
      </c>
      <c r="H20" s="92">
        <f t="shared" si="0"/>
        <v>16.297502428000701</v>
      </c>
      <c r="I20" s="92">
        <f t="shared" si="1"/>
        <v>16.922135214351357</v>
      </c>
      <c r="J20" s="92">
        <f t="shared" si="2"/>
        <v>82.137278042806543</v>
      </c>
      <c r="K20" s="92">
        <f t="shared" si="2"/>
        <v>79.105412607549582</v>
      </c>
      <c r="L20">
        <f t="shared" si="8"/>
        <v>2.8210020725452409E-2</v>
      </c>
      <c r="M20" s="234">
        <f t="shared" si="3"/>
        <v>1945952373.5074811</v>
      </c>
      <c r="N20" s="92">
        <f t="shared" si="4"/>
        <v>5.4461033194405184</v>
      </c>
      <c r="O20" s="92">
        <f t="shared" si="5"/>
        <v>5.1487254835381675</v>
      </c>
      <c r="R20" s="7">
        <f t="shared" si="6"/>
        <v>2009</v>
      </c>
      <c r="S20" s="284">
        <f>SUM(M35:M38)</f>
        <v>9218227665.8468933</v>
      </c>
      <c r="T20" s="92">
        <f t="shared" si="7"/>
        <v>5.0143084354728629</v>
      </c>
    </row>
    <row r="21" spans="1:20">
      <c r="A21" t="str">
        <f>'GDP Durban'!A21</f>
        <v>2005q3</v>
      </c>
      <c r="B21" s="7">
        <v>39679.286244765506</v>
      </c>
      <c r="C21" s="7">
        <v>242968.67667019999</v>
      </c>
      <c r="D21" s="234">
        <f>'GDP Durban'!D21</f>
        <v>399721750000</v>
      </c>
      <c r="E21" s="234">
        <f>'GDP Durban'!E21</f>
        <v>65295808538.534554</v>
      </c>
      <c r="F21" s="235">
        <v>4824982237</v>
      </c>
      <c r="G21" s="235">
        <v>802738840</v>
      </c>
      <c r="H21" s="92">
        <f t="shared" si="0"/>
        <v>16.335315388400694</v>
      </c>
      <c r="I21" s="92">
        <f t="shared" si="1"/>
        <v>16.637135652941058</v>
      </c>
      <c r="J21" s="92">
        <f t="shared" si="2"/>
        <v>82.844190997174024</v>
      </c>
      <c r="K21" s="92">
        <f t="shared" si="2"/>
        <v>81.341284717872327</v>
      </c>
      <c r="L21">
        <f t="shared" si="8"/>
        <v>2.8348993266296838E-2</v>
      </c>
      <c r="M21" s="234">
        <f t="shared" si="3"/>
        <v>1993966540.1560371</v>
      </c>
      <c r="N21" s="92">
        <f t="shared" si="4"/>
        <v>2.4673865250881182</v>
      </c>
      <c r="O21" s="92">
        <f t="shared" si="5"/>
        <v>6.1613268734800837</v>
      </c>
      <c r="R21" s="7">
        <f t="shared" si="6"/>
        <v>2010</v>
      </c>
      <c r="S21" s="284">
        <f>SUM(M39:M42)</f>
        <v>9257279480.7811508</v>
      </c>
      <c r="T21" s="92">
        <f t="shared" si="7"/>
        <v>0.42363691101861883</v>
      </c>
    </row>
    <row r="22" spans="1:20">
      <c r="A22" t="str">
        <f>'GDP Durban'!A22</f>
        <v>2005q4</v>
      </c>
      <c r="B22" s="7">
        <v>39679.286244765506</v>
      </c>
      <c r="C22" s="7">
        <v>242968.67667019999</v>
      </c>
      <c r="D22" s="234">
        <f>'GDP Durban'!D22</f>
        <v>404031700000</v>
      </c>
      <c r="E22" s="234">
        <f>'GDP Durban'!E22</f>
        <v>65487766114.089813</v>
      </c>
      <c r="F22" s="235">
        <v>5011501336</v>
      </c>
      <c r="G22" s="235">
        <v>832010091</v>
      </c>
      <c r="H22" s="92">
        <f t="shared" si="0"/>
        <v>16.208571286384167</v>
      </c>
      <c r="I22" s="92">
        <f t="shared" si="1"/>
        <v>16.602012754606594</v>
      </c>
      <c r="J22" s="92">
        <f t="shared" si="2"/>
        <v>80.620890410154729</v>
      </c>
      <c r="K22" s="92">
        <f t="shared" si="2"/>
        <v>78.710302702434191</v>
      </c>
      <c r="L22">
        <f t="shared" si="8"/>
        <v>3.253326908844658E-2</v>
      </c>
      <c r="M22" s="234">
        <f t="shared" si="3"/>
        <v>1999828432.2338536</v>
      </c>
      <c r="N22" s="92">
        <f t="shared" si="4"/>
        <v>0.2939814665775568</v>
      </c>
      <c r="O22" s="92">
        <f t="shared" si="5"/>
        <v>5.783869175489543</v>
      </c>
      <c r="R22" s="7">
        <f t="shared" si="6"/>
        <v>2011</v>
      </c>
      <c r="S22" s="284">
        <f>SUM(M43:M46)</f>
        <v>9592847182.154705</v>
      </c>
      <c r="T22" s="92">
        <f>(S22-S21)/S21*100</f>
        <v>3.6249062380607553</v>
      </c>
    </row>
    <row r="23" spans="1:20">
      <c r="A23" t="str">
        <f>'GDP Durban'!A23</f>
        <v>2006q1</v>
      </c>
      <c r="B23" s="7">
        <v>39679.286244765506</v>
      </c>
      <c r="C23" s="7">
        <v>242968.67667019999</v>
      </c>
      <c r="D23" s="234">
        <f>'GDP Durban'!D23</f>
        <v>395450149999.99994</v>
      </c>
      <c r="E23" s="234">
        <f>'GDP Durban'!E23</f>
        <v>63682061981.141251</v>
      </c>
      <c r="F23" s="235">
        <v>4675546289</v>
      </c>
      <c r="G23" s="235">
        <v>750919883</v>
      </c>
      <c r="H23" s="92">
        <f t="shared" si="0"/>
        <v>16.10368891784243</v>
      </c>
      <c r="I23" s="92">
        <f t="shared" si="1"/>
        <v>16.060580659134182</v>
      </c>
      <c r="J23" s="92">
        <f t="shared" si="2"/>
        <v>84.578384119597359</v>
      </c>
      <c r="K23" s="92">
        <f t="shared" si="2"/>
        <v>84.805401245636276</v>
      </c>
      <c r="L23">
        <f t="shared" si="8"/>
        <v>3.2067124197063895E-2</v>
      </c>
      <c r="M23" s="234">
        <f t="shared" si="3"/>
        <v>1944686858.7836061</v>
      </c>
      <c r="N23" s="92">
        <f t="shared" si="4"/>
        <v>-2.7573152057175796</v>
      </c>
      <c r="O23" s="92">
        <f t="shared" si="5"/>
        <v>5.3775283645018854</v>
      </c>
      <c r="R23" s="7">
        <f t="shared" si="6"/>
        <v>2012</v>
      </c>
      <c r="S23" s="284">
        <f>SUM(M47:M50)</f>
        <v>9966218489.4225769</v>
      </c>
      <c r="T23" s="92">
        <f>(S23-S22)/S22*100</f>
        <v>3.8921844597133126</v>
      </c>
    </row>
    <row r="24" spans="1:20">
      <c r="A24" t="str">
        <f>'GDP Durban'!A24</f>
        <v>2006q2</v>
      </c>
      <c r="B24" s="7">
        <v>39679.286244765506</v>
      </c>
      <c r="C24" s="7">
        <v>242968.67667019999</v>
      </c>
      <c r="D24" s="234">
        <f>'GDP Durban'!D24</f>
        <v>410299050000</v>
      </c>
      <c r="E24" s="234">
        <f>'GDP Durban'!E24</f>
        <v>66827792246.677605</v>
      </c>
      <c r="F24" s="235">
        <v>4859349229</v>
      </c>
      <c r="G24" s="235">
        <v>811777848</v>
      </c>
      <c r="H24" s="92">
        <f t="shared" si="0"/>
        <v>16.287581520522068</v>
      </c>
      <c r="I24" s="92">
        <f t="shared" si="1"/>
        <v>16.705484824087335</v>
      </c>
      <c r="J24" s="92">
        <f t="shared" si="2"/>
        <v>84.434978978540087</v>
      </c>
      <c r="K24" s="92">
        <f t="shared" si="2"/>
        <v>82.32275912840332</v>
      </c>
      <c r="L24">
        <f t="shared" si="8"/>
        <v>3.1738317428494041E-2</v>
      </c>
      <c r="M24" s="234">
        <f t="shared" si="3"/>
        <v>2040749393.7950828</v>
      </c>
      <c r="N24" s="92">
        <f t="shared" si="4"/>
        <v>4.9397431045306437</v>
      </c>
      <c r="O24" s="92">
        <f t="shared" si="5"/>
        <v>4.8714974517456895</v>
      </c>
      <c r="Q24" s="353"/>
      <c r="R24" s="7">
        <f t="shared" si="6"/>
        <v>2013</v>
      </c>
      <c r="S24" s="284">
        <f>SUM(M51:M54)</f>
        <v>10066506485.026073</v>
      </c>
      <c r="T24" s="92">
        <f>(S24-S23)/S23*100</f>
        <v>1.0062793195827984</v>
      </c>
    </row>
    <row r="25" spans="1:20">
      <c r="A25" t="str">
        <f>'GDP Durban'!A25</f>
        <v>2006q3</v>
      </c>
      <c r="B25" s="7">
        <v>39679.286244765506</v>
      </c>
      <c r="C25" s="7">
        <v>242968.67667019999</v>
      </c>
      <c r="D25" s="234">
        <f>'GDP Durban'!D25</f>
        <v>420695750000</v>
      </c>
      <c r="E25" s="234">
        <f>'GDP Durban'!E25</f>
        <v>68605409906.937042</v>
      </c>
      <c r="F25" s="235">
        <v>4906222423</v>
      </c>
      <c r="G25" s="235">
        <v>827883368</v>
      </c>
      <c r="H25" s="92">
        <f t="shared" si="0"/>
        <v>16.307607078734939</v>
      </c>
      <c r="I25" s="92">
        <f t="shared" si="1"/>
        <v>16.874150754334849</v>
      </c>
      <c r="J25" s="92">
        <f t="shared" si="2"/>
        <v>85.747386426634492</v>
      </c>
      <c r="K25" s="92">
        <f t="shared" si="2"/>
        <v>82.868448091515518</v>
      </c>
      <c r="L25">
        <f>L37/G37</f>
        <v>3.1482284788941731E-2</v>
      </c>
      <c r="M25" s="234">
        <f t="shared" si="3"/>
        <v>2095033278.3978131</v>
      </c>
      <c r="N25" s="92">
        <f t="shared" si="4"/>
        <v>2.6599975855820865</v>
      </c>
      <c r="O25" s="92">
        <f t="shared" si="5"/>
        <v>5.0686275926108095</v>
      </c>
      <c r="Q25" s="353"/>
    </row>
    <row r="26" spans="1:20">
      <c r="A26" t="str">
        <f>'GDP Durban'!A26</f>
        <v>2006q4</v>
      </c>
      <c r="B26" s="7">
        <v>39679.286244765506</v>
      </c>
      <c r="C26" s="7">
        <v>242968.67667019999</v>
      </c>
      <c r="D26" s="234">
        <f>'GDP Durban'!D26</f>
        <v>432676710000</v>
      </c>
      <c r="E26" s="234">
        <f>'GDP Durban'!E26</f>
        <v>69930090578.09053</v>
      </c>
      <c r="F26" s="235">
        <v>5280826192</v>
      </c>
      <c r="G26" s="235">
        <v>873224453</v>
      </c>
      <c r="H26" s="92">
        <f t="shared" si="0"/>
        <v>16.162203548716668</v>
      </c>
      <c r="I26" s="92">
        <f t="shared" si="1"/>
        <v>16.535754468171294</v>
      </c>
      <c r="J26" s="92">
        <f t="shared" si="2"/>
        <v>81.933525980360457</v>
      </c>
      <c r="K26" s="92">
        <f t="shared" si="2"/>
        <v>80.082606869107607</v>
      </c>
      <c r="L26">
        <f>AVERAGE(L19:L25)</f>
        <v>3.0537435476877366E-2</v>
      </c>
      <c r="M26" s="234">
        <f t="shared" si="3"/>
        <v>2135485628.9206293</v>
      </c>
      <c r="N26" s="92">
        <f t="shared" si="4"/>
        <v>1.9308691150601827</v>
      </c>
      <c r="O26" s="92">
        <f t="shared" si="5"/>
        <v>6.7834417443122117</v>
      </c>
      <c r="Q26" s="289">
        <f>M26/E26</f>
        <v>3.0537435476877366E-2</v>
      </c>
    </row>
    <row r="27" spans="1:20">
      <c r="A27" t="str">
        <f>'GDP Durban'!A27</f>
        <v>2007q1</v>
      </c>
      <c r="B27" s="7">
        <v>39679.286244765506</v>
      </c>
      <c r="C27" s="7">
        <v>242968.67667019999</v>
      </c>
      <c r="D27" s="234">
        <f>'GDP Durban'!D27</f>
        <v>421784960000</v>
      </c>
      <c r="E27" s="234">
        <f>'GDP Durban'!E27</f>
        <v>68125905131.082443</v>
      </c>
      <c r="F27" s="235">
        <v>5154329343</v>
      </c>
      <c r="G27" s="235">
        <v>833477953</v>
      </c>
      <c r="H27" s="92">
        <f t="shared" si="0"/>
        <v>16.151809948624638</v>
      </c>
      <c r="I27" s="92">
        <f t="shared" si="1"/>
        <v>16.170444252498747</v>
      </c>
      <c r="J27" s="92">
        <f t="shared" si="2"/>
        <v>81.831200905471519</v>
      </c>
      <c r="K27" s="92">
        <f t="shared" si="2"/>
        <v>81.736901241204691</v>
      </c>
      <c r="M27" s="234">
        <f t="shared" si="3"/>
        <v>2080390432.2442987</v>
      </c>
      <c r="N27" s="92">
        <f t="shared" si="4"/>
        <v>-2.579984427438089</v>
      </c>
      <c r="O27" s="92">
        <f t="shared" si="5"/>
        <v>6.9781709506472778</v>
      </c>
      <c r="Q27" s="289">
        <f t="shared" ref="Q27:Q38" si="9">M27/E27</f>
        <v>3.0537435476877366E-2</v>
      </c>
    </row>
    <row r="28" spans="1:20">
      <c r="A28" t="str">
        <f>'GDP Durban'!A28</f>
        <v>2007q2</v>
      </c>
      <c r="B28" s="7">
        <v>39679.286244765506</v>
      </c>
      <c r="C28" s="7">
        <v>242968.67667019999</v>
      </c>
      <c r="D28" s="234">
        <f>'GDP Durban'!D28</f>
        <v>433014500000</v>
      </c>
      <c r="E28" s="234">
        <f>'GDP Durban'!E28</f>
        <v>70787164818.62709</v>
      </c>
      <c r="F28" s="235">
        <v>5056692012</v>
      </c>
      <c r="G28" s="235">
        <v>821281896</v>
      </c>
      <c r="H28" s="92">
        <f t="shared" si="0"/>
        <v>16.347527581322819</v>
      </c>
      <c r="I28" s="92">
        <f t="shared" si="1"/>
        <v>16.241485422703654</v>
      </c>
      <c r="J28" s="92">
        <f t="shared" si="2"/>
        <v>85.631970262854921</v>
      </c>
      <c r="K28" s="92">
        <f t="shared" si="2"/>
        <v>86.191069306886433</v>
      </c>
      <c r="M28" s="234">
        <f t="shared" si="3"/>
        <v>2161658478.2399082</v>
      </c>
      <c r="N28" s="92">
        <f t="shared" si="4"/>
        <v>3.9063843370947726</v>
      </c>
      <c r="O28" s="92">
        <f t="shared" si="5"/>
        <v>5.9247394517156584</v>
      </c>
      <c r="Q28" s="289">
        <f>M28/E28</f>
        <v>3.0537435476877366E-2</v>
      </c>
    </row>
    <row r="29" spans="1:20">
      <c r="A29" t="str">
        <f>'GDP Durban'!A29</f>
        <v>2007q3</v>
      </c>
      <c r="B29" s="7">
        <v>39679.286244765506</v>
      </c>
      <c r="C29" s="7">
        <v>242968.67667019999</v>
      </c>
      <c r="D29" s="234">
        <f>'GDP Durban'!D29</f>
        <v>442196500000</v>
      </c>
      <c r="E29" s="234">
        <f>'GDP Durban'!E29</f>
        <v>72253952576.31102</v>
      </c>
      <c r="F29" s="235">
        <v>5400223668</v>
      </c>
      <c r="G29" s="235">
        <v>898105429</v>
      </c>
      <c r="H29" s="92">
        <f t="shared" si="0"/>
        <v>16.339783914235191</v>
      </c>
      <c r="I29" s="92">
        <f t="shared" si="1"/>
        <v>16.630893166923542</v>
      </c>
      <c r="J29" s="92">
        <f t="shared" si="2"/>
        <v>81.884849070292248</v>
      </c>
      <c r="K29" s="92">
        <f t="shared" si="2"/>
        <v>80.451526338909389</v>
      </c>
      <c r="M29" s="234">
        <f t="shared" si="3"/>
        <v>2206450414.748455</v>
      </c>
      <c r="N29" s="92">
        <f t="shared" si="4"/>
        <v>2.0721097693941859</v>
      </c>
      <c r="O29" s="92">
        <f t="shared" si="5"/>
        <v>5.3181559214108889</v>
      </c>
      <c r="Q29" s="289">
        <f t="shared" si="9"/>
        <v>3.0537435476877369E-2</v>
      </c>
    </row>
    <row r="30" spans="1:20">
      <c r="A30" t="str">
        <f>'GDP Durban'!A30</f>
        <v>2007q4</v>
      </c>
      <c r="B30" s="7">
        <v>39679.286244765506</v>
      </c>
      <c r="C30" s="7">
        <v>242968.67667019999</v>
      </c>
      <c r="D30" s="234">
        <f>'GDP Durban'!D30</f>
        <v>454168720000</v>
      </c>
      <c r="E30" s="234">
        <f>'GDP Durban'!E30</f>
        <v>73682000499.038116</v>
      </c>
      <c r="F30" s="235">
        <v>5579296845</v>
      </c>
      <c r="G30" s="235">
        <v>902642355</v>
      </c>
      <c r="H30" s="92">
        <f t="shared" si="0"/>
        <v>16.223486394888251</v>
      </c>
      <c r="I30" s="92">
        <f t="shared" si="1"/>
        <v>16.178424989323183</v>
      </c>
      <c r="J30" s="92">
        <f t="shared" si="2"/>
        <v>81.402501536911856</v>
      </c>
      <c r="K30" s="92">
        <f t="shared" si="2"/>
        <v>81.629230105248183</v>
      </c>
      <c r="M30" s="234">
        <f t="shared" si="3"/>
        <v>2250059336.0466223</v>
      </c>
      <c r="N30" s="92">
        <f t="shared" si="4"/>
        <v>1.9764287929007838</v>
      </c>
      <c r="O30" s="92">
        <f t="shared" si="5"/>
        <v>5.3652296027814401</v>
      </c>
      <c r="Q30" s="289">
        <f t="shared" si="9"/>
        <v>3.0537435476877366E-2</v>
      </c>
    </row>
    <row r="31" spans="1:20">
      <c r="A31" t="str">
        <f>'GDP Durban'!A31</f>
        <v>2008q1</v>
      </c>
      <c r="B31" s="7">
        <v>39679.286244765506</v>
      </c>
      <c r="C31" s="7">
        <v>242968.67667019999</v>
      </c>
      <c r="D31" s="234">
        <f>'GDP Durban'!D31</f>
        <v>437677308000</v>
      </c>
      <c r="E31" s="234">
        <f>'GDP Durban'!E31</f>
        <v>71161408615.893906</v>
      </c>
      <c r="F31" s="235">
        <v>5543646776</v>
      </c>
      <c r="G31" s="235">
        <v>903654581</v>
      </c>
      <c r="H31" s="92">
        <f t="shared" si="0"/>
        <v>16.258875503752162</v>
      </c>
      <c r="I31" s="92">
        <f t="shared" si="1"/>
        <v>16.300724369961191</v>
      </c>
      <c r="J31" s="92">
        <f t="shared" si="2"/>
        <v>78.951153579053354</v>
      </c>
      <c r="K31" s="92">
        <f t="shared" si="2"/>
        <v>78.748462202388708</v>
      </c>
      <c r="L31" s="235">
        <v>26551214</v>
      </c>
      <c r="M31" s="234">
        <f t="shared" ref="M31:M38" si="10">L31*K31</f>
        <v>2090867272.106534</v>
      </c>
      <c r="N31" s="92">
        <f t="shared" si="4"/>
        <v>-7.0750162624506787</v>
      </c>
      <c r="O31" s="92">
        <f t="shared" si="5"/>
        <v>0.50359969455026887</v>
      </c>
      <c r="Q31" s="289">
        <f t="shared" si="9"/>
        <v>2.938203884344609E-2</v>
      </c>
    </row>
    <row r="32" spans="1:20">
      <c r="A32" t="str">
        <f>'GDP Durban'!A32</f>
        <v>2008q2</v>
      </c>
      <c r="B32" s="7">
        <v>39679.286244765506</v>
      </c>
      <c r="C32" s="7">
        <v>242968.67667019999</v>
      </c>
      <c r="D32" s="234">
        <f>'GDP Durban'!D32</f>
        <v>454885920000</v>
      </c>
      <c r="E32" s="234">
        <f>'GDP Durban'!E32</f>
        <v>74756110982.452698</v>
      </c>
      <c r="F32" s="235">
        <v>5265926862</v>
      </c>
      <c r="G32" s="235">
        <v>890416751</v>
      </c>
      <c r="H32" s="92">
        <f t="shared" si="0"/>
        <v>16.434034929560514</v>
      </c>
      <c r="I32" s="92">
        <f t="shared" si="1"/>
        <v>16.909022368415872</v>
      </c>
      <c r="J32" s="92">
        <f t="shared" si="2"/>
        <v>86.382878441124845</v>
      </c>
      <c r="K32" s="92">
        <f t="shared" si="2"/>
        <v>83.956316970111331</v>
      </c>
      <c r="L32" s="235">
        <v>25118675</v>
      </c>
      <c r="M32" s="234">
        <f t="shared" si="10"/>
        <v>2108871440.1692111</v>
      </c>
      <c r="N32" s="92">
        <f t="shared" si="4"/>
        <v>0.86108612932365025</v>
      </c>
      <c r="O32" s="92">
        <f t="shared" si="5"/>
        <v>-2.4419693768498516</v>
      </c>
      <c r="Q32" s="289">
        <f t="shared" si="9"/>
        <v>2.8210020725452409E-2</v>
      </c>
    </row>
    <row r="33" spans="1:17">
      <c r="A33" t="str">
        <f>'GDP Durban'!A33</f>
        <v>2008q3</v>
      </c>
      <c r="B33" s="7">
        <v>39679.286244765506</v>
      </c>
      <c r="C33" s="7">
        <v>242968.67667019999</v>
      </c>
      <c r="D33" s="234">
        <f>'GDP Durban'!D33</f>
        <v>459649572000</v>
      </c>
      <c r="E33" s="234">
        <f>'GDP Durban'!E33</f>
        <v>75462980206.622635</v>
      </c>
      <c r="F33" s="235">
        <v>5202135900</v>
      </c>
      <c r="G33" s="235">
        <v>869415812</v>
      </c>
      <c r="H33" s="92">
        <f t="shared" si="0"/>
        <v>16.417502550534874</v>
      </c>
      <c r="I33" s="92">
        <f t="shared" si="1"/>
        <v>16.712670116903329</v>
      </c>
      <c r="J33" s="92">
        <f t="shared" si="2"/>
        <v>88.357855472403173</v>
      </c>
      <c r="K33" s="92">
        <f t="shared" si="2"/>
        <v>86.797340426818266</v>
      </c>
      <c r="L33" s="235">
        <v>24647063</v>
      </c>
      <c r="M33" s="234">
        <f t="shared" si="10"/>
        <v>2139299517.7322366</v>
      </c>
      <c r="N33" s="92">
        <f t="shared" si="4"/>
        <v>1.44286071608917</v>
      </c>
      <c r="O33" s="92">
        <f t="shared" si="5"/>
        <v>-3.0433902600921994</v>
      </c>
      <c r="Q33" s="289">
        <f t="shared" si="9"/>
        <v>2.8348993266296838E-2</v>
      </c>
    </row>
    <row r="34" spans="1:17">
      <c r="A34" t="str">
        <f>'GDP Durban'!A34</f>
        <v>2008q4</v>
      </c>
      <c r="B34" s="7">
        <v>39679.286244765506</v>
      </c>
      <c r="C34" s="7">
        <v>242968.67667019999</v>
      </c>
      <c r="D34" s="234">
        <f>'GDP Durban'!D34</f>
        <v>462381807000</v>
      </c>
      <c r="E34" s="234">
        <f>'GDP Durban'!E34</f>
        <v>74970333061.794556</v>
      </c>
      <c r="F34" s="235">
        <v>5460259824</v>
      </c>
      <c r="G34" s="235">
        <v>899391940</v>
      </c>
      <c r="H34" s="92">
        <f t="shared" si="0"/>
        <v>16.213945256240272</v>
      </c>
      <c r="I34" s="92">
        <f t="shared" si="1"/>
        <v>16.47159602271703</v>
      </c>
      <c r="J34" s="92">
        <f t="shared" si="2"/>
        <v>84.681282924971669</v>
      </c>
      <c r="K34" s="92">
        <f t="shared" si="2"/>
        <v>83.356687699241064</v>
      </c>
      <c r="L34" s="235">
        <v>29260160</v>
      </c>
      <c r="M34" s="234">
        <f t="shared" si="10"/>
        <v>2439030019.1498256</v>
      </c>
      <c r="N34" s="92">
        <f t="shared" si="4"/>
        <v>14.010684288627248</v>
      </c>
      <c r="O34" s="92">
        <f t="shared" si="5"/>
        <v>8.3984755457705731</v>
      </c>
      <c r="Q34" s="289">
        <f t="shared" si="9"/>
        <v>3.253326908844658E-2</v>
      </c>
    </row>
    <row r="35" spans="1:17">
      <c r="A35" t="str">
        <f>'GDP Durban'!A35</f>
        <v>2009q1</v>
      </c>
      <c r="B35" s="7">
        <v>39679.286244765506</v>
      </c>
      <c r="C35" s="7">
        <v>242968.67667019999</v>
      </c>
      <c r="D35" s="234">
        <f>'GDP Durban'!D35</f>
        <v>433798089999.99994</v>
      </c>
      <c r="E35" s="234">
        <f>'GDP Durban'!E35</f>
        <v>70528747919.669891</v>
      </c>
      <c r="F35" s="235">
        <v>5206564996</v>
      </c>
      <c r="G35" s="235">
        <v>842784368</v>
      </c>
      <c r="H35" s="92">
        <f t="shared" si="0"/>
        <v>16.258427490925538</v>
      </c>
      <c r="I35" s="92">
        <f t="shared" si="1"/>
        <v>16.186955673221753</v>
      </c>
      <c r="J35" s="92">
        <f t="shared" si="2"/>
        <v>83.31752130882262</v>
      </c>
      <c r="K35" s="92">
        <f t="shared" si="2"/>
        <v>83.685401150760185</v>
      </c>
      <c r="L35" s="235">
        <v>27025671</v>
      </c>
      <c r="M35" s="234">
        <f t="shared" si="10"/>
        <v>2261654119.0034661</v>
      </c>
      <c r="N35" s="92">
        <f t="shared" si="4"/>
        <v>-7.2723951223932657</v>
      </c>
      <c r="O35" s="92">
        <f t="shared" si="5"/>
        <v>8.1682299577469397</v>
      </c>
      <c r="Q35" s="289">
        <f t="shared" si="9"/>
        <v>3.2067124197063895E-2</v>
      </c>
    </row>
    <row r="36" spans="1:17">
      <c r="A36" t="str">
        <f>'GDP Durban'!A36</f>
        <v>2009q2</v>
      </c>
      <c r="B36" s="7">
        <v>39679.286244765506</v>
      </c>
      <c r="C36" s="7">
        <v>242968.67667019999</v>
      </c>
      <c r="D36" s="234">
        <f>'GDP Durban'!D36</f>
        <v>442774057999.99988</v>
      </c>
      <c r="E36" s="234">
        <f>'GDP Durban'!E36</f>
        <v>72534525097.567886</v>
      </c>
      <c r="F36" s="235">
        <v>4994646966</v>
      </c>
      <c r="G36" s="235">
        <v>831381344</v>
      </c>
      <c r="H36" s="92">
        <f t="shared" si="0"/>
        <v>16.381837144028864</v>
      </c>
      <c r="I36" s="92">
        <f t="shared" si="1"/>
        <v>16.645447609399667</v>
      </c>
      <c r="J36" s="92">
        <f t="shared" si="2"/>
        <v>88.649720593685672</v>
      </c>
      <c r="K36" s="92">
        <f t="shared" si="2"/>
        <v>87.245793547140124</v>
      </c>
      <c r="L36" s="235">
        <v>26386645</v>
      </c>
      <c r="M36" s="234">
        <f t="shared" si="10"/>
        <v>2302123782.0716772</v>
      </c>
      <c r="N36" s="92">
        <f t="shared" si="4"/>
        <v>1.7893833866180604</v>
      </c>
      <c r="O36" s="92">
        <f t="shared" si="5"/>
        <v>9.1637801253053119</v>
      </c>
      <c r="Q36" s="289">
        <f t="shared" si="9"/>
        <v>3.1738317428494041E-2</v>
      </c>
    </row>
    <row r="37" spans="1:17">
      <c r="A37" t="str">
        <f>'GDP Durban'!A37</f>
        <v>2009q3</v>
      </c>
      <c r="B37" s="7">
        <v>39679.286244765506</v>
      </c>
      <c r="C37" s="7">
        <v>242968.67667019999</v>
      </c>
      <c r="D37" s="234">
        <f>'GDP Durban'!D37</f>
        <v>450502489000.00006</v>
      </c>
      <c r="E37" s="234">
        <f>'GDP Durban'!E37</f>
        <v>73855969771.98941</v>
      </c>
      <c r="F37" s="235">
        <v>5002707417</v>
      </c>
      <c r="G37" s="235">
        <v>835393434</v>
      </c>
      <c r="H37" s="92">
        <f t="shared" si="0"/>
        <v>16.39413134784909</v>
      </c>
      <c r="I37" s="92">
        <f t="shared" si="1"/>
        <v>16.698826542627685</v>
      </c>
      <c r="J37" s="92">
        <f>D37/F37</f>
        <v>90.051736279663402</v>
      </c>
      <c r="K37" s="92">
        <f>E37/G37</f>
        <v>88.408606970197241</v>
      </c>
      <c r="L37" s="235">
        <v>26300094</v>
      </c>
      <c r="M37" s="234">
        <f t="shared" si="10"/>
        <v>2325154673.7252426</v>
      </c>
      <c r="N37" s="92">
        <f t="shared" ref="N37:N40" si="11">(M37-M36)/M36*100</f>
        <v>1.0004193446470524</v>
      </c>
      <c r="O37" s="92">
        <f t="shared" ref="O37:O40" si="12">(M37-M33)/M33*100</f>
        <v>8.6876640906282088</v>
      </c>
      <c r="Q37" s="289">
        <f t="shared" si="9"/>
        <v>3.1482284788941731E-2</v>
      </c>
    </row>
    <row r="38" spans="1:17">
      <c r="A38" t="str">
        <f>'GDP Durban'!A38</f>
        <v>2009q4</v>
      </c>
      <c r="B38" s="7">
        <v>39679.286244765506</v>
      </c>
      <c r="C38" s="7">
        <v>242968.67667019999</v>
      </c>
      <c r="D38" s="234">
        <f>'GDP Durban'!D38</f>
        <v>459824142000</v>
      </c>
      <c r="E38" s="234">
        <f>'GDP Durban'!E38</f>
        <v>74797338159.696762</v>
      </c>
      <c r="F38" s="235">
        <v>5074816265</v>
      </c>
      <c r="G38" s="235">
        <v>901763015</v>
      </c>
      <c r="H38" s="92">
        <f t="shared" si="0"/>
        <v>16.266509590898508</v>
      </c>
      <c r="I38" s="92">
        <f>G38/F38*100</f>
        <v>17.769372680924043</v>
      </c>
      <c r="J38" s="92">
        <f>D38/F38</f>
        <v>90.609022669710384</v>
      </c>
      <c r="K38" s="92">
        <f>E38/G38</f>
        <v>82.94567077548281</v>
      </c>
      <c r="L38" s="235">
        <v>28082178</v>
      </c>
      <c r="M38" s="234">
        <f t="shared" si="10"/>
        <v>2329295091.0465064</v>
      </c>
      <c r="N38" s="92">
        <f t="shared" si="11"/>
        <v>0.17807061904532259</v>
      </c>
      <c r="O38" s="92">
        <f t="shared" si="12"/>
        <v>-4.4991216689317151</v>
      </c>
      <c r="Q38" s="289">
        <f t="shared" si="9"/>
        <v>3.1141416905416112E-2</v>
      </c>
    </row>
    <row r="39" spans="1:17">
      <c r="A39" t="str">
        <f>'GDP Durban'!A39</f>
        <v>2010q1</v>
      </c>
      <c r="B39" s="7">
        <v>39679.286244765506</v>
      </c>
      <c r="C39" s="7">
        <v>242968.67667019999</v>
      </c>
      <c r="D39" s="234">
        <f>'GDP Durban'!D39</f>
        <v>443937100999.99994</v>
      </c>
      <c r="E39" s="234">
        <f>'GDP Durban'!E39</f>
        <v>72421686265.048981</v>
      </c>
      <c r="F39" s="235"/>
      <c r="G39" s="235"/>
      <c r="H39" s="92"/>
      <c r="I39" s="92"/>
      <c r="J39" s="92"/>
      <c r="K39" s="92"/>
      <c r="L39" s="235"/>
      <c r="M39" s="288">
        <f t="shared" ref="M39:M40" si="13">E39*Q39</f>
        <v>2220608192.8050823</v>
      </c>
      <c r="N39" s="92">
        <f t="shared" si="11"/>
        <v>-4.666085403227858</v>
      </c>
      <c r="O39" s="92">
        <f t="shared" si="12"/>
        <v>-1.814863106321029</v>
      </c>
      <c r="Q39" s="289">
        <f>(Q27+Q31+Q35)/3</f>
        <v>3.0662199505795785E-2</v>
      </c>
    </row>
    <row r="40" spans="1:17">
      <c r="A40" t="str">
        <f>'GDP Durban'!A40</f>
        <v>2010q2</v>
      </c>
      <c r="B40" s="7">
        <v>39679.286244765506</v>
      </c>
      <c r="C40" s="7">
        <v>242968.67667019999</v>
      </c>
      <c r="D40" s="234">
        <f>'GDP Durban'!D40</f>
        <v>457733272000</v>
      </c>
      <c r="E40" s="234">
        <f>'GDP Durban'!E40</f>
        <v>75739547217.177216</v>
      </c>
      <c r="F40" s="235"/>
      <c r="G40" s="235"/>
      <c r="H40" s="92"/>
      <c r="I40" s="92"/>
      <c r="J40" s="92"/>
      <c r="K40" s="92"/>
      <c r="L40" s="235"/>
      <c r="M40" s="288">
        <f t="shared" si="13"/>
        <v>2284450508.1315298</v>
      </c>
      <c r="N40" s="92">
        <f t="shared" si="11"/>
        <v>2.874992334681139</v>
      </c>
      <c r="O40" s="92">
        <f t="shared" si="12"/>
        <v>-0.76769433849657076</v>
      </c>
      <c r="Q40" s="289">
        <f t="shared" ref="Q40:Q54" si="14">(Q28+Q32+Q36)/3</f>
        <v>3.016192454360794E-2</v>
      </c>
    </row>
    <row r="41" spans="1:17">
      <c r="A41" t="str">
        <f>'GDP Durban'!A41</f>
        <v>2010q3</v>
      </c>
      <c r="B41" s="7">
        <v>39679.286244765506</v>
      </c>
      <c r="C41" s="7">
        <v>242968.67667019999</v>
      </c>
      <c r="D41" s="234">
        <f>'GDP Durban'!D41</f>
        <v>465818166999.99994</v>
      </c>
      <c r="E41" s="234">
        <f>'GDP Durban'!E41</f>
        <v>76759950921.38913</v>
      </c>
      <c r="F41" s="235"/>
      <c r="G41" s="235"/>
      <c r="H41" s="92"/>
      <c r="I41" s="92"/>
      <c r="J41" s="92"/>
      <c r="K41" s="92"/>
      <c r="L41" s="235"/>
      <c r="M41" s="288">
        <f t="shared" ref="M41:M48" si="15">E41*Q41</f>
        <v>2312232671.8514309</v>
      </c>
      <c r="N41" s="92">
        <f t="shared" ref="N41:N48" si="16">(M41-M40)/M40*100</f>
        <v>1.216142070971121</v>
      </c>
      <c r="O41" s="92">
        <f t="shared" ref="O41:O48" si="17">(M41-M37)/M37*100</f>
        <v>-0.55574805495020074</v>
      </c>
      <c r="Q41" s="289">
        <f t="shared" si="14"/>
        <v>3.0122904510705314E-2</v>
      </c>
    </row>
    <row r="42" spans="1:17">
      <c r="A42" t="str">
        <f>'GDP Durban'!A42</f>
        <v>2010q4</v>
      </c>
      <c r="B42" s="7">
        <v>39679.286244765506</v>
      </c>
      <c r="C42" s="7">
        <v>242968.67667019999</v>
      </c>
      <c r="D42" s="234">
        <f>'GDP Durban'!D42</f>
        <v>475519782000</v>
      </c>
      <c r="E42" s="234">
        <f>'GDP Durban'!E42</f>
        <v>77696629793.574066</v>
      </c>
      <c r="F42" s="235"/>
      <c r="G42" s="235"/>
      <c r="H42" s="92"/>
      <c r="I42" s="92"/>
      <c r="J42" s="92"/>
      <c r="K42" s="92"/>
      <c r="L42" s="235"/>
      <c r="M42" s="288">
        <f t="shared" si="15"/>
        <v>2439988107.9931068</v>
      </c>
      <c r="N42" s="92">
        <f t="shared" si="16"/>
        <v>5.5251981211467243</v>
      </c>
      <c r="O42" s="92">
        <f t="shared" si="17"/>
        <v>4.7522109745600432</v>
      </c>
      <c r="Q42" s="289">
        <f t="shared" si="14"/>
        <v>3.1404040490246685E-2</v>
      </c>
    </row>
    <row r="43" spans="1:17">
      <c r="A43" t="str">
        <f>'GDP Durban'!A43</f>
        <v>2011q1</v>
      </c>
      <c r="B43" s="7">
        <v>39679.286244765506</v>
      </c>
      <c r="C43" s="7">
        <v>242968.67667019999</v>
      </c>
      <c r="D43" s="234">
        <f>'GDP Durban'!D43</f>
        <v>460862825000</v>
      </c>
      <c r="E43" s="234">
        <f>'GDP Durban'!E43</f>
        <v>75199993433.368515</v>
      </c>
      <c r="F43" s="235"/>
      <c r="G43" s="235"/>
      <c r="H43" s="92"/>
      <c r="I43" s="92"/>
      <c r="J43" s="92"/>
      <c r="K43" s="92"/>
      <c r="L43" s="235"/>
      <c r="M43" s="288">
        <f t="shared" si="15"/>
        <v>2308924619.5402737</v>
      </c>
      <c r="N43" s="92">
        <f t="shared" si="16"/>
        <v>-5.3714806241671829</v>
      </c>
      <c r="O43" s="92">
        <f t="shared" si="17"/>
        <v>3.9771278436845554</v>
      </c>
      <c r="Q43" s="289">
        <f t="shared" si="14"/>
        <v>3.0703787515435257E-2</v>
      </c>
    </row>
    <row r="44" spans="1:17">
      <c r="A44" t="str">
        <f>'GDP Durban'!A44</f>
        <v>2011q2</v>
      </c>
      <c r="B44" s="7">
        <v>39679.286244765506</v>
      </c>
      <c r="C44" s="7">
        <v>242968.67667019999</v>
      </c>
      <c r="D44" s="234">
        <f>'GDP Durban'!D44</f>
        <v>474374351999.99994</v>
      </c>
      <c r="E44" s="234">
        <f>'GDP Durban'!E44</f>
        <v>78146804841.01947</v>
      </c>
      <c r="F44" s="235"/>
      <c r="G44" s="235"/>
      <c r="H44" s="92"/>
      <c r="I44" s="92"/>
      <c r="J44" s="92"/>
      <c r="K44" s="92"/>
      <c r="L44" s="235"/>
      <c r="M44" s="288">
        <f t="shared" si="15"/>
        <v>2347276371.0662599</v>
      </c>
      <c r="N44" s="92">
        <f t="shared" si="16"/>
        <v>1.6610222439233355</v>
      </c>
      <c r="O44" s="92">
        <f t="shared" si="17"/>
        <v>2.750152069878538</v>
      </c>
      <c r="Q44" s="289">
        <f t="shared" si="14"/>
        <v>3.0036754232518129E-2</v>
      </c>
    </row>
    <row r="45" spans="1:17">
      <c r="A45" t="str">
        <f>'GDP Durban'!A45</f>
        <v>2011q3</v>
      </c>
      <c r="B45" s="7">
        <v>39679.286244765506</v>
      </c>
      <c r="C45" s="7">
        <v>242968.67667019999</v>
      </c>
      <c r="D45" s="234">
        <f>'GDP Durban'!D45</f>
        <v>481033335999.99994</v>
      </c>
      <c r="E45" s="234">
        <f>'GDP Durban'!E45</f>
        <v>79336356144.022598</v>
      </c>
      <c r="F45" s="235"/>
      <c r="G45" s="235"/>
      <c r="H45" s="92"/>
      <c r="I45" s="92"/>
      <c r="J45" s="92"/>
      <c r="K45" s="92"/>
      <c r="L45" s="235"/>
      <c r="M45" s="288">
        <f t="shared" si="15"/>
        <v>2378879021.5653839</v>
      </c>
      <c r="N45" s="92">
        <f t="shared" si="16"/>
        <v>1.3463540505359588</v>
      </c>
      <c r="O45" s="92">
        <f t="shared" si="17"/>
        <v>2.8823375140957825</v>
      </c>
      <c r="Q45" s="289">
        <f t="shared" si="14"/>
        <v>2.9984727521981294E-2</v>
      </c>
    </row>
    <row r="46" spans="1:17">
      <c r="A46" t="str">
        <f>'GDP Durban'!A46</f>
        <v>2011q4</v>
      </c>
      <c r="B46" s="7">
        <v>39679.286244765506</v>
      </c>
      <c r="C46" s="7">
        <v>242968.67667019999</v>
      </c>
      <c r="D46" s="234">
        <f>'GDP Durban'!D46</f>
        <v>493072837000</v>
      </c>
      <c r="E46" s="234">
        <f>'GDP Durban'!E46</f>
        <v>80704714857.85849</v>
      </c>
      <c r="F46" s="235"/>
      <c r="G46" s="235"/>
      <c r="H46" s="92"/>
      <c r="I46" s="92"/>
      <c r="J46" s="92"/>
      <c r="K46" s="92"/>
      <c r="L46" s="235"/>
      <c r="M46" s="288">
        <f t="shared" si="15"/>
        <v>2557767169.9827886</v>
      </c>
      <c r="N46" s="92">
        <f t="shared" si="16"/>
        <v>7.519850601721231</v>
      </c>
      <c r="O46" s="92">
        <f t="shared" si="17"/>
        <v>4.8270342631528287</v>
      </c>
      <c r="Q46" s="289">
        <f t="shared" si="14"/>
        <v>3.1692908828036458E-2</v>
      </c>
    </row>
    <row r="47" spans="1:17">
      <c r="A47" t="str">
        <f>'GDP Durban'!A47</f>
        <v>2012q1</v>
      </c>
      <c r="B47" s="7">
        <v>39679.286244765506</v>
      </c>
      <c r="C47" s="7">
        <v>242968.67667019999</v>
      </c>
      <c r="D47" s="234">
        <f>'GDP Durban'!D47</f>
        <v>473284397000</v>
      </c>
      <c r="E47" s="234">
        <f>'GDP Durban'!E47</f>
        <v>77631579507.842682</v>
      </c>
      <c r="F47" s="235"/>
      <c r="G47" s="235"/>
      <c r="H47" s="92"/>
      <c r="I47" s="92"/>
      <c r="J47" s="92"/>
      <c r="K47" s="92"/>
      <c r="L47" s="235"/>
      <c r="M47" s="288">
        <f t="shared" si="15"/>
        <v>2417786667.4027238</v>
      </c>
      <c r="N47" s="92">
        <f t="shared" si="16"/>
        <v>-5.4727617205676582</v>
      </c>
      <c r="O47" s="92">
        <f t="shared" si="17"/>
        <v>4.7148376755636772</v>
      </c>
      <c r="Q47" s="289">
        <f t="shared" si="14"/>
        <v>3.1144370406098312E-2</v>
      </c>
    </row>
    <row r="48" spans="1:17">
      <c r="A48" t="str">
        <f>'GDP Durban'!A48</f>
        <v>2012q2</v>
      </c>
      <c r="B48" s="7">
        <v>39679.286244765506</v>
      </c>
      <c r="C48" s="7">
        <v>242968.67667019999</v>
      </c>
      <c r="D48" s="234">
        <f>'GDP Durban'!D48</f>
        <v>488293724000.00006</v>
      </c>
      <c r="E48" s="234">
        <f>'GDP Durban'!E48</f>
        <v>80708192955.819916</v>
      </c>
      <c r="F48" s="235"/>
      <c r="G48" s="235"/>
      <c r="H48" s="92"/>
      <c r="I48" s="92"/>
      <c r="J48" s="92"/>
      <c r="K48" s="92"/>
      <c r="L48" s="235"/>
      <c r="M48" s="288">
        <f t="shared" si="15"/>
        <v>2473356276.4869876</v>
      </c>
      <c r="N48" s="92">
        <f t="shared" si="16"/>
        <v>2.2983669251497174</v>
      </c>
      <c r="O48" s="92">
        <f t="shared" si="17"/>
        <v>5.3713276789582061</v>
      </c>
      <c r="Q48" s="289">
        <f t="shared" si="14"/>
        <v>3.0645665401540036E-2</v>
      </c>
    </row>
    <row r="49" spans="1:17">
      <c r="A49" t="str">
        <f>'GDP Durban'!A49</f>
        <v>2012q3</v>
      </c>
      <c r="B49" s="7">
        <v>39679.286244765506</v>
      </c>
      <c r="C49" s="7">
        <v>242968.67667019999</v>
      </c>
      <c r="D49" s="234">
        <f>'GDP Durban'!D49</f>
        <v>491517195000</v>
      </c>
      <c r="E49" s="234">
        <f>'GDP Durban'!E49</f>
        <v>81187502547.664658</v>
      </c>
      <c r="F49" s="235"/>
      <c r="G49" s="235"/>
      <c r="H49" s="92"/>
      <c r="I49" s="92"/>
      <c r="J49" s="92"/>
      <c r="K49" s="92"/>
      <c r="L49" s="235"/>
      <c r="M49" s="288">
        <f t="shared" ref="M49" si="18">E49*Q49</f>
        <v>2478652201.7654486</v>
      </c>
      <c r="N49" s="92">
        <f t="shared" ref="N49" si="19">(M49-M48)/M48*100</f>
        <v>0.21411898191970166</v>
      </c>
      <c r="O49" s="92">
        <f t="shared" ref="O49" si="20">(M49-M45)/M45*100</f>
        <v>4.1941258590952009</v>
      </c>
      <c r="Q49" s="289">
        <f t="shared" si="14"/>
        <v>3.0529972273876115E-2</v>
      </c>
    </row>
    <row r="50" spans="1:17">
      <c r="A50" t="str">
        <f>'GDP Durban'!A50</f>
        <v>2012q4</v>
      </c>
      <c r="B50" s="7">
        <v>39679.286244765506</v>
      </c>
      <c r="C50" s="7">
        <v>242968.67667019999</v>
      </c>
      <c r="D50" s="234">
        <f>'GDP Durban'!D50</f>
        <v>503348264999.99994</v>
      </c>
      <c r="E50" s="234">
        <f>'GDP Durban'!E50</f>
        <v>82654977409.226288</v>
      </c>
      <c r="F50" s="235"/>
      <c r="G50" s="235"/>
      <c r="H50" s="92"/>
      <c r="I50" s="92"/>
      <c r="J50" s="92"/>
      <c r="K50" s="92"/>
      <c r="L50" s="235"/>
      <c r="M50" s="288">
        <f t="shared" ref="M50" si="21">E50*Q50</f>
        <v>2596423343.7674179</v>
      </c>
      <c r="N50" s="92">
        <f t="shared" ref="N50" si="22">(M50-M49)/M49*100</f>
        <v>4.7514186104079261</v>
      </c>
      <c r="O50" s="92">
        <f t="shared" ref="O50" si="23">(M50-M46)/M46*100</f>
        <v>1.5113249649259304</v>
      </c>
      <c r="Q50" s="289">
        <f t="shared" si="14"/>
        <v>3.1412788741233079E-2</v>
      </c>
    </row>
    <row r="51" spans="1:17">
      <c r="A51" t="str">
        <f>'GDP Durban'!A51</f>
        <v>2013q1</v>
      </c>
      <c r="B51" s="7">
        <v>39679.286244765506</v>
      </c>
      <c r="C51" s="7">
        <v>242968.67667019999</v>
      </c>
      <c r="D51" s="234">
        <f>'GDP Durban'!D51</f>
        <v>480893886285.29028</v>
      </c>
      <c r="E51" s="234">
        <f>'GDP Durban'!E51</f>
        <v>78747632494.84906</v>
      </c>
      <c r="F51" s="235"/>
      <c r="G51" s="235"/>
      <c r="H51" s="92"/>
      <c r="I51" s="92"/>
      <c r="J51" s="92"/>
      <c r="K51" s="92"/>
      <c r="L51" s="235"/>
      <c r="M51" s="288">
        <f t="shared" ref="M51:M54" si="24">E51*Q51</f>
        <v>2428323876.218154</v>
      </c>
      <c r="N51" s="92">
        <f t="shared" ref="N51:N54" si="25">(M51-M50)/M50*100</f>
        <v>-6.4742703824774246</v>
      </c>
      <c r="O51" s="92">
        <f t="shared" ref="O51:O54" si="26">(M51-M47)/M47*100</f>
        <v>0.43582045337149722</v>
      </c>
      <c r="Q51" s="289">
        <f t="shared" si="14"/>
        <v>3.0836785809109785E-2</v>
      </c>
    </row>
    <row r="52" spans="1:17">
      <c r="A52" t="str">
        <f>'GDP Durban'!A52</f>
        <v>2013q2</v>
      </c>
      <c r="B52" s="7">
        <v>39679.286244765506</v>
      </c>
      <c r="C52" s="7">
        <v>242968.67667019999</v>
      </c>
      <c r="D52" s="234">
        <f>'GDP Durban'!D52</f>
        <v>499484699761.94434</v>
      </c>
      <c r="E52" s="234">
        <f>'GDP Durban'!E52</f>
        <v>82753463447.064102</v>
      </c>
      <c r="F52" s="235"/>
      <c r="G52" s="235"/>
      <c r="H52" s="92"/>
      <c r="I52" s="92"/>
      <c r="J52" s="92"/>
      <c r="K52" s="92"/>
      <c r="L52" s="235"/>
      <c r="M52" s="288">
        <f t="shared" si="24"/>
        <v>2505894705.0930009</v>
      </c>
      <c r="N52" s="92">
        <f t="shared" si="25"/>
        <v>3.1944185713668034</v>
      </c>
      <c r="O52" s="92">
        <f t="shared" si="26"/>
        <v>1.3155576863446863</v>
      </c>
      <c r="Q52" s="289">
        <f t="shared" si="14"/>
        <v>3.0281448059222036E-2</v>
      </c>
    </row>
    <row r="53" spans="1:17">
      <c r="A53" t="str">
        <f>'GDP Durban'!A53</f>
        <v>2013q3</v>
      </c>
      <c r="B53" s="7">
        <v>39679.286244765506</v>
      </c>
      <c r="C53" s="7">
        <v>242968.67667019999</v>
      </c>
      <c r="D53" s="234">
        <f>'GDP Durban'!D53</f>
        <v>499774920452.24109</v>
      </c>
      <c r="E53" s="234">
        <f>'GDP Durban'!E53</f>
        <v>82311260048.170883</v>
      </c>
      <c r="F53" s="235"/>
      <c r="G53" s="235"/>
      <c r="H53" s="92"/>
      <c r="I53" s="92"/>
      <c r="J53" s="92"/>
      <c r="K53" s="92"/>
      <c r="L53" s="235"/>
      <c r="M53" s="288">
        <f t="shared" si="24"/>
        <v>2486831806.073566</v>
      </c>
      <c r="N53" s="92">
        <f t="shared" si="25"/>
        <v>-0.76072226740777804</v>
      </c>
      <c r="O53" s="92">
        <f t="shared" si="26"/>
        <v>0.33000209962056687</v>
      </c>
      <c r="Q53" s="289">
        <f t="shared" si="14"/>
        <v>3.0212534768854243E-2</v>
      </c>
    </row>
    <row r="54" spans="1:17">
      <c r="A54" t="str">
        <f>'GDP Durban'!A54</f>
        <v>2013q4</v>
      </c>
      <c r="B54" s="7">
        <v>39679.286244765506</v>
      </c>
      <c r="C54" s="7">
        <v>242968.67667019999</v>
      </c>
      <c r="D54" s="234">
        <f>'GDP Durban'!D54</f>
        <v>513279157606.09894</v>
      </c>
      <c r="E54" s="234">
        <f>'GDP Durban'!E54</f>
        <v>83974079876.575684</v>
      </c>
      <c r="F54" s="235"/>
      <c r="G54" s="235"/>
      <c r="H54" s="92"/>
      <c r="I54" s="92"/>
      <c r="J54" s="92"/>
      <c r="K54" s="92"/>
      <c r="L54" s="235"/>
      <c r="M54" s="288">
        <f t="shared" si="24"/>
        <v>2645456097.6413527</v>
      </c>
      <c r="N54" s="92">
        <f t="shared" si="25"/>
        <v>6.3785693580233325</v>
      </c>
      <c r="O54" s="92">
        <f t="shared" si="26"/>
        <v>1.8884730023566987</v>
      </c>
      <c r="Q54" s="289">
        <f t="shared" si="14"/>
        <v>3.1503246019838733E-2</v>
      </c>
    </row>
    <row r="55" spans="1:17">
      <c r="M55" s="92"/>
    </row>
    <row r="56" spans="1:17">
      <c r="M56" s="92"/>
    </row>
    <row r="57" spans="1:17">
      <c r="M57" s="92"/>
    </row>
    <row r="58" spans="1:17">
      <c r="M58" s="92"/>
    </row>
  </sheetData>
  <mergeCells count="2">
    <mergeCell ref="D1:O1"/>
    <mergeCell ref="R11:T11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58"/>
  <sheetViews>
    <sheetView workbookViewId="0"/>
  </sheetViews>
  <sheetFormatPr defaultRowHeight="12.75"/>
  <cols>
    <col min="1" max="1" width="7.5" style="7" bestFit="1" customWidth="1"/>
    <col min="2" max="2" width="9" style="7" hidden="1" customWidth="1"/>
    <col min="3" max="3" width="16.5" style="7" hidden="1" customWidth="1"/>
    <col min="4" max="4" width="17.125" style="7" customWidth="1"/>
    <col min="5" max="5" width="15.5" style="7" bestFit="1" customWidth="1"/>
    <col min="6" max="6" width="13.75" style="7" hidden="1" customWidth="1"/>
    <col min="7" max="7" width="14.125" style="7" hidden="1" customWidth="1"/>
    <col min="8" max="8" width="10.375" style="7" hidden="1" customWidth="1"/>
    <col min="9" max="9" width="8" style="7" hidden="1" customWidth="1"/>
    <col min="10" max="10" width="7.875" style="7" hidden="1" customWidth="1"/>
    <col min="11" max="11" width="9.375" style="7" hidden="1" customWidth="1"/>
    <col min="12" max="12" width="11" hidden="1" customWidth="1"/>
    <col min="13" max="13" width="17.875" customWidth="1"/>
    <col min="14" max="14" width="15.75" customWidth="1"/>
    <col min="15" max="15" width="13.5" customWidth="1"/>
    <col min="16" max="16" width="11.375" customWidth="1"/>
    <col min="17" max="17" width="8" customWidth="1"/>
    <col min="19" max="19" width="14.5" bestFit="1" customWidth="1"/>
  </cols>
  <sheetData>
    <row r="1" spans="1:20" ht="28.5" customHeight="1" thickBot="1">
      <c r="D1" s="418" t="s">
        <v>251</v>
      </c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20"/>
    </row>
    <row r="2" spans="1:20" ht="39" thickBot="1">
      <c r="C2" s="233" t="s">
        <v>214</v>
      </c>
      <c r="D2" s="241" t="s">
        <v>231</v>
      </c>
      <c r="E2" s="239" t="s">
        <v>223</v>
      </c>
      <c r="F2" s="239" t="s">
        <v>213</v>
      </c>
      <c r="G2" s="239" t="s">
        <v>212</v>
      </c>
      <c r="H2" s="239" t="s">
        <v>215</v>
      </c>
      <c r="I2" s="239" t="s">
        <v>216</v>
      </c>
      <c r="J2" s="239" t="s">
        <v>217</v>
      </c>
      <c r="K2" s="239" t="s">
        <v>218</v>
      </c>
      <c r="L2" s="239" t="s">
        <v>245</v>
      </c>
      <c r="M2" s="239" t="s">
        <v>248</v>
      </c>
      <c r="N2" s="239" t="s">
        <v>249</v>
      </c>
      <c r="O2" s="240" t="s">
        <v>250</v>
      </c>
    </row>
    <row r="3" spans="1:20" hidden="1">
      <c r="A3" t="s">
        <v>197</v>
      </c>
      <c r="B3" s="7">
        <v>37676.73632361889</v>
      </c>
      <c r="C3" s="7">
        <v>228114.65100000001</v>
      </c>
      <c r="D3" s="234">
        <v>322910910060.36981</v>
      </c>
      <c r="E3" s="234">
        <v>50112796216.986862</v>
      </c>
    </row>
    <row r="4" spans="1:20" hidden="1">
      <c r="A4" t="s">
        <v>198</v>
      </c>
      <c r="B4" s="7">
        <v>39785.998991779808</v>
      </c>
      <c r="C4" s="7">
        <v>237077.625</v>
      </c>
      <c r="D4" s="234">
        <v>334720112818.65576</v>
      </c>
      <c r="E4" s="234">
        <v>52845129483.895035</v>
      </c>
    </row>
    <row r="5" spans="1:20" hidden="1">
      <c r="A5" t="s">
        <v>199</v>
      </c>
      <c r="B5" s="7">
        <v>40039.788367970163</v>
      </c>
      <c r="C5" s="7">
        <v>239764.666</v>
      </c>
      <c r="D5" s="234">
        <v>338640978501.02924</v>
      </c>
      <c r="E5" s="234">
        <v>53165072537.585495</v>
      </c>
    </row>
    <row r="6" spans="1:20" hidden="1">
      <c r="A6" t="s">
        <v>196</v>
      </c>
      <c r="B6" s="7">
        <v>40074.592176024802</v>
      </c>
      <c r="C6" s="7">
        <v>242416.25599999999</v>
      </c>
      <c r="D6" s="234">
        <v>342446668348.70929</v>
      </c>
      <c r="E6" s="234">
        <v>53231276652.014305</v>
      </c>
    </row>
    <row r="7" spans="1:20" hidden="1">
      <c r="A7" t="s">
        <v>193</v>
      </c>
      <c r="B7" s="7">
        <v>38164.553783353913</v>
      </c>
      <c r="C7" s="7">
        <v>234422.22595000002</v>
      </c>
      <c r="D7" s="234">
        <v>333305590430.95892</v>
      </c>
      <c r="E7" s="234">
        <v>51711374534.346764</v>
      </c>
      <c r="F7" s="235">
        <v>4118958622</v>
      </c>
      <c r="G7" s="235">
        <v>674878797</v>
      </c>
      <c r="H7" s="92">
        <f>E7/D7*100</f>
        <v>15.514703629028473</v>
      </c>
      <c r="I7" s="92">
        <f>G7/F7*100</f>
        <v>16.384694747729856</v>
      </c>
      <c r="J7" s="92">
        <f>D7/F7</f>
        <v>80.919868592687919</v>
      </c>
      <c r="K7" s="92">
        <f>E7/G7</f>
        <v>76.623202216777841</v>
      </c>
      <c r="M7" s="234">
        <f>E7*$L$26</f>
        <v>1465966203.2398498</v>
      </c>
    </row>
    <row r="8" spans="1:20" hidden="1">
      <c r="A8" t="s">
        <v>194</v>
      </c>
      <c r="B8" s="7">
        <v>40899.509629239452</v>
      </c>
      <c r="C8" s="7">
        <v>246691.99999189001</v>
      </c>
      <c r="D8" s="234">
        <v>347204329137.22797</v>
      </c>
      <c r="E8" s="234">
        <v>54878905030.490082</v>
      </c>
      <c r="F8" s="235">
        <v>4128329079</v>
      </c>
      <c r="G8" s="235">
        <v>697677279</v>
      </c>
      <c r="H8" s="92">
        <f t="shared" ref="H8:H38" si="0">E8/D8*100</f>
        <v>15.80593916177811</v>
      </c>
      <c r="I8" s="92">
        <f t="shared" ref="I8:I37" si="1">G8/F8*100</f>
        <v>16.899749648082743</v>
      </c>
      <c r="J8" s="92">
        <f t="shared" ref="J8:K36" si="2">D8/F8</f>
        <v>84.102871281116677</v>
      </c>
      <c r="K8" s="92">
        <f t="shared" si="2"/>
        <v>78.659441381192067</v>
      </c>
      <c r="M8" s="234">
        <f t="shared" ref="M8:M30" si="3">E8*$L$26</f>
        <v>1555762552.6289663</v>
      </c>
      <c r="N8" s="92">
        <f>(M8-M7)/M7*100</f>
        <v>6.1254037910739445</v>
      </c>
    </row>
    <row r="9" spans="1:20" hidden="1">
      <c r="A9" t="s">
        <v>195</v>
      </c>
      <c r="B9" s="7">
        <v>40843.515709009815</v>
      </c>
      <c r="C9" s="7">
        <v>248774.73830440003</v>
      </c>
      <c r="D9" s="234">
        <v>350396669892.96594</v>
      </c>
      <c r="E9" s="234">
        <v>54975894517.663895</v>
      </c>
      <c r="F9" s="235">
        <v>4479766142</v>
      </c>
      <c r="G9" s="235">
        <v>748604188</v>
      </c>
      <c r="H9" s="92">
        <f t="shared" si="0"/>
        <v>15.68961672337158</v>
      </c>
      <c r="I9" s="92">
        <f t="shared" si="1"/>
        <v>16.71078722126741</v>
      </c>
      <c r="J9" s="92">
        <f t="shared" si="2"/>
        <v>78.217625381786263</v>
      </c>
      <c r="K9" s="92">
        <f t="shared" si="2"/>
        <v>73.43786663088224</v>
      </c>
      <c r="M9" s="234">
        <f t="shared" si="3"/>
        <v>1558512108.438432</v>
      </c>
      <c r="N9" s="92">
        <f t="shared" ref="N9:N36" si="4">(M9-M8)/M8*100</f>
        <v>0.17673364131431102</v>
      </c>
    </row>
    <row r="10" spans="1:20" ht="13.5" hidden="1" thickBot="1">
      <c r="A10" t="s">
        <v>192</v>
      </c>
      <c r="B10" s="7">
        <v>41049.652983244421</v>
      </c>
      <c r="C10" s="7">
        <v>252232.9458972</v>
      </c>
      <c r="D10" s="234">
        <v>355528420538.84723</v>
      </c>
      <c r="E10" s="234">
        <v>55380505788.006569</v>
      </c>
      <c r="F10" s="235">
        <v>4393645140</v>
      </c>
      <c r="G10" s="235">
        <v>741841930</v>
      </c>
      <c r="H10" s="92">
        <f t="shared" si="0"/>
        <v>15.576956043083861</v>
      </c>
      <c r="I10" s="92">
        <f t="shared" si="1"/>
        <v>16.884429815376485</v>
      </c>
      <c r="J10" s="92">
        <f t="shared" si="2"/>
        <v>80.918783654623326</v>
      </c>
      <c r="K10" s="92">
        <f t="shared" si="2"/>
        <v>74.65270369390764</v>
      </c>
      <c r="M10" s="234">
        <f t="shared" si="3"/>
        <v>1569982436.8354917</v>
      </c>
      <c r="N10" s="92">
        <f t="shared" si="4"/>
        <v>0.73597942133106031</v>
      </c>
    </row>
    <row r="11" spans="1:20" ht="15.75" thickBot="1">
      <c r="A11" t="str">
        <f>'GDP Durban'!A11</f>
        <v>2003q1</v>
      </c>
      <c r="B11" s="7">
        <v>39679.286244765506</v>
      </c>
      <c r="C11" s="7">
        <v>242968.67667019999</v>
      </c>
      <c r="D11" s="234">
        <f>'GDP Durban'!D11</f>
        <v>343994759999.99994</v>
      </c>
      <c r="E11" s="234">
        <f>'GDP Durban'!E11</f>
        <v>55181294713.915733</v>
      </c>
      <c r="F11" s="235">
        <v>4324510166.1150007</v>
      </c>
      <c r="G11" s="235">
        <v>733454143.19999993</v>
      </c>
      <c r="H11" s="92">
        <f t="shared" si="0"/>
        <v>16.041318395058035</v>
      </c>
      <c r="I11" s="92">
        <f t="shared" si="1"/>
        <v>16.960398172885121</v>
      </c>
      <c r="J11" s="92">
        <f t="shared" si="2"/>
        <v>79.545369715024549</v>
      </c>
      <c r="K11" s="92">
        <f t="shared" si="2"/>
        <v>75.234825824507993</v>
      </c>
      <c r="M11" s="234">
        <f t="shared" si="3"/>
        <v>1564335000.3757567</v>
      </c>
      <c r="N11" s="92">
        <f t="shared" si="4"/>
        <v>-0.35971335266132504</v>
      </c>
      <c r="O11" s="92">
        <f>(M11-M7)/M7*100</f>
        <v>6.710168141564762</v>
      </c>
      <c r="R11" s="421" t="s">
        <v>347</v>
      </c>
      <c r="S11" s="422"/>
      <c r="T11" s="423"/>
    </row>
    <row r="12" spans="1:20">
      <c r="A12" t="str">
        <f>'GDP Durban'!A12</f>
        <v>2003q2</v>
      </c>
      <c r="B12" s="7">
        <v>39679.286244765506</v>
      </c>
      <c r="C12" s="7">
        <v>242968.67667019999</v>
      </c>
      <c r="D12" s="234">
        <f>'GDP Durban'!D12</f>
        <v>358345100000</v>
      </c>
      <c r="E12" s="234">
        <f>'GDP Durban'!E12</f>
        <v>58708707406.102829</v>
      </c>
      <c r="F12" s="235">
        <v>4344832650.1500006</v>
      </c>
      <c r="G12" s="235">
        <v>733104993.00000012</v>
      </c>
      <c r="H12" s="92">
        <f t="shared" si="0"/>
        <v>16.383287341197864</v>
      </c>
      <c r="I12" s="92">
        <f t="shared" si="1"/>
        <v>16.873031760491177</v>
      </c>
      <c r="J12" s="92">
        <f t="shared" si="2"/>
        <v>82.476157047758448</v>
      </c>
      <c r="K12" s="92">
        <f t="shared" si="2"/>
        <v>80.082263750320436</v>
      </c>
      <c r="M12" s="234">
        <f t="shared" si="3"/>
        <v>1664333653.2483649</v>
      </c>
      <c r="N12" s="92">
        <f t="shared" si="4"/>
        <v>6.3924065400689924</v>
      </c>
      <c r="O12" s="92">
        <f t="shared" ref="O12:O36" si="5">(M12-M8)/M8*100</f>
        <v>6.9786421093586837</v>
      </c>
      <c r="R12" s="7">
        <v>2001</v>
      </c>
    </row>
    <row r="13" spans="1:20">
      <c r="A13" t="str">
        <f>'GDP Durban'!A13</f>
        <v>2003q3</v>
      </c>
      <c r="B13" s="7">
        <v>39679.286244765506</v>
      </c>
      <c r="C13" s="7">
        <v>242968.67667019999</v>
      </c>
      <c r="D13" s="234">
        <f>'GDP Durban'!D13</f>
        <v>360923000000</v>
      </c>
      <c r="E13" s="234">
        <f>'GDP Durban'!E13</f>
        <v>58465530322.692268</v>
      </c>
      <c r="F13" s="235">
        <v>4469507962.3999996</v>
      </c>
      <c r="G13" s="235">
        <v>755965791.00000012</v>
      </c>
      <c r="H13" s="92">
        <f t="shared" si="0"/>
        <v>16.198892928046224</v>
      </c>
      <c r="I13" s="92">
        <f t="shared" si="1"/>
        <v>16.913848176569036</v>
      </c>
      <c r="J13" s="92">
        <f t="shared" si="2"/>
        <v>80.752289298125461</v>
      </c>
      <c r="K13" s="92">
        <f t="shared" si="2"/>
        <v>77.338857152984929</v>
      </c>
      <c r="M13" s="234">
        <f t="shared" si="3"/>
        <v>1657439824.0107465</v>
      </c>
      <c r="N13" s="92">
        <f t="shared" si="4"/>
        <v>-0.41420956814539006</v>
      </c>
      <c r="O13" s="92">
        <f t="shared" si="5"/>
        <v>6.3475743971881107</v>
      </c>
      <c r="R13" s="7">
        <f>R12+1</f>
        <v>2002</v>
      </c>
      <c r="S13" s="284">
        <f>SUM(M7:M10)</f>
        <v>6150223301.1427402</v>
      </c>
    </row>
    <row r="14" spans="1:20">
      <c r="A14" t="str">
        <f>'GDP Durban'!A14</f>
        <v>2003q4</v>
      </c>
      <c r="B14" s="7">
        <v>39679.286244765506</v>
      </c>
      <c r="C14" s="7">
        <v>242968.67667019999</v>
      </c>
      <c r="D14" s="234">
        <f>'GDP Durban'!D14</f>
        <v>364059160000</v>
      </c>
      <c r="E14" s="234">
        <f>'GDP Durban'!E14</f>
        <v>58326547234.588341</v>
      </c>
      <c r="F14" s="235">
        <v>4792454884.6540003</v>
      </c>
      <c r="G14" s="235">
        <v>792421454</v>
      </c>
      <c r="H14" s="92">
        <f t="shared" si="0"/>
        <v>16.021172832071674</v>
      </c>
      <c r="I14" s="92">
        <f t="shared" si="1"/>
        <v>16.534771282613971</v>
      </c>
      <c r="J14" s="92">
        <f t="shared" si="2"/>
        <v>75.965067749674574</v>
      </c>
      <c r="K14" s="92">
        <f t="shared" si="2"/>
        <v>73.605462017928076</v>
      </c>
      <c r="M14" s="234">
        <f t="shared" si="3"/>
        <v>1653499791.2458673</v>
      </c>
      <c r="N14" s="92">
        <f t="shared" si="4"/>
        <v>-0.23771799783022957</v>
      </c>
      <c r="O14" s="92">
        <f t="shared" si="5"/>
        <v>5.3196362233653982</v>
      </c>
      <c r="R14" s="7">
        <f t="shared" ref="R14:R24" si="6">R13+1</f>
        <v>2003</v>
      </c>
      <c r="S14" s="284">
        <f>SUM(M11:M14)</f>
        <v>6539608268.8807354</v>
      </c>
      <c r="T14" s="92">
        <f>(S14-S13)/S13*100</f>
        <v>6.3312330084932951</v>
      </c>
    </row>
    <row r="15" spans="1:20">
      <c r="A15" t="str">
        <f>'GDP Durban'!A15</f>
        <v>2004q1</v>
      </c>
      <c r="B15" s="7">
        <v>39679.286244765506</v>
      </c>
      <c r="C15" s="7">
        <v>242968.67667019999</v>
      </c>
      <c r="D15" s="234">
        <f>'GDP Durban'!D15</f>
        <v>356887070000</v>
      </c>
      <c r="E15" s="234">
        <f>'GDP Durban'!E15</f>
        <v>57038420961.214691</v>
      </c>
      <c r="F15" s="235">
        <v>4499340550.9499998</v>
      </c>
      <c r="G15" s="235">
        <v>735941631.61000013</v>
      </c>
      <c r="H15" s="92">
        <f t="shared" si="0"/>
        <v>15.982204387851509</v>
      </c>
      <c r="I15" s="92">
        <f t="shared" si="1"/>
        <v>16.356655453755593</v>
      </c>
      <c r="J15" s="92">
        <f t="shared" si="2"/>
        <v>79.319861646090814</v>
      </c>
      <c r="K15" s="92">
        <f t="shared" si="2"/>
        <v>77.504001012190656</v>
      </c>
      <c r="M15" s="234">
        <f t="shared" si="3"/>
        <v>1616982688.3980825</v>
      </c>
      <c r="N15" s="92">
        <f t="shared" si="4"/>
        <v>-2.2084733872430737</v>
      </c>
      <c r="O15" s="92">
        <f t="shared" si="5"/>
        <v>3.3654995899011184</v>
      </c>
      <c r="R15" s="7">
        <f t="shared" si="6"/>
        <v>2004</v>
      </c>
      <c r="S15" s="284">
        <f>SUM(M15:M18)</f>
        <v>6833669696.961792</v>
      </c>
      <c r="T15" s="92">
        <f t="shared" ref="T15:T21" si="7">(S15-S14)/S14*100</f>
        <v>4.4966214487245688</v>
      </c>
    </row>
    <row r="16" spans="1:20">
      <c r="A16" t="str">
        <f>'GDP Durban'!A16</f>
        <v>2004q2</v>
      </c>
      <c r="B16" s="7">
        <v>39679.286244765506</v>
      </c>
      <c r="C16" s="7">
        <v>242968.67667019999</v>
      </c>
      <c r="D16" s="234">
        <f>'GDP Durban'!D16</f>
        <v>371714000000</v>
      </c>
      <c r="E16" s="234">
        <f>'GDP Durban'!E16</f>
        <v>60603210461.404221</v>
      </c>
      <c r="F16" s="235">
        <v>4543677182.2600002</v>
      </c>
      <c r="G16" s="235">
        <v>765181765.9000001</v>
      </c>
      <c r="H16" s="92">
        <f t="shared" si="0"/>
        <v>16.303720188479375</v>
      </c>
      <c r="I16" s="92">
        <f t="shared" si="1"/>
        <v>16.8405838532614</v>
      </c>
      <c r="J16" s="92">
        <f t="shared" si="2"/>
        <v>81.809068974198439</v>
      </c>
      <c r="K16" s="92">
        <f t="shared" si="2"/>
        <v>79.201064586429681</v>
      </c>
      <c r="M16" s="234">
        <f t="shared" si="3"/>
        <v>1718040936.7235279</v>
      </c>
      <c r="N16" s="92">
        <f t="shared" si="4"/>
        <v>6.2498039744359986</v>
      </c>
      <c r="O16" s="92">
        <f t="shared" si="5"/>
        <v>3.2269541248739242</v>
      </c>
      <c r="R16" s="7">
        <f t="shared" si="6"/>
        <v>2005</v>
      </c>
      <c r="S16" s="284">
        <f>SUM(M19:M22)</f>
        <v>7227278573.7688732</v>
      </c>
      <c r="T16" s="92">
        <f t="shared" si="7"/>
        <v>5.7598463821287309</v>
      </c>
    </row>
    <row r="17" spans="1:20">
      <c r="A17" t="str">
        <f>'GDP Durban'!A17</f>
        <v>2004q3</v>
      </c>
      <c r="B17" s="7">
        <v>39679.286244765506</v>
      </c>
      <c r="C17" s="7">
        <v>242968.67667019999</v>
      </c>
      <c r="D17" s="234">
        <f>'GDP Durban'!D17</f>
        <v>379044000000</v>
      </c>
      <c r="E17" s="234">
        <f>'GDP Durban'!E17</f>
        <v>61506209899.158623</v>
      </c>
      <c r="F17" s="235">
        <v>4775490888.2999992</v>
      </c>
      <c r="G17" s="235">
        <v>793665970.39999986</v>
      </c>
      <c r="H17" s="92">
        <f t="shared" si="0"/>
        <v>16.226667589820345</v>
      </c>
      <c r="I17" s="92">
        <f t="shared" si="1"/>
        <v>16.619568311699421</v>
      </c>
      <c r="J17" s="92">
        <f t="shared" si="2"/>
        <v>79.372782582134462</v>
      </c>
      <c r="K17" s="92">
        <f t="shared" si="2"/>
        <v>77.496342533320529</v>
      </c>
      <c r="M17" s="234">
        <f t="shared" si="3"/>
        <v>1743640075.58249</v>
      </c>
      <c r="N17" s="92">
        <f t="shared" si="4"/>
        <v>1.4900191440014299</v>
      </c>
      <c r="O17" s="92">
        <f t="shared" si="5"/>
        <v>5.2008073127597658</v>
      </c>
      <c r="R17" s="7">
        <f t="shared" si="6"/>
        <v>2006</v>
      </c>
      <c r="S17" s="284">
        <f>SUM(M23:M26)</f>
        <v>7627169084.1584873</v>
      </c>
      <c r="T17" s="92">
        <f t="shared" si="7"/>
        <v>5.5330717684108812</v>
      </c>
    </row>
    <row r="18" spans="1:20">
      <c r="A18" t="str">
        <f>'GDP Durban'!A18</f>
        <v>2004q4</v>
      </c>
      <c r="B18" s="7">
        <v>39679.286244765506</v>
      </c>
      <c r="C18" s="7">
        <v>242968.67667019999</v>
      </c>
      <c r="D18" s="234">
        <f>'GDP Durban'!D18</f>
        <v>384685190000</v>
      </c>
      <c r="E18" s="234">
        <f>'GDP Durban'!E18</f>
        <v>61907138228.654938</v>
      </c>
      <c r="F18" s="235">
        <v>4830257034.4000006</v>
      </c>
      <c r="G18" s="235">
        <v>826240651</v>
      </c>
      <c r="H18" s="92">
        <f t="shared" si="0"/>
        <v>16.092935168274852</v>
      </c>
      <c r="I18" s="92">
        <f t="shared" si="1"/>
        <v>17.105521406328908</v>
      </c>
      <c r="J18" s="92">
        <f t="shared" si="2"/>
        <v>79.640728694220385</v>
      </c>
      <c r="K18" s="92">
        <f t="shared" si="2"/>
        <v>74.926279835939638</v>
      </c>
      <c r="M18" s="234">
        <f t="shared" si="3"/>
        <v>1755005996.2576911</v>
      </c>
      <c r="N18" s="92">
        <f t="shared" si="4"/>
        <v>0.65185016302198806</v>
      </c>
      <c r="O18" s="92">
        <f t="shared" si="5"/>
        <v>6.1388701437537962</v>
      </c>
      <c r="R18" s="7">
        <f t="shared" si="6"/>
        <v>2007</v>
      </c>
      <c r="S18" s="284">
        <f>SUM(M27:M30)</f>
        <v>8075187413.6176615</v>
      </c>
      <c r="T18" s="92">
        <f t="shared" si="7"/>
        <v>5.8739792512231226</v>
      </c>
    </row>
    <row r="19" spans="1:20">
      <c r="A19" t="str">
        <f>'GDP Durban'!A19</f>
        <v>2005q1</v>
      </c>
      <c r="B19" s="7">
        <v>39679.286244765506</v>
      </c>
      <c r="C19" s="7">
        <v>242968.67667019999</v>
      </c>
      <c r="D19" s="234">
        <f>'GDP Durban'!D19</f>
        <v>376326800000.00006</v>
      </c>
      <c r="E19" s="234">
        <f>'GDP Durban'!E19</f>
        <v>60432298014.112061</v>
      </c>
      <c r="F19" s="235">
        <v>4690209425</v>
      </c>
      <c r="G19" s="235">
        <v>774740717</v>
      </c>
      <c r="H19" s="92">
        <f t="shared" si="0"/>
        <v>16.058462489015412</v>
      </c>
      <c r="I19" s="92">
        <f t="shared" si="1"/>
        <v>16.51825423552382</v>
      </c>
      <c r="J19" s="92">
        <f t="shared" si="2"/>
        <v>80.23667301380685</v>
      </c>
      <c r="K19" s="92">
        <f t="shared" si="2"/>
        <v>78.003255396362576</v>
      </c>
      <c r="L19">
        <f t="shared" ref="L19:L24" si="8">M31/E31</f>
        <v>2.8514810350969717E-2</v>
      </c>
      <c r="M19" s="234">
        <f t="shared" si="3"/>
        <v>1713195738.2792881</v>
      </c>
      <c r="N19" s="92">
        <f t="shared" si="4"/>
        <v>-2.3823427422788135</v>
      </c>
      <c r="O19" s="92">
        <f t="shared" si="5"/>
        <v>5.9501595515856893</v>
      </c>
      <c r="R19" s="7">
        <f t="shared" si="6"/>
        <v>2008</v>
      </c>
      <c r="S19" s="284">
        <f>SUM(M31:M34)</f>
        <v>8371160277.947649</v>
      </c>
      <c r="T19" s="92">
        <f t="shared" si="7"/>
        <v>3.6652135631040728</v>
      </c>
    </row>
    <row r="20" spans="1:20">
      <c r="A20" t="str">
        <f>'GDP Durban'!A20</f>
        <v>2005q2</v>
      </c>
      <c r="B20" s="7">
        <v>39679.286244765506</v>
      </c>
      <c r="C20" s="7">
        <v>242968.67667019999</v>
      </c>
      <c r="D20" s="234">
        <f>'GDP Durban'!D20</f>
        <v>391001650000</v>
      </c>
      <c r="E20" s="234">
        <f>'GDP Durban'!E20</f>
        <v>63723503402.272804</v>
      </c>
      <c r="F20" s="235">
        <v>4760343407</v>
      </c>
      <c r="G20" s="235">
        <v>805551748</v>
      </c>
      <c r="H20" s="92">
        <f t="shared" si="0"/>
        <v>16.297502428000701</v>
      </c>
      <c r="I20" s="92">
        <f t="shared" si="1"/>
        <v>16.922135214351357</v>
      </c>
      <c r="J20" s="92">
        <f t="shared" si="2"/>
        <v>82.137278042806543</v>
      </c>
      <c r="K20" s="92">
        <f t="shared" si="2"/>
        <v>79.105412607549582</v>
      </c>
      <c r="L20">
        <f t="shared" si="8"/>
        <v>2.7565614609602062E-2</v>
      </c>
      <c r="M20" s="234">
        <f t="shared" si="3"/>
        <v>1806498148.2502298</v>
      </c>
      <c r="N20" s="92">
        <f t="shared" si="4"/>
        <v>5.4461033194405175</v>
      </c>
      <c r="O20" s="92">
        <f t="shared" si="5"/>
        <v>5.148725483538156</v>
      </c>
      <c r="R20" s="7">
        <f t="shared" si="6"/>
        <v>2009</v>
      </c>
      <c r="S20" s="284">
        <f>SUM(M35:M38)</f>
        <v>8267267792.8875599</v>
      </c>
      <c r="T20" s="92">
        <f t="shared" si="7"/>
        <v>-1.2410762858498314</v>
      </c>
    </row>
    <row r="21" spans="1:20">
      <c r="A21" t="str">
        <f>'GDP Durban'!A21</f>
        <v>2005q3</v>
      </c>
      <c r="B21" s="7">
        <v>39679.286244765506</v>
      </c>
      <c r="C21" s="7">
        <v>242968.67667019999</v>
      </c>
      <c r="D21" s="234">
        <f>'GDP Durban'!D21</f>
        <v>399721750000</v>
      </c>
      <c r="E21" s="234">
        <f>'GDP Durban'!E21</f>
        <v>65295808538.534554</v>
      </c>
      <c r="F21" s="235">
        <v>4824982237</v>
      </c>
      <c r="G21" s="235">
        <v>802738840</v>
      </c>
      <c r="H21" s="92">
        <f t="shared" si="0"/>
        <v>16.335315388400694</v>
      </c>
      <c r="I21" s="92">
        <f t="shared" si="1"/>
        <v>16.637135652941058</v>
      </c>
      <c r="J21" s="92">
        <f t="shared" si="2"/>
        <v>82.844190997174024</v>
      </c>
      <c r="K21" s="92">
        <f t="shared" si="2"/>
        <v>81.341284717872327</v>
      </c>
      <c r="L21">
        <f t="shared" si="8"/>
        <v>2.7768238933294206E-2</v>
      </c>
      <c r="M21" s="234">
        <f t="shared" si="3"/>
        <v>1851071440.1361225</v>
      </c>
      <c r="N21" s="92">
        <f t="shared" si="4"/>
        <v>2.4673865250881231</v>
      </c>
      <c r="O21" s="92">
        <f t="shared" si="5"/>
        <v>6.161326873480089</v>
      </c>
      <c r="R21" s="7">
        <f t="shared" si="6"/>
        <v>2010</v>
      </c>
      <c r="S21" s="284">
        <f>SUM(M39:M42)</f>
        <v>8568592909.4079208</v>
      </c>
      <c r="T21" s="92">
        <f t="shared" si="7"/>
        <v>3.6447968551302399</v>
      </c>
    </row>
    <row r="22" spans="1:20">
      <c r="A22" t="str">
        <f>'GDP Durban'!A22</f>
        <v>2005q4</v>
      </c>
      <c r="B22" s="7">
        <v>39679.286244765506</v>
      </c>
      <c r="C22" s="7">
        <v>242968.67667019999</v>
      </c>
      <c r="D22" s="234">
        <f>'GDP Durban'!D22</f>
        <v>404031700000</v>
      </c>
      <c r="E22" s="234">
        <f>'GDP Durban'!E22</f>
        <v>65487766114.089813</v>
      </c>
      <c r="F22" s="235">
        <v>5011501336</v>
      </c>
      <c r="G22" s="235">
        <v>832010091</v>
      </c>
      <c r="H22" s="92">
        <f t="shared" si="0"/>
        <v>16.208571286384167</v>
      </c>
      <c r="I22" s="92">
        <f t="shared" si="1"/>
        <v>16.602012754606594</v>
      </c>
      <c r="J22" s="92">
        <f t="shared" si="2"/>
        <v>80.620890410154729</v>
      </c>
      <c r="K22" s="92">
        <f t="shared" si="2"/>
        <v>78.710302702434191</v>
      </c>
      <c r="L22">
        <f t="shared" si="8"/>
        <v>2.9155986209972042E-2</v>
      </c>
      <c r="M22" s="234">
        <f t="shared" si="3"/>
        <v>1856513247.1032329</v>
      </c>
      <c r="N22" s="92">
        <f t="shared" si="4"/>
        <v>0.29398146657755259</v>
      </c>
      <c r="O22" s="92">
        <f t="shared" si="5"/>
        <v>5.7838691754895404</v>
      </c>
      <c r="R22" s="7">
        <f t="shared" si="6"/>
        <v>2011</v>
      </c>
      <c r="S22" s="284">
        <f>SUM(M43:M46)</f>
        <v>8869989418.6247959</v>
      </c>
      <c r="T22" s="92">
        <f>(S22-S21)/S21*100</f>
        <v>3.5174562778674616</v>
      </c>
    </row>
    <row r="23" spans="1:20">
      <c r="A23" t="str">
        <f>'GDP Durban'!A23</f>
        <v>2006q1</v>
      </c>
      <c r="B23" s="7">
        <v>39679.286244765506</v>
      </c>
      <c r="C23" s="7">
        <v>242968.67667019999</v>
      </c>
      <c r="D23" s="234">
        <f>'GDP Durban'!D23</f>
        <v>395450149999.99994</v>
      </c>
      <c r="E23" s="234">
        <f>'GDP Durban'!E23</f>
        <v>63682061981.141251</v>
      </c>
      <c r="F23" s="235">
        <v>4675546289</v>
      </c>
      <c r="G23" s="235">
        <v>750919883</v>
      </c>
      <c r="H23" s="92">
        <f t="shared" si="0"/>
        <v>16.10368891784243</v>
      </c>
      <c r="I23" s="92">
        <f t="shared" si="1"/>
        <v>16.060580659134182</v>
      </c>
      <c r="J23" s="92">
        <f t="shared" si="2"/>
        <v>84.578384119597359</v>
      </c>
      <c r="K23" s="92">
        <f t="shared" si="2"/>
        <v>84.805401245636276</v>
      </c>
      <c r="L23">
        <f t="shared" si="8"/>
        <v>2.7758558284033098E-2</v>
      </c>
      <c r="M23" s="234">
        <f t="shared" si="3"/>
        <v>1805323325.0446944</v>
      </c>
      <c r="N23" s="92">
        <f t="shared" si="4"/>
        <v>-2.7573152057175694</v>
      </c>
      <c r="O23" s="92">
        <f t="shared" si="5"/>
        <v>5.3775283645018952</v>
      </c>
      <c r="R23" s="7">
        <f t="shared" si="6"/>
        <v>2012</v>
      </c>
      <c r="S23" s="284">
        <f>SUM(M47:M50)</f>
        <v>9124392439.4302177</v>
      </c>
      <c r="T23" s="92">
        <f>(S23-S22)/S22*100</f>
        <v>2.8681321791798093</v>
      </c>
    </row>
    <row r="24" spans="1:20">
      <c r="A24" t="str">
        <f>'GDP Durban'!A24</f>
        <v>2006q2</v>
      </c>
      <c r="B24" s="7">
        <v>39679.286244765506</v>
      </c>
      <c r="C24" s="7">
        <v>242968.67667019999</v>
      </c>
      <c r="D24" s="234">
        <f>'GDP Durban'!D24</f>
        <v>410299050000</v>
      </c>
      <c r="E24" s="234">
        <f>'GDP Durban'!E24</f>
        <v>66827792246.677605</v>
      </c>
      <c r="F24" s="235">
        <v>4859349229</v>
      </c>
      <c r="G24" s="235">
        <v>811777848</v>
      </c>
      <c r="H24" s="92">
        <f t="shared" si="0"/>
        <v>16.287581520522068</v>
      </c>
      <c r="I24" s="92">
        <f t="shared" si="1"/>
        <v>16.705484824087335</v>
      </c>
      <c r="J24" s="92">
        <f t="shared" si="2"/>
        <v>84.434978978540087</v>
      </c>
      <c r="K24" s="92">
        <f t="shared" si="2"/>
        <v>82.32275912840332</v>
      </c>
      <c r="L24">
        <f t="shared" si="8"/>
        <v>2.9520196931433668E-2</v>
      </c>
      <c r="M24" s="234">
        <f t="shared" si="3"/>
        <v>1894501659.5080729</v>
      </c>
      <c r="N24" s="92">
        <f t="shared" si="4"/>
        <v>4.939743104530633</v>
      </c>
      <c r="O24" s="92">
        <f t="shared" si="5"/>
        <v>4.8714974517456895</v>
      </c>
      <c r="R24" s="7">
        <f t="shared" si="6"/>
        <v>2013</v>
      </c>
      <c r="S24" s="284">
        <f>SUM(M51:M54)</f>
        <v>9280962272.2882175</v>
      </c>
      <c r="T24" s="92">
        <f>(S24-S23)/S23*100</f>
        <v>1.7159480359634443</v>
      </c>
    </row>
    <row r="25" spans="1:20">
      <c r="A25" t="str">
        <f>'GDP Durban'!A25</f>
        <v>2006q3</v>
      </c>
      <c r="B25" s="7">
        <v>39679.286244765506</v>
      </c>
      <c r="C25" s="7">
        <v>242968.67667019999</v>
      </c>
      <c r="D25" s="234">
        <f>'GDP Durban'!D25</f>
        <v>420695750000</v>
      </c>
      <c r="E25" s="234">
        <f>'GDP Durban'!E25</f>
        <v>68605409906.937042</v>
      </c>
      <c r="F25" s="235">
        <v>4906222423</v>
      </c>
      <c r="G25" s="235">
        <v>827883368</v>
      </c>
      <c r="H25" s="92">
        <f t="shared" si="0"/>
        <v>16.307607078734939</v>
      </c>
      <c r="I25" s="92">
        <f t="shared" si="1"/>
        <v>16.874150754334849</v>
      </c>
      <c r="J25" s="92">
        <f t="shared" si="2"/>
        <v>85.747386426634492</v>
      </c>
      <c r="K25" s="92">
        <f t="shared" si="2"/>
        <v>82.868448091515518</v>
      </c>
      <c r="L25">
        <f>L37/G37</f>
        <v>2.8159655130830248E-2</v>
      </c>
      <c r="M25" s="234">
        <f t="shared" si="3"/>
        <v>1944895357.9098003</v>
      </c>
      <c r="N25" s="92">
        <f t="shared" si="4"/>
        <v>2.6599975855820941</v>
      </c>
      <c r="O25" s="92">
        <f t="shared" si="5"/>
        <v>5.0686275926108113</v>
      </c>
    </row>
    <row r="26" spans="1:20">
      <c r="A26" t="str">
        <f>'GDP Durban'!A26</f>
        <v>2006q4</v>
      </c>
      <c r="B26" s="7">
        <v>39679.286244765506</v>
      </c>
      <c r="C26" s="7">
        <v>242968.67667019999</v>
      </c>
      <c r="D26" s="234">
        <f>'GDP Durban'!D26</f>
        <v>432676710000</v>
      </c>
      <c r="E26" s="234">
        <f>'GDP Durban'!E26</f>
        <v>69930090578.09053</v>
      </c>
      <c r="F26" s="235">
        <v>5280826192</v>
      </c>
      <c r="G26" s="235">
        <v>873224453</v>
      </c>
      <c r="H26" s="92">
        <f t="shared" si="0"/>
        <v>16.162203548716668</v>
      </c>
      <c r="I26" s="92">
        <f t="shared" si="1"/>
        <v>16.535754468171294</v>
      </c>
      <c r="J26" s="92">
        <f t="shared" si="2"/>
        <v>81.933525980360457</v>
      </c>
      <c r="K26" s="92">
        <f t="shared" si="2"/>
        <v>80.082606869107607</v>
      </c>
      <c r="L26">
        <f>AVERAGE(L19:L25)</f>
        <v>2.8349008635733579E-2</v>
      </c>
      <c r="M26" s="234">
        <f t="shared" si="3"/>
        <v>1982448741.6959198</v>
      </c>
      <c r="N26" s="92">
        <f t="shared" si="4"/>
        <v>1.9308691150601791</v>
      </c>
      <c r="O26" s="92">
        <f t="shared" si="5"/>
        <v>6.7834417443122161</v>
      </c>
      <c r="Q26" s="289">
        <f>M26/E26</f>
        <v>2.8349008635733579E-2</v>
      </c>
    </row>
    <row r="27" spans="1:20">
      <c r="A27" t="str">
        <f>'GDP Durban'!A27</f>
        <v>2007q1</v>
      </c>
      <c r="B27" s="7">
        <v>39679.286244765506</v>
      </c>
      <c r="C27" s="7">
        <v>242968.67667019999</v>
      </c>
      <c r="D27" s="234">
        <f>'GDP Durban'!D27</f>
        <v>421784960000</v>
      </c>
      <c r="E27" s="234">
        <f>'GDP Durban'!E27</f>
        <v>68125905131.082443</v>
      </c>
      <c r="F27" s="235">
        <v>5154329343</v>
      </c>
      <c r="G27" s="235">
        <v>833477953</v>
      </c>
      <c r="H27" s="92">
        <f t="shared" si="0"/>
        <v>16.151809948624638</v>
      </c>
      <c r="I27" s="92">
        <f t="shared" si="1"/>
        <v>16.170444252498747</v>
      </c>
      <c r="J27" s="92">
        <f t="shared" si="2"/>
        <v>81.831200905471519</v>
      </c>
      <c r="K27" s="92">
        <f t="shared" si="2"/>
        <v>81.736901241204691</v>
      </c>
      <c r="M27" s="234">
        <f t="shared" si="3"/>
        <v>1931301872.8782227</v>
      </c>
      <c r="N27" s="92">
        <f t="shared" si="4"/>
        <v>-2.5799844274380876</v>
      </c>
      <c r="O27" s="92">
        <f t="shared" si="5"/>
        <v>6.9781709506472707</v>
      </c>
      <c r="Q27" s="289">
        <f t="shared" ref="Q27:Q38" si="9">M27/E27</f>
        <v>2.8349008635733579E-2</v>
      </c>
    </row>
    <row r="28" spans="1:20">
      <c r="A28" t="str">
        <f>'GDP Durban'!A28</f>
        <v>2007q2</v>
      </c>
      <c r="B28" s="7">
        <v>39679.286244765506</v>
      </c>
      <c r="C28" s="7">
        <v>242968.67667019999</v>
      </c>
      <c r="D28" s="234">
        <f>'GDP Durban'!D28</f>
        <v>433014500000</v>
      </c>
      <c r="E28" s="234">
        <f>'GDP Durban'!E28</f>
        <v>70787164818.62709</v>
      </c>
      <c r="F28" s="235">
        <v>5056692012</v>
      </c>
      <c r="G28" s="235">
        <v>821281896</v>
      </c>
      <c r="H28" s="92">
        <f t="shared" si="0"/>
        <v>16.347527581322819</v>
      </c>
      <c r="I28" s="92">
        <f t="shared" si="1"/>
        <v>16.241485422703654</v>
      </c>
      <c r="J28" s="92">
        <f t="shared" si="2"/>
        <v>85.631970262854921</v>
      </c>
      <c r="K28" s="92">
        <f t="shared" si="2"/>
        <v>86.191069306886433</v>
      </c>
      <c r="M28" s="234">
        <f t="shared" si="3"/>
        <v>2006745946.7423556</v>
      </c>
      <c r="N28" s="92">
        <f t="shared" si="4"/>
        <v>3.9063843370947726</v>
      </c>
      <c r="O28" s="92">
        <f t="shared" si="5"/>
        <v>5.9247394517156629</v>
      </c>
      <c r="Q28" s="289">
        <f>M28/E28</f>
        <v>2.8349008635733579E-2</v>
      </c>
    </row>
    <row r="29" spans="1:20">
      <c r="A29" t="str">
        <f>'GDP Durban'!A29</f>
        <v>2007q3</v>
      </c>
      <c r="B29" s="7">
        <v>39679.286244765506</v>
      </c>
      <c r="C29" s="7">
        <v>242968.67667019999</v>
      </c>
      <c r="D29" s="234">
        <f>'GDP Durban'!D29</f>
        <v>442196500000</v>
      </c>
      <c r="E29" s="234">
        <f>'GDP Durban'!E29</f>
        <v>72253952576.31102</v>
      </c>
      <c r="F29" s="235">
        <v>5400223668</v>
      </c>
      <c r="G29" s="235">
        <v>898105429</v>
      </c>
      <c r="H29" s="92">
        <f t="shared" si="0"/>
        <v>16.339783914235191</v>
      </c>
      <c r="I29" s="92">
        <f t="shared" si="1"/>
        <v>16.630893166923542</v>
      </c>
      <c r="J29" s="92">
        <f t="shared" si="2"/>
        <v>81.884849070292248</v>
      </c>
      <c r="K29" s="92">
        <f t="shared" si="2"/>
        <v>80.451526338909389</v>
      </c>
      <c r="M29" s="234">
        <f t="shared" si="3"/>
        <v>2048327925.5517256</v>
      </c>
      <c r="N29" s="92">
        <f t="shared" si="4"/>
        <v>2.0721097693941779</v>
      </c>
      <c r="O29" s="92">
        <f t="shared" si="5"/>
        <v>5.3181559214108782</v>
      </c>
      <c r="Q29" s="289">
        <f t="shared" si="9"/>
        <v>2.8349008635733579E-2</v>
      </c>
    </row>
    <row r="30" spans="1:20">
      <c r="A30" t="str">
        <f>'GDP Durban'!A30</f>
        <v>2007q4</v>
      </c>
      <c r="B30" s="7">
        <v>39679.286244765506</v>
      </c>
      <c r="C30" s="7">
        <v>242968.67667019999</v>
      </c>
      <c r="D30" s="234">
        <f>'GDP Durban'!D30</f>
        <v>454168720000</v>
      </c>
      <c r="E30" s="234">
        <f>'GDP Durban'!E30</f>
        <v>73682000499.038116</v>
      </c>
      <c r="F30" s="235">
        <v>5579296845</v>
      </c>
      <c r="G30" s="235">
        <v>902642355</v>
      </c>
      <c r="H30" s="92">
        <f t="shared" si="0"/>
        <v>16.223486394888251</v>
      </c>
      <c r="I30" s="92">
        <f t="shared" si="1"/>
        <v>16.178424989323183</v>
      </c>
      <c r="J30" s="92">
        <f t="shared" si="2"/>
        <v>81.402501536911856</v>
      </c>
      <c r="K30" s="92">
        <f t="shared" si="2"/>
        <v>81.629230105248183</v>
      </c>
      <c r="M30" s="234">
        <f t="shared" si="3"/>
        <v>2088811668.4453573</v>
      </c>
      <c r="N30" s="92">
        <f t="shared" si="4"/>
        <v>1.9764287929007869</v>
      </c>
      <c r="O30" s="92">
        <f t="shared" si="5"/>
        <v>5.3652296027814357</v>
      </c>
      <c r="Q30" s="289">
        <f t="shared" si="9"/>
        <v>2.8349008635733579E-2</v>
      </c>
    </row>
    <row r="31" spans="1:20">
      <c r="A31" t="str">
        <f>'GDP Durban'!A31</f>
        <v>2008q1</v>
      </c>
      <c r="B31" s="7">
        <v>39679.286244765506</v>
      </c>
      <c r="C31" s="7">
        <v>242968.67667019999</v>
      </c>
      <c r="D31" s="234">
        <f>'GDP Durban'!D31</f>
        <v>437677308000</v>
      </c>
      <c r="E31" s="234">
        <f>'GDP Durban'!E31</f>
        <v>71161408615.893906</v>
      </c>
      <c r="F31" s="235">
        <v>5543646776</v>
      </c>
      <c r="G31" s="235">
        <v>903654581</v>
      </c>
      <c r="H31" s="92">
        <f t="shared" si="0"/>
        <v>16.258875503752162</v>
      </c>
      <c r="I31" s="92">
        <f t="shared" si="1"/>
        <v>16.300724369961191</v>
      </c>
      <c r="J31" s="92">
        <f t="shared" si="2"/>
        <v>78.951153579053354</v>
      </c>
      <c r="K31" s="92">
        <f t="shared" si="2"/>
        <v>78.748462202388708</v>
      </c>
      <c r="L31" s="235">
        <v>25767539</v>
      </c>
      <c r="M31" s="234">
        <f t="shared" ref="M31:M38" si="10">L31*K31</f>
        <v>2029154070.990077</v>
      </c>
      <c r="N31" s="92">
        <f t="shared" si="4"/>
        <v>-2.8560543947785271</v>
      </c>
      <c r="O31" s="92">
        <f t="shared" si="5"/>
        <v>5.0666443959910312</v>
      </c>
      <c r="P31" s="245"/>
      <c r="Q31" s="289">
        <f t="shared" si="9"/>
        <v>2.8514810350969717E-2</v>
      </c>
      <c r="R31" s="92"/>
      <c r="S31" s="92"/>
    </row>
    <row r="32" spans="1:20">
      <c r="A32" t="str">
        <f>'GDP Durban'!A32</f>
        <v>2008q2</v>
      </c>
      <c r="B32" s="7">
        <v>39679.286244765506</v>
      </c>
      <c r="C32" s="7">
        <v>242968.67667019999</v>
      </c>
      <c r="D32" s="234">
        <f>'GDP Durban'!D32</f>
        <v>454885920000</v>
      </c>
      <c r="E32" s="234">
        <f>'GDP Durban'!E32</f>
        <v>74756110982.452698</v>
      </c>
      <c r="F32" s="235">
        <v>5265926862</v>
      </c>
      <c r="G32" s="235">
        <v>890416751</v>
      </c>
      <c r="H32" s="92">
        <f t="shared" si="0"/>
        <v>16.434034929560514</v>
      </c>
      <c r="I32" s="92">
        <f t="shared" si="1"/>
        <v>16.909022368415872</v>
      </c>
      <c r="J32" s="92">
        <f t="shared" si="2"/>
        <v>86.382878441124845</v>
      </c>
      <c r="K32" s="92">
        <f t="shared" si="2"/>
        <v>83.956316970111331</v>
      </c>
      <c r="L32" s="235">
        <v>24544885</v>
      </c>
      <c r="M32" s="234">
        <f t="shared" si="10"/>
        <v>2060698145.0549312</v>
      </c>
      <c r="N32" s="92">
        <f t="shared" si="4"/>
        <v>1.5545430736791206</v>
      </c>
      <c r="O32" s="92">
        <f t="shared" si="5"/>
        <v>2.6885415366184597</v>
      </c>
      <c r="P32" s="245"/>
      <c r="Q32" s="289">
        <f t="shared" si="9"/>
        <v>2.7565614609602062E-2</v>
      </c>
      <c r="R32" s="92"/>
      <c r="S32" s="92"/>
    </row>
    <row r="33" spans="1:19">
      <c r="A33" t="str">
        <f>'GDP Durban'!A33</f>
        <v>2008q3</v>
      </c>
      <c r="B33" s="7">
        <v>39679.286244765506</v>
      </c>
      <c r="C33" s="7">
        <v>242968.67667019999</v>
      </c>
      <c r="D33" s="234">
        <f>'GDP Durban'!D33</f>
        <v>459649572000</v>
      </c>
      <c r="E33" s="234">
        <f>'GDP Durban'!E33</f>
        <v>75462980206.622635</v>
      </c>
      <c r="F33" s="235">
        <v>5202135900</v>
      </c>
      <c r="G33" s="235">
        <v>869415812</v>
      </c>
      <c r="H33" s="92">
        <f t="shared" si="0"/>
        <v>16.417502550534874</v>
      </c>
      <c r="I33" s="92">
        <f t="shared" si="1"/>
        <v>16.712670116903329</v>
      </c>
      <c r="J33" s="92">
        <f t="shared" si="2"/>
        <v>88.357855472403173</v>
      </c>
      <c r="K33" s="92">
        <f t="shared" si="2"/>
        <v>86.797340426818266</v>
      </c>
      <c r="L33" s="235">
        <v>24142146</v>
      </c>
      <c r="M33" s="234">
        <f t="shared" si="10"/>
        <v>2095474064.9959488</v>
      </c>
      <c r="N33" s="92">
        <f t="shared" si="4"/>
        <v>1.6875795236905318</v>
      </c>
      <c r="O33" s="92">
        <f t="shared" si="5"/>
        <v>2.301689043834334</v>
      </c>
      <c r="P33" s="245"/>
      <c r="Q33" s="289">
        <f t="shared" si="9"/>
        <v>2.7768238933294206E-2</v>
      </c>
      <c r="R33" s="92"/>
      <c r="S33" s="92"/>
    </row>
    <row r="34" spans="1:19">
      <c r="A34" t="str">
        <f>'GDP Durban'!A34</f>
        <v>2008q4</v>
      </c>
      <c r="B34" s="7">
        <v>39679.286244765506</v>
      </c>
      <c r="C34" s="7">
        <v>242968.67667019999</v>
      </c>
      <c r="D34" s="234">
        <f>'GDP Durban'!D34</f>
        <v>462381807000</v>
      </c>
      <c r="E34" s="234">
        <f>'GDP Durban'!E34</f>
        <v>74970333061.794556</v>
      </c>
      <c r="F34" s="235">
        <v>5460259824</v>
      </c>
      <c r="G34" s="235">
        <v>899391940</v>
      </c>
      <c r="H34" s="92">
        <f t="shared" si="0"/>
        <v>16.213945256240272</v>
      </c>
      <c r="I34" s="92">
        <f t="shared" si="1"/>
        <v>16.47159602271703</v>
      </c>
      <c r="J34" s="92">
        <f t="shared" si="2"/>
        <v>84.681282924971669</v>
      </c>
      <c r="K34" s="92">
        <f t="shared" si="2"/>
        <v>83.356687699241064</v>
      </c>
      <c r="L34" s="235">
        <v>26222659</v>
      </c>
      <c r="M34" s="234">
        <f t="shared" si="10"/>
        <v>2185833996.906693</v>
      </c>
      <c r="N34" s="92">
        <f t="shared" si="4"/>
        <v>4.3121474715516879</v>
      </c>
      <c r="O34" s="92">
        <f t="shared" si="5"/>
        <v>4.6448576445164438</v>
      </c>
      <c r="P34" s="245"/>
      <c r="Q34" s="289">
        <f t="shared" si="9"/>
        <v>2.9155986209972042E-2</v>
      </c>
      <c r="R34" s="92"/>
      <c r="S34" s="92"/>
    </row>
    <row r="35" spans="1:19">
      <c r="A35" t="str">
        <f>'GDP Durban'!A35</f>
        <v>2009q1</v>
      </c>
      <c r="B35" s="7">
        <v>39679.286244765506</v>
      </c>
      <c r="C35" s="7">
        <v>242968.67667019999</v>
      </c>
      <c r="D35" s="234">
        <f>'GDP Durban'!D35</f>
        <v>433798089999.99994</v>
      </c>
      <c r="E35" s="234">
        <f>'GDP Durban'!E35</f>
        <v>70528747919.669891</v>
      </c>
      <c r="F35" s="235">
        <v>5206564996</v>
      </c>
      <c r="G35" s="235">
        <v>842784368</v>
      </c>
      <c r="H35" s="92">
        <f t="shared" si="0"/>
        <v>16.258427490925538</v>
      </c>
      <c r="I35" s="92">
        <f t="shared" si="1"/>
        <v>16.186955673221753</v>
      </c>
      <c r="J35" s="92">
        <f t="shared" si="2"/>
        <v>83.31752130882262</v>
      </c>
      <c r="K35" s="92">
        <f t="shared" si="2"/>
        <v>83.685401150760185</v>
      </c>
      <c r="L35" s="235">
        <v>23394479</v>
      </c>
      <c r="M35" s="234">
        <f t="shared" si="10"/>
        <v>1957776359.8280349</v>
      </c>
      <c r="N35" s="92">
        <f t="shared" si="4"/>
        <v>-10.43343810195085</v>
      </c>
      <c r="O35" s="92">
        <f t="shared" si="5"/>
        <v>-3.5176092433047779</v>
      </c>
      <c r="P35" s="245"/>
      <c r="Q35" s="289">
        <f t="shared" si="9"/>
        <v>2.7758558284033098E-2</v>
      </c>
      <c r="R35" s="92"/>
      <c r="S35" s="92"/>
    </row>
    <row r="36" spans="1:19">
      <c r="A36" t="str">
        <f>'GDP Durban'!A36</f>
        <v>2009q2</v>
      </c>
      <c r="B36" s="7">
        <v>39679.286244765506</v>
      </c>
      <c r="C36" s="7">
        <v>242968.67667019999</v>
      </c>
      <c r="D36" s="234">
        <f>'GDP Durban'!D36</f>
        <v>442774057999.99988</v>
      </c>
      <c r="E36" s="234">
        <f>'GDP Durban'!E36</f>
        <v>72534525097.567886</v>
      </c>
      <c r="F36" s="235">
        <v>4994646966</v>
      </c>
      <c r="G36" s="235">
        <v>831381344</v>
      </c>
      <c r="H36" s="92">
        <f t="shared" si="0"/>
        <v>16.381837144028864</v>
      </c>
      <c r="I36" s="92">
        <f t="shared" si="1"/>
        <v>16.645447609399667</v>
      </c>
      <c r="J36" s="92">
        <f t="shared" si="2"/>
        <v>88.649720593685672</v>
      </c>
      <c r="K36" s="92">
        <f t="shared" si="2"/>
        <v>87.245793547140124</v>
      </c>
      <c r="L36" s="235">
        <v>24542541</v>
      </c>
      <c r="M36" s="234">
        <f t="shared" si="10"/>
        <v>2141233465.2082219</v>
      </c>
      <c r="N36" s="92">
        <f t="shared" si="4"/>
        <v>9.3706875384020538</v>
      </c>
      <c r="O36" s="92">
        <f t="shared" si="5"/>
        <v>3.9081570654368667</v>
      </c>
      <c r="P36" s="245"/>
      <c r="Q36" s="289">
        <f t="shared" si="9"/>
        <v>2.9520196931433668E-2</v>
      </c>
      <c r="R36" s="92"/>
      <c r="S36" s="92"/>
    </row>
    <row r="37" spans="1:19">
      <c r="A37" t="str">
        <f>'GDP Durban'!A37</f>
        <v>2009q3</v>
      </c>
      <c r="B37" s="7">
        <v>39679.286244765506</v>
      </c>
      <c r="C37" s="7">
        <v>242968.67667019999</v>
      </c>
      <c r="D37" s="234">
        <f>'GDP Durban'!D37</f>
        <v>450502489000.00006</v>
      </c>
      <c r="E37" s="234">
        <f>'GDP Durban'!E37</f>
        <v>73855969771.98941</v>
      </c>
      <c r="F37" s="235">
        <v>5002707417</v>
      </c>
      <c r="G37" s="235">
        <v>835393434</v>
      </c>
      <c r="H37" s="92">
        <f t="shared" si="0"/>
        <v>16.39413134784909</v>
      </c>
      <c r="I37" s="92">
        <f t="shared" si="1"/>
        <v>16.698826542627685</v>
      </c>
      <c r="J37" s="92">
        <f>D37/F37</f>
        <v>90.051736279663402</v>
      </c>
      <c r="K37" s="92">
        <f>E37/G37</f>
        <v>88.408606970197241</v>
      </c>
      <c r="L37" s="235">
        <v>23524391</v>
      </c>
      <c r="M37" s="234">
        <f t="shared" si="10"/>
        <v>2079758638.1322453</v>
      </c>
      <c r="N37" s="92">
        <f t="shared" ref="N37:N40" si="11">(M37-M36)/M36*100</f>
        <v>-2.8710006673652733</v>
      </c>
      <c r="O37" s="92">
        <f t="shared" ref="O37:O40" si="12">(M37-M33)/M33*100</f>
        <v>-0.74997000088062993</v>
      </c>
      <c r="Q37" s="289">
        <f t="shared" si="9"/>
        <v>2.8159655130830248E-2</v>
      </c>
    </row>
    <row r="38" spans="1:19">
      <c r="A38" t="str">
        <f>'GDP Durban'!A38</f>
        <v>2009q4</v>
      </c>
      <c r="B38" s="7">
        <v>39679.286244765506</v>
      </c>
      <c r="C38" s="7">
        <v>242968.67667019999</v>
      </c>
      <c r="D38" s="234">
        <f>'GDP Durban'!D38</f>
        <v>459824142000</v>
      </c>
      <c r="E38" s="234">
        <f>'GDP Durban'!E38</f>
        <v>74797338159.696762</v>
      </c>
      <c r="F38" s="235">
        <v>5074816265</v>
      </c>
      <c r="G38" s="235">
        <v>901763015</v>
      </c>
      <c r="H38" s="92">
        <f t="shared" si="0"/>
        <v>16.266509590898508</v>
      </c>
      <c r="I38" s="92">
        <f>G38/F38*100</f>
        <v>17.769372680924043</v>
      </c>
      <c r="J38" s="92">
        <f>D38/F38</f>
        <v>90.609022669710384</v>
      </c>
      <c r="K38" s="92">
        <f>E38/G38</f>
        <v>82.94567077548281</v>
      </c>
      <c r="L38" s="235">
        <v>25179124</v>
      </c>
      <c r="M38" s="234">
        <f t="shared" si="10"/>
        <v>2088499329.7190578</v>
      </c>
      <c r="N38" s="92">
        <f t="shared" si="11"/>
        <v>0.4202743254218283</v>
      </c>
      <c r="O38" s="92">
        <f t="shared" si="12"/>
        <v>-4.4529761786750237</v>
      </c>
      <c r="Q38" s="289">
        <f t="shared" si="9"/>
        <v>2.7922107672601764E-2</v>
      </c>
    </row>
    <row r="39" spans="1:19">
      <c r="A39" t="str">
        <f>'GDP Durban'!A39</f>
        <v>2010q1</v>
      </c>
      <c r="B39" s="7">
        <v>39679.286244765506</v>
      </c>
      <c r="C39" s="7">
        <v>242968.67667019999</v>
      </c>
      <c r="D39" s="234">
        <f>'GDP Durban'!D39</f>
        <v>443937100999.99994</v>
      </c>
      <c r="E39" s="234">
        <f>'GDP Durban'!E39</f>
        <v>72421686265.048981</v>
      </c>
      <c r="F39" s="235"/>
      <c r="G39" s="235"/>
      <c r="H39" s="92"/>
      <c r="I39" s="92"/>
      <c r="J39" s="92"/>
      <c r="K39" s="92"/>
      <c r="L39" s="235"/>
      <c r="M39" s="288">
        <f t="shared" ref="M39:M40" si="13">E39*Q39</f>
        <v>2042831752.5679612</v>
      </c>
      <c r="N39" s="92">
        <f t="shared" si="11"/>
        <v>-2.1866215852336293</v>
      </c>
      <c r="O39" s="92">
        <f t="shared" si="12"/>
        <v>4.3444897223806169</v>
      </c>
      <c r="Q39" s="289">
        <f>(Q27+Q31+Q35)/3</f>
        <v>2.8207459090245468E-2</v>
      </c>
    </row>
    <row r="40" spans="1:19">
      <c r="A40" t="str">
        <f>'GDP Durban'!A40</f>
        <v>2010q2</v>
      </c>
      <c r="B40" s="7">
        <v>39679.286244765506</v>
      </c>
      <c r="C40" s="7">
        <v>242968.67667019999</v>
      </c>
      <c r="D40" s="234">
        <f>'GDP Durban'!D40</f>
        <v>457733272000</v>
      </c>
      <c r="E40" s="234">
        <f>'GDP Durban'!E40</f>
        <v>75739547217.177216</v>
      </c>
      <c r="F40" s="235"/>
      <c r="G40" s="235"/>
      <c r="H40" s="92"/>
      <c r="I40" s="92"/>
      <c r="J40" s="92"/>
      <c r="K40" s="92"/>
      <c r="L40" s="235"/>
      <c r="M40" s="288">
        <f t="shared" si="13"/>
        <v>2156931532.2564878</v>
      </c>
      <c r="N40" s="92">
        <f t="shared" si="11"/>
        <v>5.5853733203968661</v>
      </c>
      <c r="O40" s="92">
        <f t="shared" si="12"/>
        <v>0.73313196824800198</v>
      </c>
      <c r="Q40" s="289">
        <f t="shared" ref="Q40:Q54" si="14">(Q28+Q32+Q36)/3</f>
        <v>2.8478273392256434E-2</v>
      </c>
    </row>
    <row r="41" spans="1:19">
      <c r="A41" t="str">
        <f>'GDP Durban'!A41</f>
        <v>2010q3</v>
      </c>
      <c r="B41" s="7">
        <v>39679.286244765506</v>
      </c>
      <c r="C41" s="7">
        <v>242968.67667019999</v>
      </c>
      <c r="D41" s="234">
        <f>'GDP Durban'!D41</f>
        <v>465818166999.99994</v>
      </c>
      <c r="E41" s="234">
        <f>'GDP Durban'!E41</f>
        <v>76759950921.38913</v>
      </c>
      <c r="F41" s="235"/>
      <c r="G41" s="235"/>
      <c r="H41" s="92"/>
      <c r="I41" s="92"/>
      <c r="J41" s="92"/>
      <c r="K41" s="92"/>
      <c r="L41" s="235"/>
      <c r="M41" s="288">
        <f t="shared" ref="M41:M45" si="15">E41*Q41</f>
        <v>2156363638.3492632</v>
      </c>
      <c r="N41" s="92">
        <f t="shared" ref="N41:N45" si="16">(M41-M40)/M40*100</f>
        <v>-2.6328786924012804E-2</v>
      </c>
      <c r="O41" s="92">
        <f t="shared" ref="O41:O45" si="17">(M41-M37)/M37*100</f>
        <v>3.6833601174900767</v>
      </c>
      <c r="Q41" s="289">
        <f t="shared" si="14"/>
        <v>2.8092300899952679E-2</v>
      </c>
    </row>
    <row r="42" spans="1:19">
      <c r="A42" t="str">
        <f>'GDP Durban'!A42</f>
        <v>2010q4</v>
      </c>
      <c r="B42" s="7">
        <v>39679.286244765506</v>
      </c>
      <c r="C42" s="7">
        <v>242968.67667019999</v>
      </c>
      <c r="D42" s="234">
        <f>'GDP Durban'!D42</f>
        <v>475519782000</v>
      </c>
      <c r="E42" s="234">
        <f>'GDP Durban'!E42</f>
        <v>77696629793.574066</v>
      </c>
      <c r="F42" s="235"/>
      <c r="G42" s="235"/>
      <c r="H42" s="92"/>
      <c r="I42" s="92"/>
      <c r="J42" s="92"/>
      <c r="K42" s="92"/>
      <c r="L42" s="235"/>
      <c r="M42" s="288">
        <f t="shared" si="15"/>
        <v>2212465986.2342091</v>
      </c>
      <c r="N42" s="92">
        <f t="shared" si="16"/>
        <v>2.601710902892671</v>
      </c>
      <c r="O42" s="92">
        <f t="shared" si="17"/>
        <v>5.9356809337270455</v>
      </c>
      <c r="Q42" s="289">
        <f t="shared" si="14"/>
        <v>2.8475700839435795E-2</v>
      </c>
    </row>
    <row r="43" spans="1:19">
      <c r="A43" t="str">
        <f>'GDP Durban'!A43</f>
        <v>2011q1</v>
      </c>
      <c r="B43" s="7">
        <v>39679.286244765506</v>
      </c>
      <c r="C43" s="7">
        <v>242968.67667019999</v>
      </c>
      <c r="D43" s="234">
        <f>'GDP Durban'!D43</f>
        <v>460862825000</v>
      </c>
      <c r="E43" s="234">
        <f>'GDP Durban'!E43</f>
        <v>75199993433.368515</v>
      </c>
      <c r="F43" s="235"/>
      <c r="G43" s="235"/>
      <c r="H43" s="92"/>
      <c r="I43" s="92"/>
      <c r="J43" s="92"/>
      <c r="K43" s="92"/>
      <c r="L43" s="235"/>
      <c r="M43" s="288">
        <f t="shared" si="15"/>
        <v>2117652563.3947358</v>
      </c>
      <c r="N43" s="92">
        <f t="shared" si="16"/>
        <v>-4.2854183264011727</v>
      </c>
      <c r="O43" s="92">
        <f t="shared" si="17"/>
        <v>3.6626026951421906</v>
      </c>
      <c r="Q43" s="289">
        <f t="shared" si="14"/>
        <v>2.8160275908416094E-2</v>
      </c>
    </row>
    <row r="44" spans="1:19">
      <c r="A44" t="str">
        <f>'GDP Durban'!A44</f>
        <v>2011q2</v>
      </c>
      <c r="B44" s="7">
        <v>39679.286244765506</v>
      </c>
      <c r="C44" s="7">
        <v>242968.67667019999</v>
      </c>
      <c r="D44" s="234">
        <f>'GDP Durban'!D44</f>
        <v>474374351999.99994</v>
      </c>
      <c r="E44" s="234">
        <f>'GDP Durban'!E44</f>
        <v>78146804841.01947</v>
      </c>
      <c r="F44" s="235"/>
      <c r="G44" s="235"/>
      <c r="H44" s="92"/>
      <c r="I44" s="92"/>
      <c r="J44" s="92"/>
      <c r="K44" s="92"/>
      <c r="L44" s="235"/>
      <c r="M44" s="288">
        <f t="shared" si="15"/>
        <v>2228853282.2274656</v>
      </c>
      <c r="N44" s="92">
        <f t="shared" si="16"/>
        <v>5.2511314062996135</v>
      </c>
      <c r="O44" s="92">
        <f t="shared" si="17"/>
        <v>3.3344475193302205</v>
      </c>
      <c r="Q44" s="289">
        <f t="shared" si="14"/>
        <v>2.8521361644430723E-2</v>
      </c>
    </row>
    <row r="45" spans="1:19">
      <c r="A45" t="str">
        <f>'GDP Durban'!A45</f>
        <v>2011q3</v>
      </c>
      <c r="B45" s="7">
        <v>39679.286244765506</v>
      </c>
      <c r="C45" s="7">
        <v>242968.67667019999</v>
      </c>
      <c r="D45" s="234">
        <f>'GDP Durban'!D45</f>
        <v>481033335999.99994</v>
      </c>
      <c r="E45" s="234">
        <f>'GDP Durban'!E45</f>
        <v>79336356144.022598</v>
      </c>
      <c r="F45" s="235"/>
      <c r="G45" s="235"/>
      <c r="H45" s="92"/>
      <c r="I45" s="92"/>
      <c r="J45" s="92"/>
      <c r="K45" s="92"/>
      <c r="L45" s="235"/>
      <c r="M45" s="288">
        <f t="shared" si="15"/>
        <v>2221952036.9867458</v>
      </c>
      <c r="N45" s="92">
        <f t="shared" si="16"/>
        <v>-0.30963210076451719</v>
      </c>
      <c r="O45" s="92">
        <f t="shared" si="17"/>
        <v>3.0416205073691462</v>
      </c>
      <c r="Q45" s="289">
        <f t="shared" si="14"/>
        <v>2.8006731654692377E-2</v>
      </c>
    </row>
    <row r="46" spans="1:19">
      <c r="A46" t="str">
        <f>'GDP Durban'!A46</f>
        <v>2011q4</v>
      </c>
      <c r="B46" s="7">
        <v>39679.286244765506</v>
      </c>
      <c r="C46" s="7">
        <v>242968.67667019999</v>
      </c>
      <c r="D46" s="234">
        <f>'GDP Durban'!D46</f>
        <v>493072837000</v>
      </c>
      <c r="E46" s="234">
        <f>'GDP Durban'!E46</f>
        <v>80704714857.85849</v>
      </c>
      <c r="F46" s="235"/>
      <c r="G46" s="235"/>
      <c r="H46" s="92"/>
      <c r="I46" s="92"/>
      <c r="J46" s="92"/>
      <c r="K46" s="92"/>
      <c r="L46" s="235"/>
      <c r="M46" s="288">
        <f t="shared" ref="M46:M50" si="18">E46*Q46</f>
        <v>2301531536.0158477</v>
      </c>
      <c r="N46" s="92">
        <f t="shared" ref="N46:N50" si="19">(M46-M45)/M45*100</f>
        <v>3.5815129086684485</v>
      </c>
      <c r="O46" s="92">
        <f t="shared" ref="O46:O50" si="20">(M46-M42)/M42*100</f>
        <v>4.0256234597863889</v>
      </c>
      <c r="Q46" s="289">
        <f t="shared" si="14"/>
        <v>2.8517931574003199E-2</v>
      </c>
    </row>
    <row r="47" spans="1:19">
      <c r="A47" t="str">
        <f>'GDP Durban'!A47</f>
        <v>2012q1</v>
      </c>
      <c r="B47" s="7">
        <v>39679.286244765506</v>
      </c>
      <c r="C47" s="7">
        <v>242968.67667019999</v>
      </c>
      <c r="D47" s="234">
        <f>'GDP Durban'!D47</f>
        <v>473284397000</v>
      </c>
      <c r="E47" s="234">
        <f>'GDP Durban'!E47</f>
        <v>77631579507.842682</v>
      </c>
      <c r="F47" s="235"/>
      <c r="G47" s="235"/>
      <c r="H47" s="92"/>
      <c r="I47" s="92"/>
      <c r="J47" s="92"/>
      <c r="K47" s="92"/>
      <c r="L47" s="235"/>
      <c r="M47" s="288">
        <f t="shared" si="18"/>
        <v>2176952341.8918676</v>
      </c>
      <c r="N47" s="92">
        <f t="shared" si="19"/>
        <v>-5.4128823426698522</v>
      </c>
      <c r="O47" s="92">
        <f t="shared" si="20"/>
        <v>2.8002600389778007</v>
      </c>
      <c r="Q47" s="289">
        <f t="shared" si="14"/>
        <v>2.8042097760898221E-2</v>
      </c>
    </row>
    <row r="48" spans="1:19">
      <c r="A48" t="str">
        <f>'GDP Durban'!A48</f>
        <v>2012q2</v>
      </c>
      <c r="B48" s="7">
        <v>39679.286244765506</v>
      </c>
      <c r="C48" s="7">
        <v>242968.67667019999</v>
      </c>
      <c r="D48" s="234">
        <f>'GDP Durban'!D48</f>
        <v>488293724000.00006</v>
      </c>
      <c r="E48" s="234">
        <f>'GDP Durban'!E48</f>
        <v>80708192955.819916</v>
      </c>
      <c r="F48" s="235"/>
      <c r="G48" s="235"/>
      <c r="H48" s="92"/>
      <c r="I48" s="92"/>
      <c r="J48" s="92"/>
      <c r="K48" s="92"/>
      <c r="L48" s="235"/>
      <c r="M48" s="288">
        <f t="shared" si="18"/>
        <v>2327619764.3294039</v>
      </c>
      <c r="N48" s="92">
        <f t="shared" si="19"/>
        <v>6.9210253039623097</v>
      </c>
      <c r="O48" s="92">
        <f t="shared" si="20"/>
        <v>4.4312688901278081</v>
      </c>
      <c r="Q48" s="289">
        <f t="shared" si="14"/>
        <v>2.8839943989373607E-2</v>
      </c>
    </row>
    <row r="49" spans="1:17">
      <c r="A49" t="str">
        <f>'GDP Durban'!A49</f>
        <v>2012q3</v>
      </c>
      <c r="B49" s="7">
        <v>39679.286244765506</v>
      </c>
      <c r="C49" s="7">
        <v>242968.67667019999</v>
      </c>
      <c r="D49" s="234">
        <f>'GDP Durban'!D49</f>
        <v>491517195000</v>
      </c>
      <c r="E49" s="234">
        <f>'GDP Durban'!E49</f>
        <v>81187502547.664658</v>
      </c>
      <c r="F49" s="235"/>
      <c r="G49" s="235"/>
      <c r="H49" s="92"/>
      <c r="I49" s="92"/>
      <c r="J49" s="92"/>
      <c r="K49" s="92"/>
      <c r="L49" s="235"/>
      <c r="M49" s="288">
        <f t="shared" si="18"/>
        <v>2280250807.042469</v>
      </c>
      <c r="N49" s="92">
        <f t="shared" si="19"/>
        <v>-2.0350814171996872</v>
      </c>
      <c r="O49" s="92">
        <f t="shared" si="20"/>
        <v>2.623763658498401</v>
      </c>
      <c r="Q49" s="289">
        <f t="shared" si="14"/>
        <v>2.8086229228491768E-2</v>
      </c>
    </row>
    <row r="50" spans="1:17">
      <c r="A50" t="str">
        <f>'GDP Durban'!A50</f>
        <v>2012q4</v>
      </c>
      <c r="B50" s="7">
        <v>39679.286244765506</v>
      </c>
      <c r="C50" s="7">
        <v>242968.67667019999</v>
      </c>
      <c r="D50" s="234">
        <f>'GDP Durban'!D50</f>
        <v>503348264999.99994</v>
      </c>
      <c r="E50" s="234">
        <f>'GDP Durban'!E50</f>
        <v>82654977409.226288</v>
      </c>
      <c r="F50" s="235"/>
      <c r="G50" s="235"/>
      <c r="H50" s="92"/>
      <c r="I50" s="92"/>
      <c r="J50" s="92"/>
      <c r="K50" s="92"/>
      <c r="L50" s="235"/>
      <c r="M50" s="288">
        <f t="shared" si="18"/>
        <v>2339569526.1664767</v>
      </c>
      <c r="N50" s="92">
        <f t="shared" si="19"/>
        <v>2.6014120438332515</v>
      </c>
      <c r="O50" s="92">
        <f t="shared" si="20"/>
        <v>1.6527251334768209</v>
      </c>
      <c r="Q50" s="289">
        <f t="shared" si="14"/>
        <v>2.8305246695346922E-2</v>
      </c>
    </row>
    <row r="51" spans="1:17">
      <c r="A51" t="str">
        <f>'GDP Durban'!A51</f>
        <v>2013q1</v>
      </c>
      <c r="B51" s="7">
        <v>39679.286244765506</v>
      </c>
      <c r="C51" s="7">
        <v>242968.67667019999</v>
      </c>
      <c r="D51" s="234">
        <f>'GDP Durban'!D51</f>
        <v>480893886285.29028</v>
      </c>
      <c r="E51" s="234">
        <f>'GDP Durban'!E51</f>
        <v>78747632494.84906</v>
      </c>
      <c r="F51" s="235"/>
      <c r="G51" s="235"/>
      <c r="H51" s="92"/>
      <c r="I51" s="92"/>
      <c r="J51" s="92"/>
      <c r="K51" s="92"/>
      <c r="L51" s="235"/>
      <c r="M51" s="288">
        <f t="shared" ref="M51:M54" si="21">E51*Q51</f>
        <v>2215691496.3671613</v>
      </c>
      <c r="N51" s="92">
        <f t="shared" ref="N51:N54" si="22">(M51-M50)/M50*100</f>
        <v>-5.294906965312415</v>
      </c>
      <c r="O51" s="92">
        <f t="shared" ref="O51:O54" si="23">(M51-M47)/M47*100</f>
        <v>1.7795132088940266</v>
      </c>
      <c r="Q51" s="289">
        <f t="shared" si="14"/>
        <v>2.8136610919853259E-2</v>
      </c>
    </row>
    <row r="52" spans="1:17">
      <c r="A52" t="str">
        <f>'GDP Durban'!A52</f>
        <v>2013q2</v>
      </c>
      <c r="B52" s="7">
        <v>39679.286244765506</v>
      </c>
      <c r="C52" s="7">
        <v>242968.67667019999</v>
      </c>
      <c r="D52" s="234">
        <f>'GDP Durban'!D52</f>
        <v>499484699761.94434</v>
      </c>
      <c r="E52" s="234">
        <f>'GDP Durban'!E52</f>
        <v>82753463447.064102</v>
      </c>
      <c r="F52" s="235"/>
      <c r="G52" s="235"/>
      <c r="H52" s="92"/>
      <c r="I52" s="92"/>
      <c r="J52" s="92"/>
      <c r="K52" s="92"/>
      <c r="L52" s="235"/>
      <c r="M52" s="288">
        <f t="shared" si="21"/>
        <v>2367840821.7481632</v>
      </c>
      <c r="N52" s="92">
        <f t="shared" si="22"/>
        <v>6.8669002715615131</v>
      </c>
      <c r="O52" s="92">
        <f t="shared" si="23"/>
        <v>1.7279908873065952</v>
      </c>
      <c r="Q52" s="289">
        <f t="shared" si="14"/>
        <v>2.8613193008686921E-2</v>
      </c>
    </row>
    <row r="53" spans="1:17">
      <c r="A53" t="str">
        <f>'GDP Durban'!A53</f>
        <v>2013q3</v>
      </c>
      <c r="B53" s="7">
        <v>39679.286244765506</v>
      </c>
      <c r="C53" s="7">
        <v>242968.67667019999</v>
      </c>
      <c r="D53" s="234">
        <f>'GDP Durban'!D53</f>
        <v>499774920452.24109</v>
      </c>
      <c r="E53" s="234">
        <f>'GDP Durban'!E53</f>
        <v>82311260048.170883</v>
      </c>
      <c r="F53" s="235"/>
      <c r="G53" s="235"/>
      <c r="H53" s="92"/>
      <c r="I53" s="92"/>
      <c r="J53" s="92"/>
      <c r="K53" s="92"/>
      <c r="L53" s="235"/>
      <c r="M53" s="288">
        <f t="shared" si="21"/>
        <v>2309798324.9517059</v>
      </c>
      <c r="N53" s="92">
        <f t="shared" si="22"/>
        <v>-2.4512837291826419</v>
      </c>
      <c r="O53" s="92">
        <f t="shared" si="23"/>
        <v>1.2958012258116742</v>
      </c>
      <c r="Q53" s="289">
        <f t="shared" si="14"/>
        <v>2.8061753927712277E-2</v>
      </c>
    </row>
    <row r="54" spans="1:17">
      <c r="A54" t="str">
        <f>'GDP Durban'!A54</f>
        <v>2013q4</v>
      </c>
      <c r="B54" s="7">
        <v>39679.286244765506</v>
      </c>
      <c r="C54" s="7">
        <v>242968.67667019999</v>
      </c>
      <c r="D54" s="234">
        <f>'GDP Durban'!D54</f>
        <v>513279157606.09894</v>
      </c>
      <c r="E54" s="234">
        <f>'GDP Durban'!E54</f>
        <v>83974079876.575684</v>
      </c>
      <c r="F54" s="235"/>
      <c r="G54" s="235"/>
      <c r="H54" s="92"/>
      <c r="I54" s="92"/>
      <c r="J54" s="92"/>
      <c r="K54" s="92"/>
      <c r="L54" s="235"/>
      <c r="M54" s="288">
        <f t="shared" si="21"/>
        <v>2387631629.2211871</v>
      </c>
      <c r="N54" s="92">
        <f t="shared" si="22"/>
        <v>3.3697013037321581</v>
      </c>
      <c r="O54" s="92">
        <f t="shared" si="23"/>
        <v>2.0543139460985795</v>
      </c>
      <c r="Q54" s="289">
        <f t="shared" si="14"/>
        <v>2.843295970292864E-2</v>
      </c>
    </row>
    <row r="55" spans="1:17">
      <c r="M55" s="92"/>
    </row>
    <row r="56" spans="1:17">
      <c r="M56" s="92"/>
    </row>
    <row r="57" spans="1:17">
      <c r="M57" s="92"/>
    </row>
    <row r="58" spans="1:17">
      <c r="M58" s="92"/>
    </row>
  </sheetData>
  <mergeCells count="2">
    <mergeCell ref="D1:O1"/>
    <mergeCell ref="R11:T11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51"/>
  <sheetViews>
    <sheetView workbookViewId="0">
      <selection sqref="A1:H1"/>
    </sheetView>
  </sheetViews>
  <sheetFormatPr defaultRowHeight="12.75"/>
  <cols>
    <col min="2" max="3" width="9" style="7"/>
    <col min="4" max="4" width="9.5" style="7" customWidth="1"/>
    <col min="5" max="5" width="19.125" style="7" customWidth="1"/>
    <col min="6" max="6" width="15.375" style="7" customWidth="1"/>
    <col min="7" max="7" width="18" style="7" customWidth="1"/>
    <col min="8" max="8" width="12.25" style="7" customWidth="1"/>
  </cols>
  <sheetData>
    <row r="1" spans="1:8" ht="40.5" customHeight="1" thickBot="1">
      <c r="A1" s="424" t="s">
        <v>264</v>
      </c>
      <c r="B1" s="425"/>
      <c r="C1" s="425"/>
      <c r="D1" s="425"/>
      <c r="E1" s="425"/>
      <c r="F1" s="425"/>
      <c r="G1" s="425"/>
      <c r="H1" s="426"/>
    </row>
    <row r="2" spans="1:8" ht="21" customHeight="1" thickBot="1">
      <c r="B2" s="354" t="s">
        <v>252</v>
      </c>
      <c r="C2" s="355" t="s">
        <v>253</v>
      </c>
      <c r="D2" s="355" t="s">
        <v>254</v>
      </c>
      <c r="E2" s="355" t="s">
        <v>255</v>
      </c>
      <c r="F2" s="355" t="s">
        <v>256</v>
      </c>
      <c r="G2" s="355" t="s">
        <v>257</v>
      </c>
      <c r="H2" s="356" t="s">
        <v>258</v>
      </c>
    </row>
    <row r="3" spans="1:8" hidden="1">
      <c r="A3" t="s">
        <v>189</v>
      </c>
      <c r="B3" s="92">
        <v>3.6457510313134045</v>
      </c>
      <c r="C3" s="92">
        <v>3.9689510586450725</v>
      </c>
      <c r="D3" s="242">
        <f>'GDP Durban'!O11</f>
        <v>3.0618440911188993</v>
      </c>
      <c r="E3" s="242">
        <f>'GDP PMB'!O11</f>
        <v>3.0618440911189113</v>
      </c>
      <c r="F3" s="242">
        <f>'GDP RBay'!O11</f>
        <v>6.7101681415647594</v>
      </c>
      <c r="G3" s="242">
        <f>'GDP Port Shepstone'!O11</f>
        <v>6.7101681415647558</v>
      </c>
      <c r="H3" s="242">
        <f>'GDP Newcastle'!O11</f>
        <v>6.710168141564762</v>
      </c>
    </row>
    <row r="4" spans="1:8" hidden="1">
      <c r="A4" t="s">
        <v>190</v>
      </c>
      <c r="B4" s="92">
        <v>3.2248674843819538</v>
      </c>
      <c r="C4" s="92">
        <v>3.7394053940001082</v>
      </c>
      <c r="D4" s="242">
        <f>'GDP Durban'!O12</f>
        <v>3.4306495272393116</v>
      </c>
      <c r="E4" s="242">
        <f>'GDP PMB'!O12</f>
        <v>3.4306495272393143</v>
      </c>
      <c r="F4" s="242">
        <f>'GDP RBay'!O12</f>
        <v>6.9786421093586899</v>
      </c>
      <c r="G4" s="242">
        <f>'GDP Port Shepstone'!O12</f>
        <v>6.9786421093586899</v>
      </c>
      <c r="H4" s="242">
        <f>'GDP Newcastle'!O12</f>
        <v>6.9786421093586837</v>
      </c>
    </row>
    <row r="5" spans="1:8" hidden="1">
      <c r="A5" t="s">
        <v>191</v>
      </c>
      <c r="B5" s="92">
        <v>3.0148947252122542</v>
      </c>
      <c r="C5" s="92">
        <v>3.1974859322725937</v>
      </c>
      <c r="D5" s="242">
        <f>'GDP Durban'!O13</f>
        <v>2.7621505225328331</v>
      </c>
      <c r="E5" s="242">
        <f>'GDP PMB'!O13</f>
        <v>2.7621505225328216</v>
      </c>
      <c r="F5" s="242">
        <f>'GDP RBay'!O13</f>
        <v>6.3475743971881036</v>
      </c>
      <c r="G5" s="242">
        <f>'GDP Port Shepstone'!O13</f>
        <v>6.3475743971881107</v>
      </c>
      <c r="H5" s="242">
        <f>'GDP Newcastle'!O13</f>
        <v>6.3475743971881107</v>
      </c>
    </row>
    <row r="6" spans="1:8" hidden="1">
      <c r="A6" t="s">
        <v>188</v>
      </c>
      <c r="B6" s="92">
        <v>2.6323663627217297</v>
      </c>
      <c r="C6" s="92">
        <v>2.5595685221363147</v>
      </c>
      <c r="D6" s="242">
        <f>'GDP Durban'!O14</f>
        <v>1.7460109430648267</v>
      </c>
      <c r="E6" s="242">
        <f>'GDP PMB'!O14</f>
        <v>1.7460109430648221</v>
      </c>
      <c r="F6" s="242">
        <f>'GDP RBay'!O14</f>
        <v>5.3196362233654071</v>
      </c>
      <c r="G6" s="242">
        <f>'GDP Port Shepstone'!O14</f>
        <v>5.3196362233654035</v>
      </c>
      <c r="H6" s="242">
        <f>'GDP Newcastle'!O14</f>
        <v>5.3196362233653982</v>
      </c>
    </row>
    <row r="7" spans="1:8" hidden="1">
      <c r="A7" t="s">
        <v>184</v>
      </c>
      <c r="B7" s="92">
        <v>3.4883927203936307</v>
      </c>
      <c r="C7" s="92">
        <v>2.8880730557693979</v>
      </c>
      <c r="D7" s="242">
        <f>'GDP Durban'!O15</f>
        <v>3.3654995899011109</v>
      </c>
      <c r="E7" s="242">
        <f>'GDP PMB'!O15</f>
        <v>3.3654995899011135</v>
      </c>
      <c r="F7" s="242">
        <f>'GDP RBay'!O15</f>
        <v>3.3654995899011135</v>
      </c>
      <c r="G7" s="242">
        <f>'GDP Port Shepstone'!O15</f>
        <v>3.3654995899011184</v>
      </c>
      <c r="H7" s="242">
        <f>'GDP Newcastle'!O15</f>
        <v>3.3654995899011184</v>
      </c>
    </row>
    <row r="8" spans="1:8" hidden="1">
      <c r="A8" t="s">
        <v>186</v>
      </c>
      <c r="B8" s="92">
        <v>3.9786200957136599</v>
      </c>
      <c r="C8" s="92">
        <v>3.3240007089239834</v>
      </c>
      <c r="D8" s="242">
        <f>'GDP Durban'!O16</f>
        <v>3.2269541248739237</v>
      </c>
      <c r="E8" s="242">
        <f>'GDP PMB'!O16</f>
        <v>3.2269541248739042</v>
      </c>
      <c r="F8" s="242">
        <f>'GDP RBay'!O16</f>
        <v>3.2269541248739095</v>
      </c>
      <c r="G8" s="242">
        <f>'GDP Port Shepstone'!O16</f>
        <v>3.2269541248739055</v>
      </c>
      <c r="H8" s="242">
        <f>'GDP Newcastle'!O16</f>
        <v>3.2269541248739242</v>
      </c>
    </row>
    <row r="9" spans="1:8" hidden="1">
      <c r="A9" t="s">
        <v>187</v>
      </c>
      <c r="B9" s="92">
        <v>5.5693266247199791</v>
      </c>
      <c r="C9" s="92">
        <v>5.6802013461114367</v>
      </c>
      <c r="D9" s="242">
        <f>'GDP Durban'!O17</f>
        <v>5.2008073127597658</v>
      </c>
      <c r="E9" s="242">
        <f>'GDP PMB'!O17</f>
        <v>5.2008073127597649</v>
      </c>
      <c r="F9" s="242">
        <f>'GDP RBay'!O17</f>
        <v>5.2008073127597676</v>
      </c>
      <c r="G9" s="242">
        <f>'GDP Port Shepstone'!O17</f>
        <v>5.2008073127597694</v>
      </c>
      <c r="H9" s="242">
        <f>'GDP Newcastle'!O17</f>
        <v>5.2008073127597658</v>
      </c>
    </row>
    <row r="10" spans="1:8" hidden="1">
      <c r="A10" t="s">
        <v>185</v>
      </c>
      <c r="B10" s="92">
        <v>6.3290770737185902</v>
      </c>
      <c r="C10" s="92">
        <v>6.7089674765058751</v>
      </c>
      <c r="D10" s="242">
        <f>'GDP Durban'!O18</f>
        <v>6.1388701437537891</v>
      </c>
      <c r="E10" s="242">
        <f>'GDP PMB'!O18</f>
        <v>6.1388701437538069</v>
      </c>
      <c r="F10" s="242">
        <f>'GDP RBay'!O18</f>
        <v>6.1388701437537936</v>
      </c>
      <c r="G10" s="242">
        <f>'GDP Port Shepstone'!O18</f>
        <v>6.1388701437537856</v>
      </c>
      <c r="H10" s="242">
        <f>'GDP Newcastle'!O18</f>
        <v>6.1388701437537962</v>
      </c>
    </row>
    <row r="11" spans="1:8" hidden="1">
      <c r="A11" t="s">
        <v>181</v>
      </c>
      <c r="B11" s="92">
        <v>5.6958586733294982</v>
      </c>
      <c r="C11" s="92">
        <v>5.9824547573235183</v>
      </c>
      <c r="D11" s="242">
        <f>'GDP Durban'!O19</f>
        <v>5.9501595515856991</v>
      </c>
      <c r="E11" s="242">
        <f>'GDP PMB'!O19</f>
        <v>5.9501595515856875</v>
      </c>
      <c r="F11" s="242">
        <f>'GDP RBay'!O19</f>
        <v>5.9501595515856813</v>
      </c>
      <c r="G11" s="242">
        <f>'GDP Port Shepstone'!O19</f>
        <v>5.9501595515856858</v>
      </c>
      <c r="H11" s="242">
        <f>'GDP Newcastle'!O19</f>
        <v>5.9501595515856893</v>
      </c>
    </row>
    <row r="12" spans="1:8" hidden="1">
      <c r="A12" t="s">
        <v>182</v>
      </c>
      <c r="B12" s="92">
        <v>4.7171256191376418</v>
      </c>
      <c r="C12" s="92">
        <v>4.7467272243916971</v>
      </c>
      <c r="D12" s="242">
        <f>'GDP Durban'!O20</f>
        <v>5.1487254835381506</v>
      </c>
      <c r="E12" s="242">
        <f>'GDP PMB'!O20</f>
        <v>5.1487254835381595</v>
      </c>
      <c r="F12" s="242">
        <f>'GDP RBay'!O20</f>
        <v>5.1487254835381702</v>
      </c>
      <c r="G12" s="242">
        <f>'GDP Port Shepstone'!O20</f>
        <v>5.1487254835381675</v>
      </c>
      <c r="H12" s="242">
        <f>'GDP Newcastle'!O20</f>
        <v>5.148725483538156</v>
      </c>
    </row>
    <row r="13" spans="1:8" hidden="1">
      <c r="A13" t="s">
        <v>183</v>
      </c>
      <c r="B13" s="92">
        <v>4.9098132822233609</v>
      </c>
      <c r="C13" s="92">
        <v>5.5989957383215021</v>
      </c>
      <c r="D13" s="242">
        <f>'GDP Durban'!O21</f>
        <v>6.1613268734800775</v>
      </c>
      <c r="E13" s="242">
        <f>'GDP PMB'!O21</f>
        <v>6.1613268734800828</v>
      </c>
      <c r="F13" s="242">
        <f>'GDP RBay'!O21</f>
        <v>6.161326873480089</v>
      </c>
      <c r="G13" s="242">
        <f>'GDP Port Shepstone'!O21</f>
        <v>6.1613268734800837</v>
      </c>
      <c r="H13" s="242">
        <f>'GDP Newcastle'!O21</f>
        <v>6.161326873480089</v>
      </c>
    </row>
    <row r="14" spans="1:8" hidden="1">
      <c r="A14" t="s">
        <v>180</v>
      </c>
      <c r="B14" s="92">
        <v>4.5903459947577101</v>
      </c>
      <c r="C14" s="92">
        <v>4.9254158861275519</v>
      </c>
      <c r="D14" s="242">
        <f>'GDP Durban'!O22</f>
        <v>5.7838691754895466</v>
      </c>
      <c r="E14" s="242">
        <f>'GDP PMB'!O22</f>
        <v>5.7838691754895386</v>
      </c>
      <c r="F14" s="242">
        <f>'GDP RBay'!O22</f>
        <v>5.7838691754895386</v>
      </c>
      <c r="G14" s="242">
        <f>'GDP Port Shepstone'!O22</f>
        <v>5.783869175489543</v>
      </c>
      <c r="H14" s="242">
        <f>'GDP Newcastle'!O22</f>
        <v>5.7838691754895404</v>
      </c>
    </row>
    <row r="15" spans="1:8" hidden="1">
      <c r="A15" t="s">
        <v>176</v>
      </c>
      <c r="B15" s="92">
        <v>4.8742677031940929</v>
      </c>
      <c r="C15" s="92">
        <v>5.1943521941517083</v>
      </c>
      <c r="D15" s="242">
        <f>'GDP Durban'!O23</f>
        <v>5.3775283645018899</v>
      </c>
      <c r="E15" s="242">
        <f>'GDP PMB'!O23</f>
        <v>5.3775283645018854</v>
      </c>
      <c r="F15" s="242">
        <f>'GDP RBay'!O23</f>
        <v>5.3775283645018987</v>
      </c>
      <c r="G15" s="242">
        <f>'GDP Port Shepstone'!O23</f>
        <v>5.3775283645018854</v>
      </c>
      <c r="H15" s="242">
        <f>'GDP Newcastle'!O23</f>
        <v>5.3775283645018952</v>
      </c>
    </row>
    <row r="16" spans="1:8" hidden="1">
      <c r="A16" t="s">
        <v>178</v>
      </c>
      <c r="B16" s="92">
        <v>4.9323793980226238</v>
      </c>
      <c r="C16" s="92">
        <v>4.6367808674976212</v>
      </c>
      <c r="D16" s="242">
        <f>'GDP Durban'!O24</f>
        <v>4.871497451745693</v>
      </c>
      <c r="E16" s="242">
        <f>'GDP PMB'!O24</f>
        <v>4.8714974517457108</v>
      </c>
      <c r="F16" s="242">
        <f>'GDP RBay'!O24</f>
        <v>4.8714974517456895</v>
      </c>
      <c r="G16" s="242">
        <f>'GDP Port Shepstone'!O24</f>
        <v>4.8714974517456895</v>
      </c>
      <c r="H16" s="242">
        <f>'GDP Newcastle'!O24</f>
        <v>4.8714974517456895</v>
      </c>
    </row>
    <row r="17" spans="1:8" hidden="1">
      <c r="A17" t="s">
        <v>179</v>
      </c>
      <c r="B17" s="92">
        <v>4.8006505369454251</v>
      </c>
      <c r="C17" s="92">
        <v>4.5375046145013043</v>
      </c>
      <c r="D17" s="242">
        <f>'GDP Durban'!O25</f>
        <v>5.0686275926108113</v>
      </c>
      <c r="E17" s="242">
        <f>'GDP PMB'!O25</f>
        <v>5.0686275926108175</v>
      </c>
      <c r="F17" s="242">
        <f>'GDP RBay'!O25</f>
        <v>5.0686275926108149</v>
      </c>
      <c r="G17" s="242">
        <f>'GDP Port Shepstone'!O25</f>
        <v>5.0686275926108095</v>
      </c>
      <c r="H17" s="242">
        <f>'GDP Newcastle'!O25</f>
        <v>5.0686275926108113</v>
      </c>
    </row>
    <row r="18" spans="1:8" hidden="1">
      <c r="A18" t="s">
        <v>177</v>
      </c>
      <c r="B18" s="92">
        <v>6.6219005788741594</v>
      </c>
      <c r="C18" s="92">
        <v>6.5008219766361259</v>
      </c>
      <c r="D18" s="242">
        <f>'GDP Durban'!O26</f>
        <v>6.7834417443122064</v>
      </c>
      <c r="E18" s="242">
        <f>'GDP PMB'!O26</f>
        <v>6.7834417443122099</v>
      </c>
      <c r="F18" s="242">
        <f>'GDP RBay'!O26</f>
        <v>6.7834417443122046</v>
      </c>
      <c r="G18" s="242">
        <f>'GDP Port Shepstone'!O26</f>
        <v>6.7834417443122117</v>
      </c>
      <c r="H18" s="242">
        <f>'GDP Newcastle'!O26</f>
        <v>6.7834417443122161</v>
      </c>
    </row>
    <row r="19" spans="1:8" hidden="1">
      <c r="A19" s="236" t="s">
        <v>173</v>
      </c>
      <c r="B19" s="92">
        <v>5.7793772534141796</v>
      </c>
      <c r="C19" s="92">
        <v>5.8860921763640235</v>
      </c>
      <c r="D19" s="242">
        <f>'GDP Durban'!O27</f>
        <v>6.9781709506472627</v>
      </c>
      <c r="E19" s="242">
        <f>'GDP PMB'!O27</f>
        <v>6.9781709506472804</v>
      </c>
      <c r="F19" s="242">
        <f>'GDP RBay'!O27</f>
        <v>6.9781709506472733</v>
      </c>
      <c r="G19" s="242">
        <f>'GDP Port Shepstone'!O27</f>
        <v>6.9781709506472778</v>
      </c>
      <c r="H19" s="242">
        <f>'GDP Newcastle'!O27</f>
        <v>6.9781709506472707</v>
      </c>
    </row>
    <row r="20" spans="1:8" hidden="1">
      <c r="A20" s="236" t="s">
        <v>174</v>
      </c>
      <c r="B20" s="92">
        <v>4.9481500370640603</v>
      </c>
      <c r="C20" s="92">
        <v>5.0768462465435515</v>
      </c>
      <c r="D20" s="242">
        <f>'GDP Durban'!O28</f>
        <v>5.9247394517156655</v>
      </c>
      <c r="E20" s="242">
        <f>'GDP PMB'!O28</f>
        <v>5.9247394517156513</v>
      </c>
      <c r="F20" s="242">
        <f>'GDP RBay'!O28</f>
        <v>5.9247394517156655</v>
      </c>
      <c r="G20" s="242">
        <f>'GDP Port Shepstone'!O28</f>
        <v>5.9247394517156584</v>
      </c>
      <c r="H20" s="242">
        <f>'GDP Newcastle'!O28</f>
        <v>5.9247394517156629</v>
      </c>
    </row>
    <row r="21" spans="1:8" hidden="1">
      <c r="A21" s="236" t="s">
        <v>175</v>
      </c>
      <c r="B21" s="92">
        <v>5.0696361770337175</v>
      </c>
      <c r="C21" s="92">
        <v>4.9863487574572805</v>
      </c>
      <c r="D21" s="242">
        <f>'GDP Durban'!O29</f>
        <v>5.3181559214108711</v>
      </c>
      <c r="E21" s="242">
        <f>'GDP PMB'!O29</f>
        <v>5.3181559214108685</v>
      </c>
      <c r="F21" s="242">
        <f>'GDP RBay'!O29</f>
        <v>5.3181559214108676</v>
      </c>
      <c r="G21" s="242">
        <f>'GDP Port Shepstone'!O29</f>
        <v>5.3181559214108889</v>
      </c>
      <c r="H21" s="242">
        <f>'GDP Newcastle'!O29</f>
        <v>5.3181559214108782</v>
      </c>
    </row>
    <row r="22" spans="1:8" hidden="1">
      <c r="A22" s="236" t="s">
        <v>22</v>
      </c>
      <c r="B22" s="92">
        <v>4.6478330110829829</v>
      </c>
      <c r="C22" s="92">
        <v>4.8198205762134707</v>
      </c>
      <c r="D22" s="242">
        <f>'GDP Durban'!O30</f>
        <v>5.3652296027814339</v>
      </c>
      <c r="E22" s="242">
        <f>'GDP PMB'!O30</f>
        <v>5.3652296027814455</v>
      </c>
      <c r="F22" s="242">
        <f>'GDP RBay'!O30</f>
        <v>5.3652296027814437</v>
      </c>
      <c r="G22" s="242">
        <f>'GDP Port Shepstone'!O30</f>
        <v>5.3652296027814401</v>
      </c>
      <c r="H22" s="242">
        <f>'GDP Newcastle'!O30</f>
        <v>5.3652296027814357</v>
      </c>
    </row>
    <row r="23" spans="1:8">
      <c r="A23" s="238" t="str">
        <f>'GDP Durban'!A31</f>
        <v>2008q1</v>
      </c>
      <c r="B23" s="92">
        <f>('GDP Durban'!D31-'GDP Durban'!D27)/'GDP Durban'!D27*100</f>
        <v>3.7678792529728895</v>
      </c>
      <c r="C23" s="92">
        <f>('GDP Durban'!E31-'GDP Durban'!E27)/'GDP Durban'!E27*100</f>
        <v>4.4557257316006122</v>
      </c>
      <c r="D23" s="92">
        <f>'GDP Durban'!O31</f>
        <v>6.659381241901956</v>
      </c>
      <c r="E23" s="92">
        <f>'GDP PMB'!O31</f>
        <v>6.5905501605554431</v>
      </c>
      <c r="F23" s="92">
        <f>'GDP RBay'!O31</f>
        <v>6.2648635144563301</v>
      </c>
      <c r="G23" s="92">
        <f>'GDP Port Shepstone'!O31</f>
        <v>0.50359969455026887</v>
      </c>
      <c r="H23" s="92">
        <f>'GDP Newcastle'!O31</f>
        <v>5.0666443959910312</v>
      </c>
    </row>
    <row r="24" spans="1:8">
      <c r="A24" s="238" t="str">
        <f>'GDP Durban'!A32</f>
        <v>2008q2</v>
      </c>
      <c r="B24" s="92">
        <f>('GDP Durban'!D32-'GDP Durban'!D28)/'GDP Durban'!D28*100</f>
        <v>5.0509671154199225</v>
      </c>
      <c r="C24" s="92">
        <f>('GDP Durban'!E32-'GDP Durban'!E28)/'GDP Durban'!E28*100</f>
        <v>5.6068726216044329</v>
      </c>
      <c r="D24" s="92">
        <f>'GDP Durban'!O32</f>
        <v>8.0239697053462784</v>
      </c>
      <c r="E24" s="92">
        <f>'GDP PMB'!O32</f>
        <v>-0.41725428848533774</v>
      </c>
      <c r="F24" s="92">
        <f>'GDP RBay'!O32</f>
        <v>16.476968115498256</v>
      </c>
      <c r="G24" s="92">
        <f>'GDP Port Shepstone'!O32</f>
        <v>-2.4419693768498516</v>
      </c>
      <c r="H24" s="92">
        <f>'GDP Newcastle'!O32</f>
        <v>2.6885415366184597</v>
      </c>
    </row>
    <row r="25" spans="1:8">
      <c r="A25" s="238" t="str">
        <f>'GDP Durban'!A33</f>
        <v>2008q3</v>
      </c>
      <c r="B25" s="92">
        <f>('GDP Durban'!D33-'GDP Durban'!D29)/'GDP Durban'!D29*100</f>
        <v>3.946904147816638</v>
      </c>
      <c r="C25" s="92">
        <f>('GDP Durban'!E33-'GDP Durban'!E29)/'GDP Durban'!E29*100</f>
        <v>4.4413177630973202</v>
      </c>
      <c r="D25" s="92">
        <f>'GDP Durban'!O33</f>
        <v>5.9989353934874128</v>
      </c>
      <c r="E25" s="92">
        <f>'GDP PMB'!O33</f>
        <v>0.52831918799998168</v>
      </c>
      <c r="F25" s="92">
        <f>'GDP RBay'!O33</f>
        <v>14.170112957362122</v>
      </c>
      <c r="G25" s="92">
        <f>'GDP Port Shepstone'!O33</f>
        <v>-3.0433902600921994</v>
      </c>
      <c r="H25" s="92">
        <f>'GDP Newcastle'!O33</f>
        <v>2.301689043834334</v>
      </c>
    </row>
    <row r="26" spans="1:8">
      <c r="A26" s="238" t="str">
        <f>'GDP Durban'!A34</f>
        <v>2008q4</v>
      </c>
      <c r="B26" s="92">
        <f>('GDP Durban'!D34-'GDP Durban'!D30)/'GDP Durban'!D30*100</f>
        <v>1.8083779525811465</v>
      </c>
      <c r="C26" s="92">
        <f>('GDP Durban'!E34-'GDP Durban'!E30)/'GDP Durban'!E30*100</f>
        <v>1.7485037784407846</v>
      </c>
      <c r="D26" s="92">
        <f>'GDP Durban'!O34</f>
        <v>0.10931599632623107</v>
      </c>
      <c r="E26" s="92">
        <f>'GDP PMB'!O34</f>
        <v>3.3041891537364751</v>
      </c>
      <c r="F26" s="92">
        <f>'GDP RBay'!O34</f>
        <v>2.8791876748986271</v>
      </c>
      <c r="G26" s="92">
        <f>'GDP Port Shepstone'!O34</f>
        <v>8.3984755457705731</v>
      </c>
      <c r="H26" s="92">
        <f>'GDP Newcastle'!O34</f>
        <v>4.6448576445164438</v>
      </c>
    </row>
    <row r="27" spans="1:8">
      <c r="A27" s="238" t="str">
        <f>'GDP Durban'!A35</f>
        <v>2009q1</v>
      </c>
      <c r="B27" s="92">
        <f>('GDP Durban'!D35-'GDP Durban'!D31)/'GDP Durban'!D31*100</f>
        <v>-0.88631919660775771</v>
      </c>
      <c r="C27" s="92">
        <f>('GDP Durban'!E35-'GDP Durban'!E31)/'GDP Durban'!E31*100</f>
        <v>-0.88905027110819379</v>
      </c>
      <c r="D27" s="92">
        <f>'GDP Durban'!O35</f>
        <v>-4.1833807471969031</v>
      </c>
      <c r="E27" s="92">
        <f>'GDP PMB'!O35</f>
        <v>-2.9859467741072665</v>
      </c>
      <c r="F27" s="92">
        <f>'GDP RBay'!O35</f>
        <v>-11.587143150815711</v>
      </c>
      <c r="G27" s="92">
        <f>'GDP Port Shepstone'!O35</f>
        <v>8.1682299577469397</v>
      </c>
      <c r="H27" s="92">
        <f>'GDP Newcastle'!O35</f>
        <v>-3.5176092433047779</v>
      </c>
    </row>
    <row r="28" spans="1:8">
      <c r="A28" s="238" t="str">
        <f>'GDP Durban'!A36</f>
        <v>2009q2</v>
      </c>
      <c r="B28" s="92">
        <f>('GDP Durban'!D36-'GDP Durban'!D32)/'GDP Durban'!D32*100</f>
        <v>-2.6626152772545963</v>
      </c>
      <c r="C28" s="92">
        <f>('GDP Durban'!E36-'GDP Durban'!E32)/'GDP Durban'!E32*100</f>
        <v>-2.9717783010492322</v>
      </c>
      <c r="D28" s="92">
        <f>'GDP Durban'!O36</f>
        <v>-6.5464750007682104</v>
      </c>
      <c r="E28" s="92">
        <f>'GDP PMB'!O36</f>
        <v>6.3450074360088839</v>
      </c>
      <c r="F28" s="92">
        <f>'GDP RBay'!O36</f>
        <v>-19.874547534381865</v>
      </c>
      <c r="G28" s="92">
        <f>'GDP Port Shepstone'!O36</f>
        <v>9.1637801253053119</v>
      </c>
      <c r="H28" s="92">
        <f>'GDP Newcastle'!O36</f>
        <v>3.9081570654368667</v>
      </c>
    </row>
    <row r="29" spans="1:8">
      <c r="A29" s="238" t="str">
        <f>'GDP Durban'!A37</f>
        <v>2009q3</v>
      </c>
      <c r="B29" s="92">
        <f>('GDP Durban'!D37-'GDP Durban'!D33)/'GDP Durban'!D33*100</f>
        <v>-1.9900122957146882</v>
      </c>
      <c r="C29" s="92">
        <f>('GDP Durban'!E37-'GDP Durban'!E33)/'GDP Durban'!E33*100</f>
        <v>-2.1295348132728438</v>
      </c>
      <c r="D29" s="92">
        <f>'GDP Durban'!O37</f>
        <v>-5.0283678005535855</v>
      </c>
      <c r="E29" s="92">
        <f>'GDP PMB'!O37</f>
        <v>4.3676731056241405</v>
      </c>
      <c r="F29" s="92">
        <f>'GDP RBay'!O37</f>
        <v>-14.64590406295091</v>
      </c>
      <c r="G29" s="92">
        <f>'GDP Port Shepstone'!O37</f>
        <v>8.6876640906282088</v>
      </c>
      <c r="H29" s="92">
        <f>'GDP Newcastle'!O37</f>
        <v>-0.74997000088062993</v>
      </c>
    </row>
    <row r="30" spans="1:8">
      <c r="A30" s="238" t="str">
        <f>'GDP Durban'!A38</f>
        <v>2009q4</v>
      </c>
      <c r="B30" s="92">
        <f>('GDP Durban'!D38-'GDP Durban'!D34)/'GDP Durban'!D34*100</f>
        <v>-0.5531500074785598</v>
      </c>
      <c r="C30" s="92">
        <f>('GDP Durban'!E38-'GDP Durban'!E34)/'GDP Durban'!E34*100</f>
        <v>-0.23075114519659654</v>
      </c>
      <c r="D30" s="92">
        <f>'GDP Durban'!O38</f>
        <v>-0.91554574812301315</v>
      </c>
      <c r="E30" s="92">
        <f>'GDP PMB'!O38</f>
        <v>12.051045039075614</v>
      </c>
      <c r="F30" s="92">
        <f>'GDP RBay'!O38</f>
        <v>-5.5942618228423795</v>
      </c>
      <c r="G30" s="92">
        <f>'GDP Port Shepstone'!O38</f>
        <v>-4.4991216689317151</v>
      </c>
      <c r="H30" s="92">
        <f>'GDP Newcastle'!O38</f>
        <v>-4.4529761786750237</v>
      </c>
    </row>
    <row r="31" spans="1:8">
      <c r="A31" s="238" t="str">
        <f>'GDP Durban'!A39</f>
        <v>2010q1</v>
      </c>
      <c r="B31" s="92">
        <f>('GDP Durban'!D39-'GDP Durban'!D35)/'GDP Durban'!D35*100</f>
        <v>2.3372650165426041</v>
      </c>
      <c r="C31" s="92">
        <f>('GDP Durban'!E39-'GDP Durban'!E35)/'GDP Durban'!E35*100</f>
        <v>2.6839245005952592</v>
      </c>
      <c r="D31" s="92">
        <f>'GDP Durban'!O39</f>
        <v>4.3060638147890655</v>
      </c>
      <c r="E31" s="92">
        <f>'GDP PMB'!O39</f>
        <v>3.4632115352520652</v>
      </c>
      <c r="F31" s="92">
        <f>'GDP RBay'!O39</f>
        <v>10.313965751809921</v>
      </c>
      <c r="G31" s="92">
        <f>'GDP Port Shepstone'!O39</f>
        <v>-1.814863106321029</v>
      </c>
      <c r="H31" s="92">
        <f>'GDP Newcastle'!O39</f>
        <v>4.3444897223806169</v>
      </c>
    </row>
    <row r="32" spans="1:8">
      <c r="A32" s="238" t="str">
        <f>'GDP Durban'!A40</f>
        <v>2010q2</v>
      </c>
      <c r="B32" s="92">
        <f>('GDP Durban'!D40-'GDP Durban'!D36)/'GDP Durban'!D36*100</f>
        <v>3.3785208798298947</v>
      </c>
      <c r="C32" s="92">
        <f>('GDP Durban'!E40-'GDP Durban'!E36)/'GDP Durban'!E36*100</f>
        <v>4.4186159836273537</v>
      </c>
      <c r="D32" s="92">
        <f>'GDP Durban'!O40</f>
        <v>6.272766037276531</v>
      </c>
      <c r="E32" s="92">
        <f>'GDP PMB'!O40</f>
        <v>0.24102815541291017</v>
      </c>
      <c r="F32" s="92">
        <f>'GDP RBay'!O40</f>
        <v>15.170133496640489</v>
      </c>
      <c r="G32" s="92">
        <f>'GDP Port Shepstone'!O40</f>
        <v>-0.76769433849657076</v>
      </c>
      <c r="H32" s="92">
        <f>'GDP Newcastle'!O40</f>
        <v>0.73313196824800198</v>
      </c>
    </row>
    <row r="33" spans="1:8">
      <c r="A33" s="238" t="str">
        <f>'GDP Durban'!A41</f>
        <v>2010q3</v>
      </c>
      <c r="B33" s="92">
        <f>('GDP Durban'!D41-'GDP Durban'!D37)/'GDP Durban'!D37*100</f>
        <v>3.39968776509909</v>
      </c>
      <c r="C33" s="92">
        <f>('GDP Durban'!E41-'GDP Durban'!E37)/'GDP Durban'!E37*100</f>
        <v>3.9319518223983594</v>
      </c>
      <c r="D33" s="92">
        <f>'GDP Durban'!O41</f>
        <v>5.5222184710701585</v>
      </c>
      <c r="E33" s="92">
        <f>'GDP PMB'!O41</f>
        <v>0.88310954046919299</v>
      </c>
      <c r="F33" s="92">
        <f>'GDP RBay'!O41</f>
        <v>10.707351713587176</v>
      </c>
      <c r="G33" s="92">
        <f>'GDP Port Shepstone'!O41</f>
        <v>-0.55574805495020074</v>
      </c>
      <c r="H33" s="92">
        <f>'GDP Newcastle'!O41</f>
        <v>3.6833601174900767</v>
      </c>
    </row>
    <row r="34" spans="1:8">
      <c r="A34" s="238" t="str">
        <f>'GDP Durban'!A42</f>
        <v>2010q4</v>
      </c>
      <c r="B34" s="92">
        <f>('GDP Durban'!D42-'GDP Durban'!D38)/'GDP Durban'!D38*100</f>
        <v>3.4134005952214661</v>
      </c>
      <c r="C34" s="92">
        <f>('GDP Durban'!E42-'GDP Durban'!E38)/'GDP Durban'!E38*100</f>
        <v>3.8761962727699535</v>
      </c>
      <c r="D34" s="92">
        <f>'GDP Durban'!O42</f>
        <v>4.9256777562049203</v>
      </c>
      <c r="E34" s="92">
        <f>'GDP PMB'!O42</f>
        <v>-4.1785895781736988</v>
      </c>
      <c r="F34" s="92">
        <f>'GDP RBay'!O42</f>
        <v>7.4084020040233511</v>
      </c>
      <c r="G34" s="92">
        <f>'GDP Port Shepstone'!O42</f>
        <v>4.7522109745600432</v>
      </c>
      <c r="H34" s="92">
        <f>'GDP Newcastle'!O42</f>
        <v>5.9356809337270455</v>
      </c>
    </row>
    <row r="35" spans="1:8">
      <c r="A35" s="238" t="str">
        <f>'GDP Durban'!A43</f>
        <v>2011q1</v>
      </c>
      <c r="B35" s="92">
        <f>('GDP Durban'!D43-'GDP Durban'!D39)/'GDP Durban'!D39*100</f>
        <v>3.8126401154293394</v>
      </c>
      <c r="C35" s="92">
        <f>('GDP Durban'!E43-'GDP Durban'!E39)/'GDP Durban'!E39*100</f>
        <v>3.8362917402274812</v>
      </c>
      <c r="D35" s="92">
        <f>'GDP Durban'!O43</f>
        <v>3.9312491107488516</v>
      </c>
      <c r="E35" s="92">
        <f>'GDP PMB'!O43</f>
        <v>4.057377113234196</v>
      </c>
      <c r="F35" s="92">
        <f>'GDP RBay'!O43</f>
        <v>2.9467296623738157</v>
      </c>
      <c r="G35" s="92">
        <f>'GDP Port Shepstone'!O43</f>
        <v>3.9771278436845554</v>
      </c>
      <c r="H35" s="92">
        <f>'GDP Newcastle'!O43</f>
        <v>3.6626026951421906</v>
      </c>
    </row>
    <row r="36" spans="1:8">
      <c r="A36" s="238" t="str">
        <f>'GDP Durban'!A44</f>
        <v>2011q2</v>
      </c>
      <c r="B36" s="92">
        <f>('GDP Durban'!D44-'GDP Durban'!D40)/'GDP Durban'!D40*100</f>
        <v>3.635540830861852</v>
      </c>
      <c r="C36" s="92">
        <f>('GDP Durban'!E44-'GDP Durban'!E40)/'GDP Durban'!E40*100</f>
        <v>3.1783364335934463</v>
      </c>
      <c r="D36" s="92">
        <f>'GDP Durban'!O44</f>
        <v>3.2708365816054679</v>
      </c>
      <c r="E36" s="92">
        <f>'GDP PMB'!O44</f>
        <v>2.9063121255141104</v>
      </c>
      <c r="F36" s="92">
        <f>'GDP RBay'!O44</f>
        <v>3.3349565933560221</v>
      </c>
      <c r="G36" s="92">
        <f>'GDP Port Shepstone'!O44</f>
        <v>2.750152069878538</v>
      </c>
      <c r="H36" s="92">
        <f>'GDP Newcastle'!O44</f>
        <v>3.3344475193302205</v>
      </c>
    </row>
    <row r="37" spans="1:8">
      <c r="A37" s="238" t="str">
        <f>'GDP Durban'!A45</f>
        <v>2011q3</v>
      </c>
      <c r="B37" s="92">
        <f>('GDP Durban'!D45-'GDP Durban'!D41)/'GDP Durban'!D41*100</f>
        <v>3.2663322467627163</v>
      </c>
      <c r="C37" s="92">
        <f>('GDP Durban'!E45-'GDP Durban'!E41)/'GDP Durban'!E41*100</f>
        <v>3.3564445934469118</v>
      </c>
      <c r="D37" s="92">
        <f>'GDP Durban'!O45</f>
        <v>3.3537663260483965</v>
      </c>
      <c r="E37" s="92">
        <f>'GDP PMB'!O45</f>
        <v>3.2292684603540045</v>
      </c>
      <c r="F37" s="92">
        <f>'GDP RBay'!O45</f>
        <v>3.8823218567518127</v>
      </c>
      <c r="G37" s="92">
        <f>'GDP Port Shepstone'!O45</f>
        <v>2.8823375140957825</v>
      </c>
      <c r="H37" s="92">
        <f>'GDP Newcastle'!O45</f>
        <v>3.0416205073691462</v>
      </c>
    </row>
    <row r="38" spans="1:8">
      <c r="A38" s="238" t="str">
        <f>'GDP Durban'!A46</f>
        <v>2011q4</v>
      </c>
      <c r="B38" s="92">
        <f>('GDP Durban'!D46-'GDP Durban'!D42)/'GDP Durban'!D42*100</f>
        <v>3.691340647527467</v>
      </c>
      <c r="C38" s="92">
        <f>('GDP Durban'!E46-'GDP Durban'!E42)/'GDP Durban'!E42*100</f>
        <v>3.8715772772594685</v>
      </c>
      <c r="D38" s="92">
        <f>'GDP Durban'!O46</f>
        <v>3.4158515091313304</v>
      </c>
      <c r="E38" s="92">
        <f>'GDP PMB'!O46</f>
        <v>5.578467219794577</v>
      </c>
      <c r="F38" s="92">
        <f>'GDP RBay'!O46</f>
        <v>3.4967237348459475</v>
      </c>
      <c r="G38" s="92">
        <f>'GDP Port Shepstone'!O46</f>
        <v>4.8270342631528287</v>
      </c>
      <c r="H38" s="92">
        <f>'GDP Newcastle'!O46</f>
        <v>4.0256234597863889</v>
      </c>
    </row>
    <row r="39" spans="1:8">
      <c r="A39" s="238" t="str">
        <f>'GDP Durban'!A47</f>
        <v>2012q1</v>
      </c>
      <c r="B39" s="92">
        <f>('GDP Durban'!D47-'GDP Durban'!D43)/'GDP Durban'!D43*100</f>
        <v>2.6952861732772653</v>
      </c>
      <c r="C39" s="92">
        <f>('GDP Durban'!E47-'GDP Durban'!E43)/'GDP Durban'!E43*100</f>
        <v>3.2334924026671508</v>
      </c>
      <c r="D39" s="92">
        <f>'GDP Durban'!O47</f>
        <v>2.6359484482291409</v>
      </c>
      <c r="E39" s="92">
        <f>'GDP PMB'!O47</f>
        <v>2.8286342142584067</v>
      </c>
      <c r="F39" s="92">
        <f>'GDP RBay'!O47</f>
        <v>1.4275162661626599</v>
      </c>
      <c r="G39" s="92">
        <f>'GDP Port Shepstone'!O47</f>
        <v>4.7148376755636772</v>
      </c>
      <c r="H39" s="92">
        <f>'GDP Newcastle'!O47</f>
        <v>2.8002600389778007</v>
      </c>
    </row>
    <row r="40" spans="1:8">
      <c r="A40" s="238" t="str">
        <f>'GDP Durban'!A48</f>
        <v>2012q2</v>
      </c>
      <c r="B40" s="92">
        <f>('GDP Durban'!D48-'GDP Durban'!D44)/'GDP Durban'!D44*100</f>
        <v>2.9342589752829054</v>
      </c>
      <c r="C40" s="92">
        <f>('GDP Durban'!E48-'GDP Durban'!E44)/'GDP Durban'!E44*100</f>
        <v>3.2776619850437774</v>
      </c>
      <c r="D40" s="92">
        <f>'GDP Durban'!O48</f>
        <v>2.615897726678631</v>
      </c>
      <c r="E40" s="92">
        <f>'GDP PMB'!O48</f>
        <v>4.8981721070490742</v>
      </c>
      <c r="F40" s="92">
        <f>'GDP RBay'!O48</f>
        <v>-3.5594420839049207E-2</v>
      </c>
      <c r="G40" s="92">
        <f>'GDP Port Shepstone'!O48</f>
        <v>5.3713276789582061</v>
      </c>
      <c r="H40" s="92">
        <f>'GDP Newcastle'!O48</f>
        <v>4.4312688901278081</v>
      </c>
    </row>
    <row r="41" spans="1:8">
      <c r="A41" s="238" t="str">
        <f>'GDP Durban'!A49</f>
        <v>2012q3</v>
      </c>
      <c r="B41" s="92">
        <f>('GDP Durban'!D49-'GDP Durban'!D45)/'GDP Durban'!D45*100</f>
        <v>2.1794454178951255</v>
      </c>
      <c r="C41" s="92">
        <f>('GDP Durban'!E49-'GDP Durban'!E45)/'GDP Durban'!E45*100</f>
        <v>2.3332889152125866</v>
      </c>
      <c r="D41" s="92">
        <f>'GDP Durban'!O49</f>
        <v>1.8209741207855481</v>
      </c>
      <c r="E41" s="92">
        <f>'GDP PMB'!O49</f>
        <v>3.4494967945427057</v>
      </c>
      <c r="F41" s="92">
        <f>'GDP RBay'!O49</f>
        <v>-8.9133086241903928E-2</v>
      </c>
      <c r="G41" s="92">
        <f>'GDP Port Shepstone'!O49</f>
        <v>4.1941258590952009</v>
      </c>
      <c r="H41" s="92">
        <f>'GDP Newcastle'!O49</f>
        <v>2.623763658498401</v>
      </c>
    </row>
    <row r="42" spans="1:8">
      <c r="A42" s="238" t="str">
        <f>'GDP Durban'!A50</f>
        <v>2012q4</v>
      </c>
      <c r="B42" s="92">
        <f>('GDP Durban'!D50-'GDP Durban'!D46)/'GDP Durban'!D46*100</f>
        <v>2.0839574255435895</v>
      </c>
      <c r="C42" s="92">
        <f>('GDP Durban'!E50-'GDP Durban'!E46)/'GDP Durban'!E46*100</f>
        <v>2.4165410345637248</v>
      </c>
      <c r="D42" s="92">
        <f>'GDP Durban'!O50</f>
        <v>2.3744561087979377</v>
      </c>
      <c r="E42" s="92">
        <f>'GDP PMB'!O50</f>
        <v>4.1360238317283073</v>
      </c>
      <c r="F42" s="92">
        <f>'GDP RBay'!O50</f>
        <v>1.5370874204313438</v>
      </c>
      <c r="G42" s="92">
        <f>'GDP Port Shepstone'!O50</f>
        <v>1.5113249649259304</v>
      </c>
      <c r="H42" s="92">
        <f>'GDP Newcastle'!O50</f>
        <v>1.6527251334768209</v>
      </c>
    </row>
    <row r="43" spans="1:8">
      <c r="A43" s="238" t="str">
        <f>'GDP Durban'!A51</f>
        <v>2013q1</v>
      </c>
      <c r="B43" s="92">
        <f>('GDP Durban'!D51-'GDP Durban'!D47)/'GDP Durban'!D47*100</f>
        <v>1.607804806903508</v>
      </c>
      <c r="C43" s="92">
        <f>('GDP Durban'!E51-'GDP Durban'!E47)/'GDP Durban'!E47*100</f>
        <v>1.4376275661035978</v>
      </c>
      <c r="D43" s="92">
        <f>'GDP Durban'!O51</f>
        <v>1.8002662612428868</v>
      </c>
      <c r="E43" s="92">
        <f>'GDP PMB'!O51</f>
        <v>1.631759275534947</v>
      </c>
      <c r="F43" s="92">
        <f>'GDP RBay'!O51</f>
        <v>2.9391079889622613</v>
      </c>
      <c r="G43" s="92">
        <f>'GDP Port Shepstone'!O51</f>
        <v>0.43582045337149722</v>
      </c>
      <c r="H43" s="92">
        <f>'GDP Newcastle'!O51</f>
        <v>1.7795132088940266</v>
      </c>
    </row>
    <row r="44" spans="1:8">
      <c r="A44" s="238" t="str">
        <f>'GDP Durban'!A52</f>
        <v>2013q2</v>
      </c>
      <c r="B44" s="92">
        <f>('GDP Durban'!D52-'GDP Durban'!D48)/'GDP Durban'!D48*100</f>
        <v>2.291853286638653</v>
      </c>
      <c r="C44" s="92">
        <f>('GDP Durban'!E52-'GDP Durban'!E48)/'GDP Durban'!E48*100</f>
        <v>2.534154732424474</v>
      </c>
      <c r="D44" s="92">
        <f>'GDP Durban'!O52</f>
        <v>2.9441686100248177</v>
      </c>
      <c r="E44" s="92">
        <f>'GDP PMB'!O52</f>
        <v>1.5671126581438508</v>
      </c>
      <c r="F44" s="92">
        <f>'GDP RBay'!O52</f>
        <v>4.7462550441609501</v>
      </c>
      <c r="G44" s="92">
        <f>'GDP Port Shepstone'!O52</f>
        <v>1.3155576863446863</v>
      </c>
      <c r="H44" s="92">
        <f>'GDP Newcastle'!O52</f>
        <v>1.7279908873065952</v>
      </c>
    </row>
    <row r="45" spans="1:8">
      <c r="A45" s="238" t="str">
        <f>'GDP Durban'!A53</f>
        <v>2013q3</v>
      </c>
      <c r="B45" s="92">
        <f>('GDP Durban'!D53-'GDP Durban'!D49)/'GDP Durban'!D49*100</f>
        <v>1.6800481318341447</v>
      </c>
      <c r="C45" s="92">
        <f>('GDP Durban'!E53-'GDP Durban'!E49)/'GDP Durban'!E49*100</f>
        <v>1.3841508424852393</v>
      </c>
      <c r="D45" s="92">
        <f>'GDP Durban'!O53</f>
        <v>1.7251089294049622</v>
      </c>
      <c r="E45" s="92">
        <f>'GDP PMB'!O53</f>
        <v>0.69605391629085445</v>
      </c>
      <c r="F45" s="92">
        <f>'GDP RBay'!O53</f>
        <v>2.8476879616742683</v>
      </c>
      <c r="G45" s="92">
        <f>'GDP Port Shepstone'!O53</f>
        <v>0.33000209962056687</v>
      </c>
      <c r="H45" s="92">
        <f>'GDP Newcastle'!O53</f>
        <v>1.2958012258116742</v>
      </c>
    </row>
    <row r="46" spans="1:8">
      <c r="A46" s="238" t="str">
        <f>'GDP Durban'!A54</f>
        <v>2013q4</v>
      </c>
      <c r="B46" s="92">
        <f>('GDP Durban'!D54-'GDP Durban'!D50)/'GDP Durban'!D50*100</f>
        <v>1.9729664919176784</v>
      </c>
      <c r="C46" s="92">
        <f>('GDP Durban'!E54-'GDP Durban'!E50)/'GDP Durban'!E50*100</f>
        <v>1.5959141345094023</v>
      </c>
      <c r="D46" s="92">
        <f>'GDP Durban'!O54</f>
        <v>1.7730539992569583</v>
      </c>
      <c r="E46" s="92">
        <f>'GDP PMB'!O54</f>
        <v>-6.0907402487405511E-2</v>
      </c>
      <c r="F46" s="92">
        <f>'GDP RBay'!O54</f>
        <v>2.3062749421245874</v>
      </c>
      <c r="G46" s="92">
        <f>'GDP Port Shepstone'!O54</f>
        <v>1.8884730023566987</v>
      </c>
      <c r="H46" s="92">
        <f>'GDP Newcastle'!O54</f>
        <v>2.0543139460985795</v>
      </c>
    </row>
    <row r="47" spans="1:8">
      <c r="A47" s="287"/>
      <c r="B47" s="92"/>
      <c r="C47" s="92"/>
      <c r="D47" s="92"/>
      <c r="E47" s="92"/>
      <c r="F47" s="92"/>
      <c r="G47" s="92"/>
      <c r="H47" s="92"/>
    </row>
    <row r="48" spans="1:8">
      <c r="A48" s="357" t="s">
        <v>28</v>
      </c>
      <c r="B48" s="358">
        <f>AVERAGE(B23:B46)</f>
        <v>2.2025991874292621</v>
      </c>
      <c r="C48" s="358">
        <f t="shared" ref="C48:H48" si="0">AVERAGE(C23:C46)</f>
        <v>2.391561483376853</v>
      </c>
      <c r="D48" s="358">
        <f t="shared" si="0"/>
        <v>2.3669223688214904</v>
      </c>
      <c r="E48" s="358">
        <f t="shared" si="0"/>
        <v>2.7129213744719181</v>
      </c>
      <c r="F48" s="358">
        <f t="shared" si="0"/>
        <v>2.5428776092103393</v>
      </c>
      <c r="G48" s="358">
        <f t="shared" si="0"/>
        <v>2.5312206122486649</v>
      </c>
      <c r="H48" s="358">
        <f t="shared" si="0"/>
        <v>2.3756636740084209</v>
      </c>
    </row>
    <row r="49" spans="1:8">
      <c r="A49" s="357" t="s">
        <v>408</v>
      </c>
      <c r="B49" s="358">
        <f>MEDIAN(B23:B46)</f>
        <v>2.5162755949099349</v>
      </c>
      <c r="C49" s="358">
        <f t="shared" ref="C49:H49" si="1">MEDIAN(C23:C46)</f>
        <v>2.931130467094353</v>
      </c>
      <c r="D49" s="358">
        <f t="shared" si="1"/>
        <v>2.7900585291269793</v>
      </c>
      <c r="E49" s="358">
        <f t="shared" si="1"/>
        <v>3.0677902929340575</v>
      </c>
      <c r="F49" s="358">
        <f t="shared" si="1"/>
        <v>2.9429188256680385</v>
      </c>
      <c r="G49" s="358">
        <f t="shared" si="1"/>
        <v>2.3193125361176183</v>
      </c>
      <c r="H49" s="358">
        <f t="shared" si="1"/>
        <v>2.7444007877981305</v>
      </c>
    </row>
    <row r="50" spans="1:8">
      <c r="A50" s="357" t="s">
        <v>406</v>
      </c>
      <c r="B50" s="358">
        <f>STDEV(B23:B46)</f>
        <v>1.9327702734426719</v>
      </c>
      <c r="C50" s="358">
        <f t="shared" ref="C50:H50" si="2">STDEV(C23:C46)</f>
        <v>2.1339293893118416</v>
      </c>
      <c r="D50" s="358">
        <f t="shared" si="2"/>
        <v>3.6070247039022161</v>
      </c>
      <c r="E50" s="358">
        <f t="shared" si="2"/>
        <v>3.3297172577453868</v>
      </c>
      <c r="F50" s="358">
        <f t="shared" si="2"/>
        <v>8.7024225611353678</v>
      </c>
      <c r="G50" s="358">
        <f t="shared" si="2"/>
        <v>3.8276567848950829</v>
      </c>
      <c r="H50" s="358">
        <f t="shared" si="2"/>
        <v>2.4645896499796076</v>
      </c>
    </row>
    <row r="51" spans="1:8">
      <c r="A51" s="357" t="s">
        <v>407</v>
      </c>
      <c r="B51" s="358">
        <f>MAX(B23:B46)-MIN(B23:B46)</f>
        <v>7.7135823926745193</v>
      </c>
      <c r="C51" s="358">
        <f t="shared" ref="C51:H51" si="3">MAX(C23:C46)-MIN(C23:C46)</f>
        <v>8.5786509226536651</v>
      </c>
      <c r="D51" s="358">
        <f t="shared" si="3"/>
        <v>14.57044470611449</v>
      </c>
      <c r="E51" s="358">
        <f t="shared" si="3"/>
        <v>16.229634617249314</v>
      </c>
      <c r="F51" s="358">
        <f t="shared" si="3"/>
        <v>36.35151564988012</v>
      </c>
      <c r="G51" s="358">
        <f t="shared" si="3"/>
        <v>13.662901794237026</v>
      </c>
      <c r="H51" s="358">
        <f t="shared" si="3"/>
        <v>10.388657112402068</v>
      </c>
    </row>
  </sheetData>
  <mergeCells count="1">
    <mergeCell ref="A1:H1"/>
  </mergeCells>
  <conditionalFormatting sqref="B23:H4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04"/>
  <sheetViews>
    <sheetView workbookViewId="0">
      <selection sqref="A1:G1"/>
    </sheetView>
  </sheetViews>
  <sheetFormatPr defaultRowHeight="12.75"/>
  <cols>
    <col min="2" max="2" width="12.375" customWidth="1"/>
    <col min="3" max="3" width="14.875" customWidth="1"/>
    <col min="4" max="4" width="19.5" customWidth="1"/>
    <col min="5" max="5" width="16" customWidth="1"/>
    <col min="6" max="6" width="14.5" bestFit="1" customWidth="1"/>
    <col min="7" max="7" width="17.625" customWidth="1"/>
  </cols>
  <sheetData>
    <row r="1" spans="1:7" ht="37.5" customHeight="1" thickBot="1">
      <c r="A1" s="427" t="s">
        <v>274</v>
      </c>
      <c r="B1" s="428"/>
      <c r="C1" s="428"/>
      <c r="D1" s="428"/>
      <c r="E1" s="428"/>
      <c r="F1" s="428"/>
      <c r="G1" s="429"/>
    </row>
    <row r="2" spans="1:7" ht="15.75" thickBot="1">
      <c r="B2" s="354" t="s">
        <v>275</v>
      </c>
      <c r="C2" s="355" t="s">
        <v>254</v>
      </c>
      <c r="D2" s="355" t="s">
        <v>255</v>
      </c>
      <c r="E2" s="355" t="s">
        <v>256</v>
      </c>
      <c r="F2" s="355" t="s">
        <v>258</v>
      </c>
      <c r="G2" s="356" t="s">
        <v>257</v>
      </c>
    </row>
    <row r="3" spans="1:7" hidden="1">
      <c r="A3" t="str">
        <f>'GDP Durban'!A7</f>
        <v>2002q1</v>
      </c>
      <c r="B3" s="234">
        <f>'GDP Durban'!E7</f>
        <v>53541924463.459938</v>
      </c>
      <c r="C3" s="234">
        <f>'GDP Durban'!M7</f>
        <v>30643923922.265591</v>
      </c>
      <c r="D3" s="234">
        <f>'GDP PMB'!M7</f>
        <v>4300105870.4671488</v>
      </c>
      <c r="E3" s="234">
        <f>'GDP RBay'!M7</f>
        <v>3204610900.4491315</v>
      </c>
      <c r="F3" s="234">
        <f>'GDP Newcastle'!M7</f>
        <v>1465966203.2398498</v>
      </c>
      <c r="G3" s="234">
        <f>'GDP Port Shepstone'!M7</f>
        <v>1579132763.2632537</v>
      </c>
    </row>
    <row r="4" spans="1:7" hidden="1">
      <c r="A4" t="str">
        <f>'GDP Durban'!A8</f>
        <v>2002q2</v>
      </c>
      <c r="B4" s="234">
        <f>'GDP Durban'!E8</f>
        <v>56761421952.243866</v>
      </c>
      <c r="C4" s="234">
        <f>'GDP Durban'!M8</f>
        <v>32486555413.435646</v>
      </c>
      <c r="D4" s="234">
        <f>'GDP PMB'!M8</f>
        <v>4558672968.8709812</v>
      </c>
      <c r="E4" s="234">
        <f>'GDP RBay'!M8</f>
        <v>3400906258.034411</v>
      </c>
      <c r="F4" s="234">
        <f>'GDP Newcastle'!M8</f>
        <v>1555762552.6289663</v>
      </c>
      <c r="G4" s="234">
        <f>'GDP Port Shepstone'!M8</f>
        <v>1675861021.4102716</v>
      </c>
    </row>
    <row r="5" spans="1:7" hidden="1">
      <c r="A5" t="str">
        <f>'GDP Durban'!A9</f>
        <v>2002q3</v>
      </c>
      <c r="B5" s="234">
        <f>'GDP Durban'!E9</f>
        <v>56894031533.402405</v>
      </c>
      <c r="C5" s="234">
        <f>'GDP Durban'!M9</f>
        <v>32562452534.37606</v>
      </c>
      <c r="D5" s="234">
        <f>'GDP PMB'!M9</f>
        <v>4569323225.5461817</v>
      </c>
      <c r="E5" s="234">
        <f>'GDP RBay'!M9</f>
        <v>3406916803.5019217</v>
      </c>
      <c r="F5" s="234">
        <f>'GDP Newcastle'!M9</f>
        <v>1558512108.438432</v>
      </c>
      <c r="G5" s="234">
        <f>'GDP Port Shepstone'!M9</f>
        <v>1678822831.6167772</v>
      </c>
    </row>
    <row r="6" spans="1:7" hidden="1">
      <c r="A6" t="str">
        <f>'GDP Durban'!A10</f>
        <v>2002q4</v>
      </c>
      <c r="B6" s="234">
        <f>'GDP Durban'!E10</f>
        <v>57325635367.883652</v>
      </c>
      <c r="C6" s="234">
        <f>'GDP Durban'!M10</f>
        <v>32809474568.061604</v>
      </c>
      <c r="D6" s="234">
        <f>'GDP PMB'!M10</f>
        <v>4603986570.2235947</v>
      </c>
      <c r="E6" s="234">
        <f>'GDP RBay'!M10</f>
        <v>3431991010.0775657</v>
      </c>
      <c r="F6" s="234">
        <f>'GDP Newcastle'!M10</f>
        <v>1569982436.8354917</v>
      </c>
      <c r="G6" s="234">
        <f>'GDP Port Shepstone'!M10</f>
        <v>1691178622.1780841</v>
      </c>
    </row>
    <row r="7" spans="1:7" hidden="1">
      <c r="A7" t="str">
        <f>'GDP Durban'!A11</f>
        <v>2003q1</v>
      </c>
      <c r="B7" s="234">
        <f>'GDP Durban'!E11</f>
        <v>55181294713.915733</v>
      </c>
      <c r="C7" s="234">
        <f>'GDP Durban'!M11</f>
        <v>31582193096.166451</v>
      </c>
      <c r="D7" s="234">
        <f>'GDP PMB'!M11</f>
        <v>4431768407.9739046</v>
      </c>
      <c r="E7" s="234">
        <f>'GDP RBay'!M11</f>
        <v>3419645680.1521807</v>
      </c>
      <c r="F7" s="234">
        <f>'GDP Newcastle'!M11</f>
        <v>1564335000.3757567</v>
      </c>
      <c r="G7" s="234">
        <f>'GDP Port Shepstone'!M11</f>
        <v>1685095226.8567557</v>
      </c>
    </row>
    <row r="8" spans="1:7" hidden="1">
      <c r="A8" t="str">
        <f>'GDP Durban'!A12</f>
        <v>2003q2</v>
      </c>
      <c r="B8" s="234">
        <f>'GDP Durban'!E12</f>
        <v>58708707406.102829</v>
      </c>
      <c r="C8" s="234">
        <f>'GDP Durban'!M12</f>
        <v>33601055273.143013</v>
      </c>
      <c r="D8" s="234">
        <f>'GDP PMB'!M12</f>
        <v>4715065061.5259399</v>
      </c>
      <c r="E8" s="234">
        <f>'GDP RBay'!M12</f>
        <v>3638243334.2574153</v>
      </c>
      <c r="F8" s="234">
        <f>'GDP Newcastle'!M12</f>
        <v>1664333653.2483649</v>
      </c>
      <c r="G8" s="234">
        <f>'GDP Port Shepstone'!M12</f>
        <v>1792813364.3447375</v>
      </c>
    </row>
    <row r="9" spans="1:7" hidden="1">
      <c r="A9" t="str">
        <f>'GDP Durban'!A13</f>
        <v>2003q3</v>
      </c>
      <c r="B9" s="234">
        <f>'GDP Durban'!E13</f>
        <v>58465530322.692268</v>
      </c>
      <c r="C9" s="234">
        <f>'GDP Durban'!M13</f>
        <v>33461876487.203835</v>
      </c>
      <c r="D9" s="234">
        <f>'GDP PMB'!M13</f>
        <v>4695534810.8968191</v>
      </c>
      <c r="E9" s="234">
        <f>'GDP RBay'!M13</f>
        <v>3623173382.254509</v>
      </c>
      <c r="F9" s="234">
        <f>'GDP Newcastle'!M13</f>
        <v>1657439824.0107465</v>
      </c>
      <c r="G9" s="234">
        <f>'GDP Port Shepstone'!M13</f>
        <v>1785387359.8506322</v>
      </c>
    </row>
    <row r="10" spans="1:7" hidden="1">
      <c r="A10" t="str">
        <f>'GDP Durban'!A14</f>
        <v>2003q4</v>
      </c>
      <c r="B10" s="234">
        <f>'GDP Durban'!E14</f>
        <v>58326547234.588341</v>
      </c>
      <c r="C10" s="234">
        <f>'GDP Durban'!M14</f>
        <v>33382331584.38203</v>
      </c>
      <c r="D10" s="234">
        <f>'GDP PMB'!M14</f>
        <v>4684372679.5569334</v>
      </c>
      <c r="E10" s="234">
        <f>'GDP RBay'!M14</f>
        <v>3614560447.0322962</v>
      </c>
      <c r="F10" s="234">
        <f>'GDP Newcastle'!M14</f>
        <v>1653499791.2458673</v>
      </c>
      <c r="G10" s="234">
        <f>'GDP Port Shepstone'!M14</f>
        <v>1781143172.7652814</v>
      </c>
    </row>
    <row r="11" spans="1:7" hidden="1">
      <c r="A11" t="str">
        <f>'GDP Durban'!A15</f>
        <v>2004q1</v>
      </c>
      <c r="B11" s="234">
        <f>'GDP Durban'!E15</f>
        <v>57038420961.214691</v>
      </c>
      <c r="C11" s="234">
        <f>'GDP Durban'!M15</f>
        <v>32645091675.299709</v>
      </c>
      <c r="D11" s="234">
        <f>'GDP PMB'!M15</f>
        <v>4580919555.5696335</v>
      </c>
      <c r="E11" s="234">
        <f>'GDP RBay'!M15</f>
        <v>3534733841.4937735</v>
      </c>
      <c r="F11" s="234">
        <f>'GDP Newcastle'!M15</f>
        <v>1616982688.3980825</v>
      </c>
      <c r="G11" s="234">
        <f>'GDP Port Shepstone'!M15</f>
        <v>1741807099.8060632</v>
      </c>
    </row>
    <row r="12" spans="1:7" hidden="1">
      <c r="A12" t="str">
        <f>'GDP Durban'!A16</f>
        <v>2004q2</v>
      </c>
      <c r="B12" s="234">
        <f>'GDP Durban'!E16</f>
        <v>60603210461.404221</v>
      </c>
      <c r="C12" s="234">
        <f>'GDP Durban'!M16</f>
        <v>34685345912.280869</v>
      </c>
      <c r="D12" s="234">
        <f>'GDP PMB'!M16</f>
        <v>4867218048.0193396</v>
      </c>
      <c r="E12" s="234">
        <f>'GDP RBay'!M16</f>
        <v>3755647777.605185</v>
      </c>
      <c r="F12" s="234">
        <f>'GDP Newcastle'!M16</f>
        <v>1718040936.7235279</v>
      </c>
      <c r="G12" s="234">
        <f>'GDP Port Shepstone'!M16</f>
        <v>1850666629.1567507</v>
      </c>
    </row>
    <row r="13" spans="1:7" hidden="1">
      <c r="A13" t="str">
        <f>'GDP Durban'!A17</f>
        <v>2004q3</v>
      </c>
      <c r="B13" s="234">
        <f>'GDP Durban'!E17</f>
        <v>61506209899.158623</v>
      </c>
      <c r="C13" s="234">
        <f>'GDP Durban'!M17</f>
        <v>35202164206.536972</v>
      </c>
      <c r="D13" s="234">
        <f>'GDP PMB'!M17</f>
        <v>4939740528.7151213</v>
      </c>
      <c r="E13" s="234">
        <f>'GDP RBay'!M17</f>
        <v>3811607648.4727669</v>
      </c>
      <c r="F13" s="234">
        <f>'GDP Newcastle'!M17</f>
        <v>1743640075.58249</v>
      </c>
      <c r="G13" s="234">
        <f>'GDP Port Shepstone'!M17</f>
        <v>1878241916.2228324</v>
      </c>
    </row>
    <row r="14" spans="1:7" hidden="1">
      <c r="A14" t="str">
        <f>'GDP Durban'!A18</f>
        <v>2004q4</v>
      </c>
      <c r="B14" s="234">
        <f>'GDP Durban'!E18</f>
        <v>61907138228.654938</v>
      </c>
      <c r="C14" s="234">
        <f>'GDP Durban'!M18</f>
        <v>35431629571.30455</v>
      </c>
      <c r="D14" s="234">
        <f>'GDP PMB'!M18</f>
        <v>4971940235.4044142</v>
      </c>
      <c r="E14" s="234">
        <f>'GDP RBay'!M18</f>
        <v>3836453619.1430955</v>
      </c>
      <c r="F14" s="234">
        <f>'GDP Newcastle'!M18</f>
        <v>1755005996.2576911</v>
      </c>
      <c r="G14" s="234">
        <f>'GDP Port Shepstone'!M18</f>
        <v>1890485239.2156782</v>
      </c>
    </row>
    <row r="15" spans="1:7" hidden="1">
      <c r="A15" t="str">
        <f>'GDP Durban'!A19</f>
        <v>2005q1</v>
      </c>
      <c r="B15" s="234">
        <f>'GDP Durban'!E19</f>
        <v>60432298014.112061</v>
      </c>
      <c r="C15" s="234">
        <f>'GDP Durban'!M19</f>
        <v>34587526715.741463</v>
      </c>
      <c r="D15" s="234">
        <f>'GDP PMB'!M19</f>
        <v>4853491578.0558167</v>
      </c>
      <c r="E15" s="234">
        <f>'GDP RBay'!M19</f>
        <v>3745056144.7865467</v>
      </c>
      <c r="F15" s="234">
        <f>'GDP Newcastle'!M19</f>
        <v>1713195738.2792881</v>
      </c>
      <c r="G15" s="234">
        <f>'GDP Port Shepstone'!M19</f>
        <v>1845447401.3253713</v>
      </c>
    </row>
    <row r="16" spans="1:7" hidden="1">
      <c r="A16" t="str">
        <f>'GDP Durban'!A20</f>
        <v>2005q2</v>
      </c>
      <c r="B16" s="234">
        <f>'GDP Durban'!E20</f>
        <v>63723503402.272804</v>
      </c>
      <c r="C16" s="234">
        <f>'GDP Durban'!M20</f>
        <v>36471199156.319832</v>
      </c>
      <c r="D16" s="234">
        <f>'GDP PMB'!M20</f>
        <v>5117817743.9970798</v>
      </c>
      <c r="E16" s="234">
        <f>'GDP RBay'!M20</f>
        <v>3949015771.8026781</v>
      </c>
      <c r="F16" s="234">
        <f>'GDP Newcastle'!M20</f>
        <v>1806498148.2502298</v>
      </c>
      <c r="G16" s="234">
        <f>'GDP Port Shepstone'!M20</f>
        <v>1945952373.5074811</v>
      </c>
    </row>
    <row r="17" spans="1:7" hidden="1">
      <c r="A17" t="str">
        <f>'GDP Durban'!A21</f>
        <v>2005q3</v>
      </c>
      <c r="B17" s="234">
        <f>'GDP Durban'!E21</f>
        <v>65295808538.534554</v>
      </c>
      <c r="C17" s="234">
        <f>'GDP Durban'!M21</f>
        <v>37371084609.840919</v>
      </c>
      <c r="D17" s="234">
        <f>'GDP PMB'!M21</f>
        <v>5244094089.3910332</v>
      </c>
      <c r="E17" s="234">
        <f>'GDP RBay'!M21</f>
        <v>4046453254.829742</v>
      </c>
      <c r="F17" s="234">
        <f>'GDP Newcastle'!M21</f>
        <v>1851071440.1361225</v>
      </c>
      <c r="G17" s="234">
        <f>'GDP Port Shepstone'!M21</f>
        <v>1993966540.1560371</v>
      </c>
    </row>
    <row r="18" spans="1:7" hidden="1">
      <c r="A18" t="str">
        <f>'GDP Durban'!A22</f>
        <v>2005q4</v>
      </c>
      <c r="B18" s="234">
        <f>'GDP Durban'!E22</f>
        <v>65487766114.089813</v>
      </c>
      <c r="C18" s="234">
        <f>'GDP Durban'!M22</f>
        <v>37480948672.452873</v>
      </c>
      <c r="D18" s="234">
        <f>'GDP PMB'!M22</f>
        <v>5259510754.1037321</v>
      </c>
      <c r="E18" s="234">
        <f>'GDP RBay'!M22</f>
        <v>4058349077.4526658</v>
      </c>
      <c r="F18" s="234">
        <f>'GDP Newcastle'!M22</f>
        <v>1856513247.1032329</v>
      </c>
      <c r="G18" s="234">
        <f>'GDP Port Shepstone'!M22</f>
        <v>1999828432.2338536</v>
      </c>
    </row>
    <row r="19" spans="1:7" hidden="1">
      <c r="A19" t="str">
        <f>'GDP Durban'!A23</f>
        <v>2006q1</v>
      </c>
      <c r="B19" s="234">
        <f>'GDP Durban'!E23</f>
        <v>63682061981.141251</v>
      </c>
      <c r="C19" s="234">
        <f>'GDP Durban'!M23</f>
        <v>36447480775.460129</v>
      </c>
      <c r="D19" s="234">
        <f>'GDP PMB'!M23</f>
        <v>5114489464.3344784</v>
      </c>
      <c r="E19" s="234">
        <f>'GDP RBay'!M23</f>
        <v>3946447601.2389646</v>
      </c>
      <c r="F19" s="234">
        <f>'GDP Newcastle'!M23</f>
        <v>1805323325.0446944</v>
      </c>
      <c r="G19" s="234">
        <f>'GDP Port Shepstone'!M23</f>
        <v>1944686858.7836061</v>
      </c>
    </row>
    <row r="20" spans="1:7" hidden="1">
      <c r="A20" t="str">
        <f>'GDP Durban'!A24</f>
        <v>2006q2</v>
      </c>
      <c r="B20" s="234">
        <f>'GDP Durban'!E24</f>
        <v>66827792246.677605</v>
      </c>
      <c r="C20" s="234">
        <f>'GDP Durban'!M24</f>
        <v>38247892693.841049</v>
      </c>
      <c r="D20" s="234">
        <f>'GDP PMB'!M24</f>
        <v>5367132104.9808874</v>
      </c>
      <c r="E20" s="234">
        <f>'GDP RBay'!M24</f>
        <v>4141391974.4950809</v>
      </c>
      <c r="F20" s="234">
        <f>'GDP Newcastle'!M24</f>
        <v>1894501659.5080729</v>
      </c>
      <c r="G20" s="234">
        <f>'GDP Port Shepstone'!M24</f>
        <v>2040749393.7950828</v>
      </c>
    </row>
    <row r="21" spans="1:7" hidden="1">
      <c r="A21" t="str">
        <f>'GDP Durban'!A25</f>
        <v>2006q3</v>
      </c>
      <c r="B21" s="234">
        <f>'GDP Durban'!E25</f>
        <v>68605409906.937042</v>
      </c>
      <c r="C21" s="234">
        <f>'GDP Durban'!M25</f>
        <v>39265285716.033249</v>
      </c>
      <c r="D21" s="234">
        <f>'GDP PMB'!M25</f>
        <v>5509897689.3883801</v>
      </c>
      <c r="E21" s="234">
        <f>'GDP RBay'!M25</f>
        <v>4251552901.0261407</v>
      </c>
      <c r="F21" s="234">
        <f>'GDP Newcastle'!M25</f>
        <v>1944895357.9098003</v>
      </c>
      <c r="G21" s="234">
        <f>'GDP Port Shepstone'!M25</f>
        <v>2095033278.3978131</v>
      </c>
    </row>
    <row r="22" spans="1:7" hidden="1">
      <c r="A22" t="str">
        <f>'GDP Durban'!A26</f>
        <v>2006q4</v>
      </c>
      <c r="B22" s="234">
        <f>'GDP Durban'!E26</f>
        <v>69930090578.09053</v>
      </c>
      <c r="C22" s="234">
        <f>'GDP Durban'!M26</f>
        <v>40023446990.864273</v>
      </c>
      <c r="D22" s="234">
        <f>'GDP PMB'!M26</f>
        <v>5616286602.1441946</v>
      </c>
      <c r="E22" s="234">
        <f>'GDP RBay'!M26</f>
        <v>4333644822.9024992</v>
      </c>
      <c r="F22" s="234">
        <f>'GDP Newcastle'!M26</f>
        <v>1982448741.6959198</v>
      </c>
      <c r="G22" s="234">
        <f>'GDP Port Shepstone'!M26</f>
        <v>2135485628.9206293</v>
      </c>
    </row>
    <row r="23" spans="1:7" hidden="1">
      <c r="A23" t="str">
        <f>'GDP Durban'!A27</f>
        <v>2007q1</v>
      </c>
      <c r="B23" s="234">
        <f>'GDP Durban'!E27</f>
        <v>68125905131.082443</v>
      </c>
      <c r="C23" s="234">
        <f>'GDP Durban'!M27</f>
        <v>38990848291.176033</v>
      </c>
      <c r="D23" s="234">
        <f>'GDP PMB'!M27</f>
        <v>5471387282.4085827</v>
      </c>
      <c r="E23" s="234">
        <f>'GDP RBay'!M27</f>
        <v>4221837461.3311381</v>
      </c>
      <c r="F23" s="234">
        <f>'GDP Newcastle'!M27</f>
        <v>1931301872.8782227</v>
      </c>
      <c r="G23" s="234">
        <f>'GDP Port Shepstone'!M27</f>
        <v>2080390432.2442987</v>
      </c>
    </row>
    <row r="24" spans="1:7" hidden="1">
      <c r="A24" t="str">
        <f>'GDP Durban'!A28</f>
        <v>2007q2</v>
      </c>
      <c r="B24" s="234">
        <f>'GDP Durban'!E28</f>
        <v>70787164818.62709</v>
      </c>
      <c r="C24" s="234">
        <f>'GDP Durban'!M28</f>
        <v>40513980681.722923</v>
      </c>
      <c r="D24" s="234">
        <f>'GDP PMB'!M28</f>
        <v>5685120698.2303867</v>
      </c>
      <c r="E24" s="234">
        <f>'GDP RBay'!M28</f>
        <v>4386758658.6581774</v>
      </c>
      <c r="F24" s="234">
        <f>'GDP Newcastle'!M28</f>
        <v>2006745946.7423556</v>
      </c>
      <c r="G24" s="234">
        <f>'GDP Port Shepstone'!M28</f>
        <v>2161658478.2399082</v>
      </c>
    </row>
    <row r="25" spans="1:7" hidden="1">
      <c r="A25" t="str">
        <f>'GDP Durban'!A29</f>
        <v>2007q3</v>
      </c>
      <c r="B25" s="234">
        <f>'GDP Durban'!E29</f>
        <v>72253952576.31102</v>
      </c>
      <c r="C25" s="234">
        <f>'GDP Durban'!M29</f>
        <v>41353474833.399368</v>
      </c>
      <c r="D25" s="234">
        <f>'GDP PMB'!M29</f>
        <v>5802922639.6202688</v>
      </c>
      <c r="E25" s="234">
        <f>'GDP RBay'!M29</f>
        <v>4477657113.3839779</v>
      </c>
      <c r="F25" s="234">
        <f>'GDP Newcastle'!M29</f>
        <v>2048327925.5517256</v>
      </c>
      <c r="G25" s="234">
        <f>'GDP Port Shepstone'!M29</f>
        <v>2206450414.748455</v>
      </c>
    </row>
    <row r="26" spans="1:7" hidden="1">
      <c r="A26" t="str">
        <f>'GDP Durban'!A30</f>
        <v>2007q4</v>
      </c>
      <c r="B26" s="234">
        <f>'GDP Durban'!E30</f>
        <v>73682000499.038116</v>
      </c>
      <c r="C26" s="234">
        <f>'GDP Durban'!M30</f>
        <v>42170796816.871658</v>
      </c>
      <c r="D26" s="234">
        <f>'GDP PMB'!M30</f>
        <v>5917613273.4994831</v>
      </c>
      <c r="E26" s="234">
        <f>'GDP RBay'!M30</f>
        <v>4566154817.8202696</v>
      </c>
      <c r="F26" s="234">
        <f>'GDP Newcastle'!M30</f>
        <v>2088811668.4453573</v>
      </c>
      <c r="G26" s="234">
        <f>'GDP Port Shepstone'!M30</f>
        <v>2250059336.0466223</v>
      </c>
    </row>
    <row r="27" spans="1:7" hidden="1">
      <c r="A27" t="str">
        <f>'GDP Durban'!A31</f>
        <v>2008q1</v>
      </c>
      <c r="B27" s="234">
        <f>'GDP Durban'!E31</f>
        <v>71161408615.893906</v>
      </c>
      <c r="C27" s="234">
        <f>'GDP Durban'!M31</f>
        <v>41587397528.337059</v>
      </c>
      <c r="D27" s="234">
        <f>'GDP PMB'!M31</f>
        <v>5831981805.7339716</v>
      </c>
      <c r="E27" s="234">
        <f>'GDP RBay'!M31</f>
        <v>4486329816.085722</v>
      </c>
      <c r="F27" s="234">
        <f>'GDP Newcastle'!M31</f>
        <v>2029154070.990077</v>
      </c>
      <c r="G27" s="234">
        <f>'GDP Port Shepstone'!M31</f>
        <v>2090867272.106534</v>
      </c>
    </row>
    <row r="28" spans="1:7" hidden="1">
      <c r="A28" t="str">
        <f>'GDP Durban'!A32</f>
        <v>2008q2</v>
      </c>
      <c r="B28" s="234">
        <f>'GDP Durban'!E32</f>
        <v>74756110982.452698</v>
      </c>
      <c r="C28" s="234">
        <f>'GDP Durban'!M32</f>
        <v>43764810218.054214</v>
      </c>
      <c r="D28" s="234">
        <f>'GDP PMB'!M32</f>
        <v>5661399288.3114529</v>
      </c>
      <c r="E28" s="234">
        <f>'GDP RBay'!M32</f>
        <v>5109563484.1491442</v>
      </c>
      <c r="F28" s="234">
        <f>'GDP Newcastle'!M32</f>
        <v>2060698145.0549312</v>
      </c>
      <c r="G28" s="234">
        <f>'GDP Port Shepstone'!M32</f>
        <v>2108871440.1692111</v>
      </c>
    </row>
    <row r="29" spans="1:7" hidden="1">
      <c r="A29" t="str">
        <f>'GDP Durban'!A33</f>
        <v>2008q3</v>
      </c>
      <c r="B29" s="234">
        <f>'GDP Durban'!E33</f>
        <v>75462980206.622635</v>
      </c>
      <c r="C29" s="234">
        <f>'GDP Durban'!M33</f>
        <v>43834243071.617073</v>
      </c>
      <c r="D29" s="234">
        <f>'GDP PMB'!M33</f>
        <v>5833580593.3901777</v>
      </c>
      <c r="E29" s="234">
        <f>'GDP RBay'!M33</f>
        <v>5112146184.1938477</v>
      </c>
      <c r="F29" s="234">
        <f>'GDP Newcastle'!M33</f>
        <v>2095474064.9959488</v>
      </c>
      <c r="G29" s="234">
        <f>'GDP Port Shepstone'!M33</f>
        <v>2139299517.7322366</v>
      </c>
    </row>
    <row r="30" spans="1:7" hidden="1">
      <c r="A30" t="str">
        <f>'GDP Durban'!A34</f>
        <v>2008q4</v>
      </c>
      <c r="B30" s="234">
        <f>'GDP Durban'!E34</f>
        <v>74970333061.794556</v>
      </c>
      <c r="C30" s="234">
        <f>'GDP Durban'!M34</f>
        <v>42216896243.570732</v>
      </c>
      <c r="D30" s="234">
        <f>'GDP PMB'!M34</f>
        <v>6113142409.442523</v>
      </c>
      <c r="E30" s="234">
        <f>'GDP RBay'!M34</f>
        <v>4697622984.5517406</v>
      </c>
      <c r="F30" s="234">
        <f>'GDP Newcastle'!M34</f>
        <v>2185833996.906693</v>
      </c>
      <c r="G30" s="234">
        <f>'GDP Port Shepstone'!M34</f>
        <v>2439030019.1498256</v>
      </c>
    </row>
    <row r="31" spans="1:7" hidden="1">
      <c r="A31" t="str">
        <f>'GDP Durban'!A35</f>
        <v>2009q1</v>
      </c>
      <c r="B31" s="234">
        <f>'GDP Durban'!E35</f>
        <v>70528747919.669891</v>
      </c>
      <c r="C31" s="234">
        <f>'GDP Durban'!M35</f>
        <v>39847638346.876366</v>
      </c>
      <c r="D31" s="234">
        <f>'GDP PMB'!M35</f>
        <v>5657841933.1391354</v>
      </c>
      <c r="E31" s="234">
        <f>'GDP RBay'!M35</f>
        <v>3966492358.0781422</v>
      </c>
      <c r="F31" s="234">
        <f>'GDP Newcastle'!M35</f>
        <v>1957776359.8280349</v>
      </c>
      <c r="G31" s="234">
        <f>'GDP Port Shepstone'!M35</f>
        <v>2261654119.0034661</v>
      </c>
    </row>
    <row r="32" spans="1:7" hidden="1">
      <c r="A32" t="str">
        <f>'GDP Durban'!A36</f>
        <v>2009q2</v>
      </c>
      <c r="B32" s="234">
        <f>'GDP Durban'!E36</f>
        <v>72534525097.567886</v>
      </c>
      <c r="C32" s="234">
        <f>'GDP Durban'!M36</f>
        <v>40899757857.995644</v>
      </c>
      <c r="D32" s="234">
        <f>'GDP PMB'!M36</f>
        <v>6020615494.1369686</v>
      </c>
      <c r="E32" s="234">
        <f>'GDP RBay'!M36</f>
        <v>4094060860.6925044</v>
      </c>
      <c r="F32" s="234">
        <f>'GDP Newcastle'!M36</f>
        <v>2141233465.2082219</v>
      </c>
      <c r="G32" s="234">
        <f>'GDP Port Shepstone'!M36</f>
        <v>2302123782.0716772</v>
      </c>
    </row>
    <row r="33" spans="1:7" hidden="1">
      <c r="A33" t="str">
        <f>'GDP Durban'!A37</f>
        <v>2009q3</v>
      </c>
      <c r="B33" s="234">
        <f>'GDP Durban'!E37</f>
        <v>73855969771.98941</v>
      </c>
      <c r="C33" s="234">
        <f>'GDP Durban'!M37</f>
        <v>41630096107.387489</v>
      </c>
      <c r="D33" s="234">
        <f>'GDP PMB'!M37</f>
        <v>6088372324.0625896</v>
      </c>
      <c r="E33" s="234">
        <f>'GDP RBay'!M37</f>
        <v>4363426158.499011</v>
      </c>
      <c r="F33" s="234">
        <f>'GDP Newcastle'!M37</f>
        <v>2079758638.1322453</v>
      </c>
      <c r="G33" s="234">
        <f>'GDP Port Shepstone'!M37</f>
        <v>2325154673.7252426</v>
      </c>
    </row>
    <row r="34" spans="1:7" hidden="1">
      <c r="A34" t="str">
        <f>'GDP Durban'!A38</f>
        <v>2009q4</v>
      </c>
      <c r="B34" s="234">
        <f>'GDP Durban'!E38</f>
        <v>74797338159.696762</v>
      </c>
      <c r="C34" s="234">
        <f>'GDP Durban'!M38</f>
        <v>41830381245.023216</v>
      </c>
      <c r="D34" s="234">
        <f>'GDP PMB'!M38</f>
        <v>6849839954.5072737</v>
      </c>
      <c r="E34" s="234">
        <f>'GDP RBay'!M38</f>
        <v>4434825655.3458939</v>
      </c>
      <c r="F34" s="234">
        <f>'GDP Newcastle'!M38</f>
        <v>2088499329.7190578</v>
      </c>
      <c r="G34" s="234">
        <f>'GDP Port Shepstone'!M38</f>
        <v>2329295091.0465064</v>
      </c>
    </row>
    <row r="35" spans="1:7" hidden="1">
      <c r="A35" t="str">
        <f>'GDP Durban'!A39</f>
        <v>2010q1</v>
      </c>
      <c r="B35" s="234">
        <f>'GDP Durban'!E39</f>
        <v>72421686265.048981</v>
      </c>
      <c r="C35" s="234">
        <f>'GDP Durban'!M39</f>
        <v>41563503082.779221</v>
      </c>
      <c r="D35" s="234">
        <f>'GDP PMB'!M39</f>
        <v>5853784967.6139383</v>
      </c>
      <c r="E35" s="234">
        <f>'GDP RBay'!M39</f>
        <v>4375595021.4384794</v>
      </c>
      <c r="F35" s="234">
        <f>'GDP Newcastle'!M39</f>
        <v>2042831752.5679612</v>
      </c>
      <c r="G35" s="234">
        <f>'GDP Port Shepstone'!M39</f>
        <v>2220608192.8050823</v>
      </c>
    </row>
    <row r="36" spans="1:7" hidden="1">
      <c r="A36" t="str">
        <f>'GDP Durban'!A40</f>
        <v>2010q2</v>
      </c>
      <c r="B36" s="234">
        <f>'GDP Durban'!E40</f>
        <v>75739547217.177216</v>
      </c>
      <c r="C36" s="234">
        <f>'GDP Durban'!M40</f>
        <v>43465303978.240334</v>
      </c>
      <c r="D36" s="234">
        <f>'GDP PMB'!M40</f>
        <v>6035126872.6069908</v>
      </c>
      <c r="E36" s="234">
        <f>'GDP RBay'!M40</f>
        <v>4715135358.6932659</v>
      </c>
      <c r="F36" s="234">
        <f>'GDP Newcastle'!M40</f>
        <v>2156931532.2564878</v>
      </c>
      <c r="G36" s="234">
        <f>'GDP Port Shepstone'!M40</f>
        <v>2284450508.1315298</v>
      </c>
    </row>
    <row r="37" spans="1:7" hidden="1">
      <c r="A37" t="str">
        <f>'GDP Durban'!A41</f>
        <v>2010q3</v>
      </c>
      <c r="B37" s="234">
        <f>'GDP Durban'!E41</f>
        <v>76759950921.38913</v>
      </c>
      <c r="C37" s="234">
        <f>'GDP Durban'!M41</f>
        <v>43929000964.1539</v>
      </c>
      <c r="D37" s="234">
        <f>'GDP PMB'!M41</f>
        <v>6142139320.9156723</v>
      </c>
      <c r="E37" s="234">
        <f>'GDP RBay'!M41</f>
        <v>4830633544.052166</v>
      </c>
      <c r="F37" s="234">
        <f>'GDP Newcastle'!M41</f>
        <v>2156363638.3492632</v>
      </c>
      <c r="G37" s="234">
        <f>'GDP Port Shepstone'!M41</f>
        <v>2312232671.8514309</v>
      </c>
    </row>
    <row r="38" spans="1:7" hidden="1">
      <c r="A38" t="str">
        <f>'GDP Durban'!A42</f>
        <v>2010q4</v>
      </c>
      <c r="B38" s="234">
        <f>'GDP Durban'!E42</f>
        <v>77696629793.574066</v>
      </c>
      <c r="C38" s="234">
        <f>'GDP Durban'!M42</f>
        <v>43890811029.345039</v>
      </c>
      <c r="D38" s="234">
        <f>'GDP PMB'!M42</f>
        <v>6563613256.0466547</v>
      </c>
      <c r="E38" s="234">
        <f>'GDP RBay'!M42</f>
        <v>4763375368.0714808</v>
      </c>
      <c r="F38" s="234">
        <f>'GDP Newcastle'!M42</f>
        <v>2212465986.2342091</v>
      </c>
      <c r="G38" s="234">
        <f>'GDP Port Shepstone'!M42</f>
        <v>2439988107.9931068</v>
      </c>
    </row>
    <row r="39" spans="1:7" hidden="1">
      <c r="A39" t="str">
        <f>'GDP Durban'!A43</f>
        <v>2011q1</v>
      </c>
      <c r="B39" s="234">
        <f>'GDP Durban'!E43</f>
        <v>75199993433.368515</v>
      </c>
      <c r="C39" s="234">
        <f>'GDP Durban'!M43</f>
        <v>43197467928.11705</v>
      </c>
      <c r="D39" s="234">
        <f>'GDP PMB'!M43</f>
        <v>6091295099.14785</v>
      </c>
      <c r="E39" s="234">
        <f>'GDP RBay'!M43</f>
        <v>4504531977.840559</v>
      </c>
      <c r="F39" s="234">
        <f>'GDP Newcastle'!M43</f>
        <v>2117652563.3947358</v>
      </c>
      <c r="G39" s="234">
        <f>'GDP Port Shepstone'!M43</f>
        <v>2308924619.5402737</v>
      </c>
    </row>
    <row r="40" spans="1:7" hidden="1">
      <c r="A40" t="str">
        <f>'GDP Durban'!A44</f>
        <v>2011q2</v>
      </c>
      <c r="B40" s="234">
        <f>'GDP Durban'!E44</f>
        <v>78146804841.01947</v>
      </c>
      <c r="C40" s="234">
        <f>'GDP Durban'!M44</f>
        <v>44886983041.066635</v>
      </c>
      <c r="D40" s="234">
        <f>'GDP PMB'!M44</f>
        <v>6210526496.6957283</v>
      </c>
      <c r="E40" s="234">
        <f>'GDP RBay'!M44</f>
        <v>4872383076.2236681</v>
      </c>
      <c r="F40" s="234">
        <f>'GDP Newcastle'!M44</f>
        <v>2228853282.2274656</v>
      </c>
      <c r="G40" s="234">
        <f>'GDP Port Shepstone'!M44</f>
        <v>2347276371.0662599</v>
      </c>
    </row>
    <row r="41" spans="1:7" hidden="1">
      <c r="A41" t="str">
        <f>'GDP Durban'!A45</f>
        <v>2011q3</v>
      </c>
      <c r="B41" s="234">
        <f>'GDP Durban'!E45</f>
        <v>79336356144.022598</v>
      </c>
      <c r="C41" s="234">
        <f>'GDP Durban'!M45</f>
        <v>45402277005.859169</v>
      </c>
      <c r="D41" s="234">
        <f>'GDP PMB'!M45</f>
        <v>6340485488.7970037</v>
      </c>
      <c r="E41" s="234">
        <f>'GDP RBay'!M45</f>
        <v>5018174285.9524879</v>
      </c>
      <c r="F41" s="234">
        <f>'GDP Newcastle'!M45</f>
        <v>2221952036.9867458</v>
      </c>
      <c r="G41" s="234">
        <f>'GDP Port Shepstone'!M45</f>
        <v>2378879021.5653839</v>
      </c>
    </row>
    <row r="42" spans="1:7" hidden="1">
      <c r="A42" t="str">
        <f>'GDP Durban'!A46</f>
        <v>2011q4</v>
      </c>
      <c r="B42" s="234">
        <f>'GDP Durban'!E46</f>
        <v>80704714857.85849</v>
      </c>
      <c r="C42" s="234">
        <f>'GDP Durban'!M46</f>
        <v>45390055960.260902</v>
      </c>
      <c r="D42" s="234">
        <f>'GDP PMB'!M46</f>
        <v>6929762269.9693089</v>
      </c>
      <c r="E42" s="234">
        <f>'GDP RBay'!M46</f>
        <v>4929937445.1466417</v>
      </c>
      <c r="F42" s="234">
        <f>'GDP Newcastle'!M46</f>
        <v>2301531536.0158477</v>
      </c>
      <c r="G42" s="234">
        <f>'GDP Port Shepstone'!M46</f>
        <v>2557767169.9827886</v>
      </c>
    </row>
    <row r="43" spans="1:7" hidden="1">
      <c r="A43" t="str">
        <f>'GDP Durban'!A47</f>
        <v>2012q1</v>
      </c>
      <c r="B43" s="234">
        <f>'GDP Durban'!E47</f>
        <v>77631579507.842682</v>
      </c>
      <c r="C43" s="234">
        <f>'GDP Durban'!M47</f>
        <v>44336130913.642532</v>
      </c>
      <c r="D43" s="234">
        <f>'GDP PMB'!M47</f>
        <v>6263595556.4137917</v>
      </c>
      <c r="E43" s="234">
        <f>'GDP RBay'!M47</f>
        <v>4568834904.5387316</v>
      </c>
      <c r="F43" s="234">
        <f>'GDP Newcastle'!M47</f>
        <v>2176952341.8918676</v>
      </c>
      <c r="G43" s="234">
        <f>'GDP Port Shepstone'!M47</f>
        <v>2417786667.4027238</v>
      </c>
    </row>
    <row r="44" spans="1:7" hidden="1">
      <c r="A44" t="str">
        <f>'GDP Durban'!A48</f>
        <v>2012q2</v>
      </c>
      <c r="B44" s="234">
        <f>'GDP Durban'!E48</f>
        <v>80708192955.819916</v>
      </c>
      <c r="C44" s="234">
        <f>'GDP Durban'!M48</f>
        <v>46061180610.01252</v>
      </c>
      <c r="D44" s="234">
        <f>'GDP PMB'!M48</f>
        <v>6514728773.2577705</v>
      </c>
      <c r="E44" s="234">
        <f>'GDP RBay'!M48</f>
        <v>4870648779.6866264</v>
      </c>
      <c r="F44" s="234">
        <f>'GDP Newcastle'!M48</f>
        <v>2327619764.3294039</v>
      </c>
      <c r="G44" s="234">
        <f>'GDP Port Shepstone'!M48</f>
        <v>2473356276.4869876</v>
      </c>
    </row>
    <row r="45" spans="1:7" hidden="1">
      <c r="A45" t="str">
        <f>'GDP Durban'!A49</f>
        <v>2012q3</v>
      </c>
      <c r="B45" s="234">
        <f>'GDP Durban'!E49</f>
        <v>81187502547.664658</v>
      </c>
      <c r="C45" s="234">
        <f>'GDP Durban'!M49</f>
        <v>46229040720.383232</v>
      </c>
      <c r="D45" s="234">
        <f>'GDP PMB'!M49</f>
        <v>6559200332.4915018</v>
      </c>
      <c r="E45" s="234">
        <f>'GDP RBay'!M49</f>
        <v>5013701432.3384209</v>
      </c>
      <c r="F45" s="234">
        <f>'GDP Newcastle'!M49</f>
        <v>2280250807.042469</v>
      </c>
      <c r="G45" s="234">
        <f>'GDP Port Shepstone'!M49</f>
        <v>2478652201.7654486</v>
      </c>
    </row>
    <row r="46" spans="1:7" hidden="1">
      <c r="A46" t="str">
        <f>'GDP Durban'!A50</f>
        <v>2012q4</v>
      </c>
      <c r="B46" s="234">
        <f>'GDP Durban'!E50</f>
        <v>82654977409.226288</v>
      </c>
      <c r="C46" s="234">
        <f>'GDP Durban'!M50</f>
        <v>46467822916.79612</v>
      </c>
      <c r="D46" s="234">
        <f>'GDP PMB'!M50</f>
        <v>7216378888.937356</v>
      </c>
      <c r="E46" s="234">
        <f>'GDP RBay'!M50</f>
        <v>5005714893.4511251</v>
      </c>
      <c r="F46" s="234">
        <f>'GDP Newcastle'!M50</f>
        <v>2339569526.1664767</v>
      </c>
      <c r="G46" s="234">
        <f>'GDP Port Shepstone'!M50</f>
        <v>2596423343.7674179</v>
      </c>
    </row>
    <row r="47" spans="1:7" hidden="1">
      <c r="A47" t="str">
        <f>'GDP Durban'!A51</f>
        <v>2013q1</v>
      </c>
      <c r="B47" s="234">
        <f>'GDP Durban'!E51</f>
        <v>78747632494.84906</v>
      </c>
      <c r="C47" s="234">
        <f>'GDP Durban'!M51</f>
        <v>45134299320.021317</v>
      </c>
      <c r="D47" s="234">
        <f>'GDP PMB'!M51</f>
        <v>6365802357.8875685</v>
      </c>
      <c r="E47" s="234">
        <f>'GDP RBay'!M51</f>
        <v>4703117896.2205257</v>
      </c>
      <c r="F47" s="234">
        <f>'GDP Newcastle'!M51</f>
        <v>2215691496.3671613</v>
      </c>
      <c r="G47" s="234">
        <f>'GDP Port Shepstone'!M51</f>
        <v>2428323876.218154</v>
      </c>
    </row>
    <row r="48" spans="1:7" hidden="1">
      <c r="A48" t="str">
        <f>'GDP Durban'!A52</f>
        <v>2013q2</v>
      </c>
      <c r="B48" s="234">
        <f>'GDP Durban'!E52</f>
        <v>82753463447.064102</v>
      </c>
      <c r="C48" s="234">
        <f>'GDP Durban'!M52</f>
        <v>47417299430.939346</v>
      </c>
      <c r="D48" s="234">
        <f>'GDP PMB'!M52</f>
        <v>6616821912.5072327</v>
      </c>
      <c r="E48" s="234">
        <f>'GDP RBay'!M52</f>
        <v>5101822193.0758667</v>
      </c>
      <c r="F48" s="234">
        <f>'GDP Newcastle'!M52</f>
        <v>2367840821.7481632</v>
      </c>
      <c r="G48" s="234">
        <f>'GDP Port Shepstone'!M52</f>
        <v>2505894705.0930009</v>
      </c>
    </row>
    <row r="49" spans="1:7" hidden="1">
      <c r="A49" t="str">
        <f>'GDP Durban'!A53</f>
        <v>2013q3</v>
      </c>
      <c r="B49" s="234">
        <f>'GDP Durban'!E53</f>
        <v>82311260048.170883</v>
      </c>
      <c r="C49" s="234">
        <f>'GDP Durban'!M53</f>
        <v>47026542029.828819</v>
      </c>
      <c r="D49" s="234">
        <f>'GDP PMB'!M53</f>
        <v>6604855903.2831717</v>
      </c>
      <c r="E49" s="234">
        <f>'GDP RBay'!M53</f>
        <v>5156476004.4614124</v>
      </c>
      <c r="F49" s="234">
        <f>'GDP Newcastle'!M53</f>
        <v>2309798324.9517059</v>
      </c>
      <c r="G49" s="234">
        <f>'GDP Port Shepstone'!M53</f>
        <v>2486831806.073566</v>
      </c>
    </row>
    <row r="50" spans="1:7" hidden="1">
      <c r="A50" t="str">
        <f>'GDP Durban'!A54</f>
        <v>2013q4</v>
      </c>
      <c r="B50" s="234">
        <f>'GDP Durban'!E54</f>
        <v>83974079876.575684</v>
      </c>
      <c r="C50" s="234">
        <f>'GDP Durban'!M54</f>
        <v>47291722509.390015</v>
      </c>
      <c r="D50" s="234">
        <f>'GDP PMB'!M54</f>
        <v>7211983580.0024548</v>
      </c>
      <c r="E50" s="234">
        <f>'GDP RBay'!M54</f>
        <v>5121160441.7129869</v>
      </c>
      <c r="F50" s="234">
        <f>'GDP Newcastle'!M54</f>
        <v>2387631629.2211871</v>
      </c>
      <c r="G50" s="234">
        <f>'GDP Port Shepstone'!M54</f>
        <v>2645456097.6413527</v>
      </c>
    </row>
    <row r="51" spans="1:7" hidden="1"/>
    <row r="52" spans="1:7" hidden="1">
      <c r="A52" t="str">
        <f t="shared" ref="A52:A88" si="0">A3</f>
        <v>2002q1</v>
      </c>
      <c r="B52" s="92">
        <f>SUM(C52:G52)</f>
        <v>76.93735343375252</v>
      </c>
      <c r="C52" s="92">
        <f t="shared" ref="C52:G61" si="1">C3/$B3*100</f>
        <v>57.233512297785914</v>
      </c>
      <c r="D52" s="92">
        <f t="shared" si="1"/>
        <v>8.0312874696944938</v>
      </c>
      <c r="E52" s="92">
        <f t="shared" si="1"/>
        <v>5.9852366767954717</v>
      </c>
      <c r="F52" s="92">
        <f t="shared" si="1"/>
        <v>2.7379781693134859</v>
      </c>
      <c r="G52" s="92">
        <f t="shared" si="1"/>
        <v>2.949338820163149</v>
      </c>
    </row>
    <row r="53" spans="1:7" hidden="1">
      <c r="A53" t="str">
        <f t="shared" si="0"/>
        <v>2002q2</v>
      </c>
      <c r="B53" s="92">
        <f t="shared" ref="B53:B76" si="2">SUM(C53:G53)</f>
        <v>76.949725204432852</v>
      </c>
      <c r="C53" s="92">
        <f t="shared" si="1"/>
        <v>57.233512297785914</v>
      </c>
      <c r="D53" s="92">
        <f t="shared" si="1"/>
        <v>8.0312874696944938</v>
      </c>
      <c r="E53" s="92">
        <f t="shared" si="1"/>
        <v>5.9915804450701717</v>
      </c>
      <c r="F53" s="92">
        <f t="shared" si="1"/>
        <v>2.7408801596582708</v>
      </c>
      <c r="G53" s="92">
        <f t="shared" si="1"/>
        <v>2.9524648322239968</v>
      </c>
    </row>
    <row r="54" spans="1:7" hidden="1">
      <c r="A54" t="str">
        <f t="shared" si="0"/>
        <v>2002q3</v>
      </c>
      <c r="B54" s="92">
        <f t="shared" si="2"/>
        <v>76.94309284055312</v>
      </c>
      <c r="C54" s="92">
        <f t="shared" si="1"/>
        <v>57.233512297785914</v>
      </c>
      <c r="D54" s="92">
        <f t="shared" si="1"/>
        <v>8.0312874696944938</v>
      </c>
      <c r="E54" s="92">
        <f t="shared" si="1"/>
        <v>5.9881796239061131</v>
      </c>
      <c r="F54" s="92">
        <f t="shared" si="1"/>
        <v>2.739324436032331</v>
      </c>
      <c r="G54" s="92">
        <f t="shared" si="1"/>
        <v>2.9507890131342562</v>
      </c>
    </row>
    <row r="55" spans="1:7" hidden="1">
      <c r="A55" t="str">
        <f t="shared" si="0"/>
        <v>2002q4</v>
      </c>
      <c r="B55" s="92">
        <f t="shared" si="2"/>
        <v>76.940469868890133</v>
      </c>
      <c r="C55" s="92">
        <f t="shared" si="1"/>
        <v>57.233512297785914</v>
      </c>
      <c r="D55" s="92">
        <f t="shared" si="1"/>
        <v>8.0312874696944938</v>
      </c>
      <c r="E55" s="92">
        <f t="shared" si="1"/>
        <v>5.9868346648981374</v>
      </c>
      <c r="F55" s="92">
        <f t="shared" si="1"/>
        <v>2.7387091774216339</v>
      </c>
      <c r="G55" s="92">
        <f t="shared" si="1"/>
        <v>2.9501262590899375</v>
      </c>
    </row>
    <row r="56" spans="1:7" hidden="1">
      <c r="A56" t="str">
        <f t="shared" si="0"/>
        <v>2003q1</v>
      </c>
      <c r="B56" s="92">
        <f t="shared" si="2"/>
        <v>77.350554445691799</v>
      </c>
      <c r="C56" s="92">
        <f t="shared" si="1"/>
        <v>57.233512297785914</v>
      </c>
      <c r="D56" s="92">
        <f t="shared" si="1"/>
        <v>8.0312874696944938</v>
      </c>
      <c r="E56" s="92">
        <f t="shared" si="1"/>
        <v>6.1971102669503102</v>
      </c>
      <c r="F56" s="92">
        <f t="shared" si="1"/>
        <v>2.8349008635733579</v>
      </c>
      <c r="G56" s="92">
        <f t="shared" si="1"/>
        <v>3.0537435476877364</v>
      </c>
    </row>
    <row r="57" spans="1:7" hidden="1">
      <c r="A57" t="str">
        <f t="shared" si="0"/>
        <v>2003q2</v>
      </c>
      <c r="B57" s="92">
        <f t="shared" si="2"/>
        <v>77.350554445691799</v>
      </c>
      <c r="C57" s="92">
        <f t="shared" si="1"/>
        <v>57.233512297785914</v>
      </c>
      <c r="D57" s="92">
        <f t="shared" si="1"/>
        <v>8.0312874696944938</v>
      </c>
      <c r="E57" s="92">
        <f t="shared" si="1"/>
        <v>6.1971102669503102</v>
      </c>
      <c r="F57" s="92">
        <f t="shared" si="1"/>
        <v>2.8349008635733579</v>
      </c>
      <c r="G57" s="92">
        <f t="shared" si="1"/>
        <v>3.0537435476877364</v>
      </c>
    </row>
    <row r="58" spans="1:7" hidden="1">
      <c r="A58" t="str">
        <f t="shared" si="0"/>
        <v>2003q3</v>
      </c>
      <c r="B58" s="92">
        <f t="shared" si="2"/>
        <v>77.350554445691799</v>
      </c>
      <c r="C58" s="92">
        <f t="shared" si="1"/>
        <v>57.233512297785914</v>
      </c>
      <c r="D58" s="92">
        <f t="shared" si="1"/>
        <v>8.0312874696944938</v>
      </c>
      <c r="E58" s="92">
        <f t="shared" si="1"/>
        <v>6.1971102669503093</v>
      </c>
      <c r="F58" s="92">
        <f t="shared" si="1"/>
        <v>2.8349008635733579</v>
      </c>
      <c r="G58" s="92">
        <f t="shared" si="1"/>
        <v>3.0537435476877364</v>
      </c>
    </row>
    <row r="59" spans="1:7" hidden="1">
      <c r="A59" t="str">
        <f t="shared" si="0"/>
        <v>2003q4</v>
      </c>
      <c r="B59" s="92">
        <f t="shared" si="2"/>
        <v>77.350554445691799</v>
      </c>
      <c r="C59" s="92">
        <f t="shared" si="1"/>
        <v>57.233512297785914</v>
      </c>
      <c r="D59" s="92">
        <f t="shared" si="1"/>
        <v>8.0312874696944938</v>
      </c>
      <c r="E59" s="92">
        <f t="shared" si="1"/>
        <v>6.1971102669503102</v>
      </c>
      <c r="F59" s="92">
        <f t="shared" si="1"/>
        <v>2.8349008635733575</v>
      </c>
      <c r="G59" s="92">
        <f t="shared" si="1"/>
        <v>3.0537435476877364</v>
      </c>
    </row>
    <row r="60" spans="1:7" hidden="1">
      <c r="A60" t="str">
        <f t="shared" si="0"/>
        <v>2004q1</v>
      </c>
      <c r="B60" s="92">
        <f t="shared" si="2"/>
        <v>77.350554445691799</v>
      </c>
      <c r="C60" s="92">
        <f t="shared" si="1"/>
        <v>57.233512297785914</v>
      </c>
      <c r="D60" s="92">
        <f t="shared" si="1"/>
        <v>8.0312874696944938</v>
      </c>
      <c r="E60" s="92">
        <f t="shared" si="1"/>
        <v>6.1971102669503102</v>
      </c>
      <c r="F60" s="92">
        <f t="shared" si="1"/>
        <v>2.8349008635733579</v>
      </c>
      <c r="G60" s="92">
        <f t="shared" si="1"/>
        <v>3.0537435476877364</v>
      </c>
    </row>
    <row r="61" spans="1:7" hidden="1">
      <c r="A61" t="str">
        <f t="shared" si="0"/>
        <v>2004q2</v>
      </c>
      <c r="B61" s="92">
        <f t="shared" si="2"/>
        <v>77.350554445691813</v>
      </c>
      <c r="C61" s="92">
        <f t="shared" si="1"/>
        <v>57.233512297785929</v>
      </c>
      <c r="D61" s="92">
        <f t="shared" si="1"/>
        <v>8.0312874696944938</v>
      </c>
      <c r="E61" s="92">
        <f t="shared" si="1"/>
        <v>6.1971102669503102</v>
      </c>
      <c r="F61" s="92">
        <f t="shared" si="1"/>
        <v>2.8349008635733579</v>
      </c>
      <c r="G61" s="92">
        <f t="shared" si="1"/>
        <v>3.0537435476877364</v>
      </c>
    </row>
    <row r="62" spans="1:7" hidden="1">
      <c r="A62" t="str">
        <f t="shared" si="0"/>
        <v>2004q3</v>
      </c>
      <c r="B62" s="92">
        <f t="shared" si="2"/>
        <v>77.350554445691813</v>
      </c>
      <c r="C62" s="92">
        <f t="shared" ref="C62:G71" si="3">C13/$B13*100</f>
        <v>57.233512297785929</v>
      </c>
      <c r="D62" s="92">
        <f t="shared" si="3"/>
        <v>8.0312874696944938</v>
      </c>
      <c r="E62" s="92">
        <f t="shared" si="3"/>
        <v>6.1971102669503102</v>
      </c>
      <c r="F62" s="92">
        <f t="shared" si="3"/>
        <v>2.8349008635733579</v>
      </c>
      <c r="G62" s="92">
        <f t="shared" si="3"/>
        <v>3.0537435476877364</v>
      </c>
    </row>
    <row r="63" spans="1:7" hidden="1">
      <c r="A63" t="str">
        <f t="shared" si="0"/>
        <v>2004q4</v>
      </c>
      <c r="B63" s="92">
        <f t="shared" si="2"/>
        <v>77.350554445691799</v>
      </c>
      <c r="C63" s="92">
        <f t="shared" si="3"/>
        <v>57.233512297785914</v>
      </c>
      <c r="D63" s="92">
        <f t="shared" si="3"/>
        <v>8.0312874696944938</v>
      </c>
      <c r="E63" s="92">
        <f t="shared" si="3"/>
        <v>6.1971102669503102</v>
      </c>
      <c r="F63" s="92">
        <f t="shared" si="3"/>
        <v>2.8349008635733579</v>
      </c>
      <c r="G63" s="92">
        <f t="shared" si="3"/>
        <v>3.0537435476877364</v>
      </c>
    </row>
    <row r="64" spans="1:7" hidden="1">
      <c r="A64" t="str">
        <f t="shared" si="0"/>
        <v>2005q1</v>
      </c>
      <c r="B64" s="92">
        <f t="shared" si="2"/>
        <v>77.350554445691799</v>
      </c>
      <c r="C64" s="92">
        <f t="shared" si="3"/>
        <v>57.233512297785914</v>
      </c>
      <c r="D64" s="92">
        <f t="shared" si="3"/>
        <v>8.0312874696944938</v>
      </c>
      <c r="E64" s="92">
        <f t="shared" si="3"/>
        <v>6.1971102669503102</v>
      </c>
      <c r="F64" s="92">
        <f t="shared" si="3"/>
        <v>2.8349008635733579</v>
      </c>
      <c r="G64" s="92">
        <f t="shared" si="3"/>
        <v>3.0537435476877364</v>
      </c>
    </row>
    <row r="65" spans="1:7" hidden="1">
      <c r="A65" t="str">
        <f t="shared" si="0"/>
        <v>2005q2</v>
      </c>
      <c r="B65" s="92">
        <f t="shared" si="2"/>
        <v>77.350554445691799</v>
      </c>
      <c r="C65" s="92">
        <f t="shared" si="3"/>
        <v>57.233512297785914</v>
      </c>
      <c r="D65" s="92">
        <f t="shared" si="3"/>
        <v>8.0312874696944938</v>
      </c>
      <c r="E65" s="92">
        <f t="shared" si="3"/>
        <v>6.1971102669503102</v>
      </c>
      <c r="F65" s="92">
        <f t="shared" si="3"/>
        <v>2.8349008635733579</v>
      </c>
      <c r="G65" s="92">
        <f t="shared" si="3"/>
        <v>3.0537435476877364</v>
      </c>
    </row>
    <row r="66" spans="1:7" hidden="1">
      <c r="A66" t="str">
        <f t="shared" si="0"/>
        <v>2005q3</v>
      </c>
      <c r="B66" s="92">
        <f t="shared" si="2"/>
        <v>77.350554445691799</v>
      </c>
      <c r="C66" s="92">
        <f t="shared" si="3"/>
        <v>57.233512297785914</v>
      </c>
      <c r="D66" s="92">
        <f t="shared" si="3"/>
        <v>8.0312874696944938</v>
      </c>
      <c r="E66" s="92">
        <f t="shared" si="3"/>
        <v>6.1971102669503102</v>
      </c>
      <c r="F66" s="92">
        <f t="shared" si="3"/>
        <v>2.8349008635733579</v>
      </c>
      <c r="G66" s="92">
        <f t="shared" si="3"/>
        <v>3.0537435476877364</v>
      </c>
    </row>
    <row r="67" spans="1:7" hidden="1">
      <c r="A67" t="str">
        <f t="shared" si="0"/>
        <v>2005q4</v>
      </c>
      <c r="B67" s="92">
        <f t="shared" si="2"/>
        <v>77.350554445691799</v>
      </c>
      <c r="C67" s="92">
        <f t="shared" si="3"/>
        <v>57.233512297785914</v>
      </c>
      <c r="D67" s="92">
        <f t="shared" si="3"/>
        <v>8.0312874696944938</v>
      </c>
      <c r="E67" s="92">
        <f t="shared" si="3"/>
        <v>6.1971102669503102</v>
      </c>
      <c r="F67" s="92">
        <f t="shared" si="3"/>
        <v>2.8349008635733579</v>
      </c>
      <c r="G67" s="92">
        <f t="shared" si="3"/>
        <v>3.0537435476877364</v>
      </c>
    </row>
    <row r="68" spans="1:7" hidden="1">
      <c r="A68" t="str">
        <f t="shared" si="0"/>
        <v>2006q1</v>
      </c>
      <c r="B68" s="92">
        <f t="shared" si="2"/>
        <v>77.350554445691799</v>
      </c>
      <c r="C68" s="92">
        <f t="shared" si="3"/>
        <v>57.233512297785914</v>
      </c>
      <c r="D68" s="92">
        <f t="shared" si="3"/>
        <v>8.0312874696944938</v>
      </c>
      <c r="E68" s="92">
        <f t="shared" si="3"/>
        <v>6.1971102669503102</v>
      </c>
      <c r="F68" s="92">
        <f t="shared" si="3"/>
        <v>2.8349008635733579</v>
      </c>
      <c r="G68" s="92">
        <f t="shared" si="3"/>
        <v>3.0537435476877364</v>
      </c>
    </row>
    <row r="69" spans="1:7" hidden="1">
      <c r="A69" t="str">
        <f t="shared" si="0"/>
        <v>2006q2</v>
      </c>
      <c r="B69" s="92">
        <f t="shared" si="2"/>
        <v>77.350554445691799</v>
      </c>
      <c r="C69" s="92">
        <f t="shared" si="3"/>
        <v>57.233512297785914</v>
      </c>
      <c r="D69" s="92">
        <f t="shared" si="3"/>
        <v>8.0312874696944956</v>
      </c>
      <c r="E69" s="92">
        <f t="shared" si="3"/>
        <v>6.1971102669503102</v>
      </c>
      <c r="F69" s="92">
        <f t="shared" si="3"/>
        <v>2.8349008635733579</v>
      </c>
      <c r="G69" s="92">
        <f t="shared" si="3"/>
        <v>3.0537435476877364</v>
      </c>
    </row>
    <row r="70" spans="1:7" hidden="1">
      <c r="A70" t="str">
        <f t="shared" si="0"/>
        <v>2006q3</v>
      </c>
      <c r="B70" s="92">
        <f t="shared" si="2"/>
        <v>77.350554445691799</v>
      </c>
      <c r="C70" s="92">
        <f t="shared" si="3"/>
        <v>57.233512297785914</v>
      </c>
      <c r="D70" s="92">
        <f t="shared" si="3"/>
        <v>8.0312874696944938</v>
      </c>
      <c r="E70" s="92">
        <f t="shared" si="3"/>
        <v>6.1971102669503102</v>
      </c>
      <c r="F70" s="92">
        <f t="shared" si="3"/>
        <v>2.8349008635733579</v>
      </c>
      <c r="G70" s="92">
        <f t="shared" si="3"/>
        <v>3.0537435476877364</v>
      </c>
    </row>
    <row r="71" spans="1:7" hidden="1">
      <c r="A71" t="str">
        <f t="shared" si="0"/>
        <v>2006q4</v>
      </c>
      <c r="B71" s="92">
        <f t="shared" si="2"/>
        <v>77.350554445691799</v>
      </c>
      <c r="C71" s="92">
        <f t="shared" si="3"/>
        <v>57.233512297785914</v>
      </c>
      <c r="D71" s="92">
        <f t="shared" si="3"/>
        <v>8.0312874696944938</v>
      </c>
      <c r="E71" s="92">
        <f t="shared" si="3"/>
        <v>6.1971102669503093</v>
      </c>
      <c r="F71" s="92">
        <f t="shared" si="3"/>
        <v>2.8349008635733579</v>
      </c>
      <c r="G71" s="92">
        <f t="shared" si="3"/>
        <v>3.0537435476877364</v>
      </c>
    </row>
    <row r="72" spans="1:7" hidden="1">
      <c r="A72" t="str">
        <f t="shared" si="0"/>
        <v>2007q1</v>
      </c>
      <c r="B72" s="92">
        <f t="shared" si="2"/>
        <v>77.350554445691799</v>
      </c>
      <c r="C72" s="92">
        <f t="shared" ref="C72:G76" si="4">C23/$B23*100</f>
        <v>57.233512297785914</v>
      </c>
      <c r="D72" s="92">
        <f t="shared" si="4"/>
        <v>8.0312874696944938</v>
      </c>
      <c r="E72" s="92">
        <f t="shared" si="4"/>
        <v>6.1971102669503102</v>
      </c>
      <c r="F72" s="92">
        <f t="shared" si="4"/>
        <v>2.8349008635733579</v>
      </c>
      <c r="G72" s="92">
        <f t="shared" si="4"/>
        <v>3.0537435476877364</v>
      </c>
    </row>
    <row r="73" spans="1:7" hidden="1">
      <c r="A73" t="str">
        <f t="shared" si="0"/>
        <v>2007q2</v>
      </c>
      <c r="B73" s="92">
        <f t="shared" si="2"/>
        <v>77.350554445691799</v>
      </c>
      <c r="C73" s="92">
        <f t="shared" si="4"/>
        <v>57.233512297785914</v>
      </c>
      <c r="D73" s="92">
        <f t="shared" si="4"/>
        <v>8.0312874696944938</v>
      </c>
      <c r="E73" s="92">
        <f t="shared" si="4"/>
        <v>6.1971102669503102</v>
      </c>
      <c r="F73" s="92">
        <f t="shared" si="4"/>
        <v>2.8349008635733579</v>
      </c>
      <c r="G73" s="92">
        <f t="shared" si="4"/>
        <v>3.0537435476877364</v>
      </c>
    </row>
    <row r="74" spans="1:7" hidden="1">
      <c r="A74" t="str">
        <f t="shared" si="0"/>
        <v>2007q3</v>
      </c>
      <c r="B74" s="92">
        <f t="shared" si="2"/>
        <v>77.350554445691799</v>
      </c>
      <c r="C74" s="92">
        <f t="shared" si="4"/>
        <v>57.233512297785914</v>
      </c>
      <c r="D74" s="92">
        <f t="shared" si="4"/>
        <v>8.0312874696944938</v>
      </c>
      <c r="E74" s="92">
        <f t="shared" si="4"/>
        <v>6.1971102669503093</v>
      </c>
      <c r="F74" s="92">
        <f t="shared" si="4"/>
        <v>2.8349008635733579</v>
      </c>
      <c r="G74" s="92">
        <f t="shared" si="4"/>
        <v>3.0537435476877368</v>
      </c>
    </row>
    <row r="75" spans="1:7" hidden="1">
      <c r="A75" t="str">
        <f t="shared" si="0"/>
        <v>2007q4</v>
      </c>
      <c r="B75" s="92">
        <f t="shared" si="2"/>
        <v>77.350554445691799</v>
      </c>
      <c r="C75" s="92">
        <f t="shared" si="4"/>
        <v>57.233512297785914</v>
      </c>
      <c r="D75" s="92">
        <f t="shared" si="4"/>
        <v>8.0312874696944938</v>
      </c>
      <c r="E75" s="92">
        <f t="shared" si="4"/>
        <v>6.1971102669503102</v>
      </c>
      <c r="F75" s="92">
        <f t="shared" si="4"/>
        <v>2.8349008635733579</v>
      </c>
      <c r="G75" s="92">
        <f t="shared" si="4"/>
        <v>3.0537435476877364</v>
      </c>
    </row>
    <row r="76" spans="1:7">
      <c r="A76" t="str">
        <f t="shared" si="0"/>
        <v>2008q1</v>
      </c>
      <c r="B76" s="92">
        <f t="shared" si="2"/>
        <v>78.730496743905107</v>
      </c>
      <c r="C76" s="92">
        <f t="shared" ref="C76:C88" si="5">C27/$B27*100</f>
        <v>58.440941989797132</v>
      </c>
      <c r="D76" s="92">
        <f t="shared" si="4"/>
        <v>8.1954277173082808</v>
      </c>
      <c r="E76" s="92">
        <f t="shared" si="4"/>
        <v>6.3044421173581151</v>
      </c>
      <c r="F76" s="92">
        <f t="shared" si="4"/>
        <v>2.8514810350969717</v>
      </c>
      <c r="G76" s="92">
        <f t="shared" si="4"/>
        <v>2.9382038843446088</v>
      </c>
    </row>
    <row r="77" spans="1:7">
      <c r="A77" t="str">
        <f t="shared" si="0"/>
        <v>2008q2</v>
      </c>
      <c r="B77" s="92">
        <f t="shared" ref="B77:B84" si="6">SUM(C77:G77)</f>
        <v>78.529155415158911</v>
      </c>
      <c r="C77" s="92">
        <f t="shared" si="5"/>
        <v>58.543455033832636</v>
      </c>
      <c r="D77" s="92">
        <f t="shared" ref="D77:G88" si="7">D28/$B28*100</f>
        <v>7.5731591891401866</v>
      </c>
      <c r="E77" s="92">
        <f t="shared" si="7"/>
        <v>6.8349776586806366</v>
      </c>
      <c r="F77" s="92">
        <f t="shared" si="7"/>
        <v>2.756561460960206</v>
      </c>
      <c r="G77" s="92">
        <f t="shared" si="7"/>
        <v>2.8210020725452409</v>
      </c>
    </row>
    <row r="78" spans="1:7">
      <c r="A78" t="str">
        <f t="shared" si="0"/>
        <v>2008q3</v>
      </c>
      <c r="B78" s="92">
        <f t="shared" si="6"/>
        <v>78.203568518421889</v>
      </c>
      <c r="C78" s="92">
        <f t="shared" si="5"/>
        <v>58.087081840123474</v>
      </c>
      <c r="D78" s="92">
        <f t="shared" si="7"/>
        <v>7.7303872407602352</v>
      </c>
      <c r="E78" s="92">
        <f t="shared" si="7"/>
        <v>6.774376217579074</v>
      </c>
      <c r="F78" s="92">
        <f t="shared" si="7"/>
        <v>2.7768238933294205</v>
      </c>
      <c r="G78" s="92">
        <f t="shared" si="7"/>
        <v>2.8348993266296838</v>
      </c>
    </row>
    <row r="79" spans="1:7">
      <c r="A79" t="str">
        <f t="shared" si="0"/>
        <v>2008q4</v>
      </c>
      <c r="B79" s="92">
        <f t="shared" si="6"/>
        <v>76.900452884611326</v>
      </c>
      <c r="C79" s="92">
        <f t="shared" si="5"/>
        <v>56.311469509910417</v>
      </c>
      <c r="D79" s="92">
        <f t="shared" si="7"/>
        <v>8.1540819678682031</v>
      </c>
      <c r="E79" s="92">
        <f t="shared" si="7"/>
        <v>6.265975876990848</v>
      </c>
      <c r="F79" s="92">
        <f t="shared" si="7"/>
        <v>2.915598620997204</v>
      </c>
      <c r="G79" s="92">
        <f t="shared" si="7"/>
        <v>3.2533269088446581</v>
      </c>
    </row>
    <row r="80" spans="1:7">
      <c r="A80" t="str">
        <f t="shared" si="0"/>
        <v>2009q1</v>
      </c>
      <c r="B80" s="92">
        <f t="shared" si="6"/>
        <v>76.12697616307895</v>
      </c>
      <c r="C80" s="92">
        <f t="shared" si="5"/>
        <v>56.498434357946657</v>
      </c>
      <c r="D80" s="92">
        <f t="shared" si="7"/>
        <v>8.0220365454144265</v>
      </c>
      <c r="E80" s="92">
        <f t="shared" si="7"/>
        <v>5.6239370116081693</v>
      </c>
      <c r="F80" s="92">
        <f t="shared" si="7"/>
        <v>2.7758558284033099</v>
      </c>
      <c r="G80" s="92">
        <f t="shared" si="7"/>
        <v>3.2067124197063896</v>
      </c>
    </row>
    <row r="81" spans="1:7">
      <c r="A81" t="str">
        <f t="shared" si="0"/>
        <v>2009q2</v>
      </c>
      <c r="B81" s="92">
        <f t="shared" si="6"/>
        <v>76.45709596293274</v>
      </c>
      <c r="C81" s="92">
        <f t="shared" si="5"/>
        <v>56.386607347301741</v>
      </c>
      <c r="D81" s="92">
        <f t="shared" si="7"/>
        <v>8.300344540807977</v>
      </c>
      <c r="E81" s="92">
        <f t="shared" si="7"/>
        <v>5.6442926388302501</v>
      </c>
      <c r="F81" s="92">
        <f t="shared" si="7"/>
        <v>2.9520196931433667</v>
      </c>
      <c r="G81" s="92">
        <f t="shared" si="7"/>
        <v>3.1738317428494041</v>
      </c>
    </row>
    <row r="82" spans="1:7">
      <c r="A82" t="str">
        <f t="shared" si="0"/>
        <v>2009q3</v>
      </c>
      <c r="B82" s="92">
        <f t="shared" si="6"/>
        <v>76.482386022679705</v>
      </c>
      <c r="C82" s="92">
        <f t="shared" si="5"/>
        <v>56.366596005589386</v>
      </c>
      <c r="D82" s="92">
        <f t="shared" si="7"/>
        <v>8.2435750865621475</v>
      </c>
      <c r="E82" s="92">
        <f t="shared" si="7"/>
        <v>5.9080209385509725</v>
      </c>
      <c r="F82" s="92">
        <f t="shared" si="7"/>
        <v>2.8159655130830248</v>
      </c>
      <c r="G82" s="92">
        <f t="shared" si="7"/>
        <v>3.1482284788941732</v>
      </c>
    </row>
    <row r="83" spans="1:7">
      <c r="A83" t="str">
        <f t="shared" si="0"/>
        <v>2009q4</v>
      </c>
      <c r="B83" s="92">
        <f t="shared" si="6"/>
        <v>76.918300425084539</v>
      </c>
      <c r="C83" s="92">
        <f t="shared" si="5"/>
        <v>55.924959730134873</v>
      </c>
      <c r="D83" s="92">
        <f t="shared" si="7"/>
        <v>9.1578659388686514</v>
      </c>
      <c r="E83" s="92">
        <f t="shared" si="7"/>
        <v>5.9291222982792213</v>
      </c>
      <c r="F83" s="92">
        <f t="shared" si="7"/>
        <v>2.7922107672601766</v>
      </c>
      <c r="G83" s="92">
        <f t="shared" si="7"/>
        <v>3.1141416905416111</v>
      </c>
    </row>
    <row r="84" spans="1:7">
      <c r="A84" t="str">
        <f t="shared" si="0"/>
        <v>2010q1</v>
      </c>
      <c r="B84" s="92">
        <f t="shared" si="6"/>
        <v>77.402675784225281</v>
      </c>
      <c r="C84" s="92">
        <f t="shared" si="5"/>
        <v>57.39096288184323</v>
      </c>
      <c r="D84" s="92">
        <f t="shared" si="7"/>
        <v>8.0829172441390664</v>
      </c>
      <c r="E84" s="92">
        <f t="shared" si="7"/>
        <v>6.0418297986388652</v>
      </c>
      <c r="F84" s="92">
        <f t="shared" si="7"/>
        <v>2.8207459090245468</v>
      </c>
      <c r="G84" s="92">
        <f t="shared" si="7"/>
        <v>3.0662199505795784</v>
      </c>
    </row>
    <row r="85" spans="1:7">
      <c r="A85" t="str">
        <f t="shared" si="0"/>
        <v>2010q2</v>
      </c>
      <c r="B85" s="92">
        <f t="shared" ref="B85:B88" si="8">SUM(C85:G85)</f>
        <v>77.445601941261145</v>
      </c>
      <c r="C85" s="92">
        <f t="shared" si="5"/>
        <v>57.387858226306761</v>
      </c>
      <c r="D85" s="92">
        <f t="shared" si="7"/>
        <v>7.9682637332142185</v>
      </c>
      <c r="E85" s="92">
        <f t="shared" si="7"/>
        <v>6.2254601881537326</v>
      </c>
      <c r="F85" s="92">
        <f t="shared" si="7"/>
        <v>2.8478273392256432</v>
      </c>
      <c r="G85" s="92">
        <f t="shared" si="7"/>
        <v>3.0161924543607941</v>
      </c>
    </row>
    <row r="86" spans="1:7">
      <c r="A86" t="str">
        <f t="shared" si="0"/>
        <v>2010q3</v>
      </c>
      <c r="B86" s="92">
        <f t="shared" si="8"/>
        <v>77.345502995597784</v>
      </c>
      <c r="C86" s="92">
        <f t="shared" si="5"/>
        <v>57.229063381166256</v>
      </c>
      <c r="D86" s="92">
        <f t="shared" si="7"/>
        <v>8.0017499323389583</v>
      </c>
      <c r="E86" s="92">
        <f t="shared" si="7"/>
        <v>6.2931691410267847</v>
      </c>
      <c r="F86" s="92">
        <f t="shared" si="7"/>
        <v>2.809230089995268</v>
      </c>
      <c r="G86" s="92">
        <f t="shared" si="7"/>
        <v>3.0122904510705308</v>
      </c>
    </row>
    <row r="87" spans="1:7">
      <c r="A87" t="str">
        <f t="shared" si="0"/>
        <v>2010q4</v>
      </c>
      <c r="B87" s="92">
        <f t="shared" si="8"/>
        <v>77.056435918462554</v>
      </c>
      <c r="C87" s="92">
        <f t="shared" si="5"/>
        <v>56.489980512610401</v>
      </c>
      <c r="D87" s="92">
        <f t="shared" si="7"/>
        <v>8.4477451254771179</v>
      </c>
      <c r="E87" s="92">
        <f t="shared" si="7"/>
        <v>6.1307361474067923</v>
      </c>
      <c r="F87" s="92">
        <f t="shared" si="7"/>
        <v>2.8475700839435794</v>
      </c>
      <c r="G87" s="92">
        <f t="shared" si="7"/>
        <v>3.1404040490246685</v>
      </c>
    </row>
    <row r="88" spans="1:7">
      <c r="A88" t="str">
        <f t="shared" si="0"/>
        <v>2011q1</v>
      </c>
      <c r="B88" s="92">
        <f t="shared" si="8"/>
        <v>77.42004956373647</v>
      </c>
      <c r="C88" s="92">
        <f t="shared" si="5"/>
        <v>57.443446409862354</v>
      </c>
      <c r="D88" s="92">
        <f t="shared" si="7"/>
        <v>8.1001271689539251</v>
      </c>
      <c r="E88" s="92">
        <f t="shared" si="7"/>
        <v>5.990069642535051</v>
      </c>
      <c r="F88" s="92">
        <f t="shared" si="7"/>
        <v>2.8160275908416095</v>
      </c>
      <c r="G88" s="92">
        <f t="shared" si="7"/>
        <v>3.0703787515435259</v>
      </c>
    </row>
    <row r="89" spans="1:7">
      <c r="A89" t="str">
        <f t="shared" ref="A89:A96" si="9">A40</f>
        <v>2011q2</v>
      </c>
      <c r="B89" s="92">
        <f t="shared" ref="B89:B92" si="10">SUM(C89:G89)</f>
        <v>77.477284439784256</v>
      </c>
      <c r="C89" s="92">
        <f t="shared" ref="C89:G89" si="11">C40/$B40*100</f>
        <v>57.439306869147046</v>
      </c>
      <c r="D89" s="92">
        <f t="shared" si="11"/>
        <v>7.947255821054128</v>
      </c>
      <c r="E89" s="92">
        <f t="shared" si="11"/>
        <v>6.234910161888207</v>
      </c>
      <c r="F89" s="92">
        <f t="shared" si="11"/>
        <v>2.8521361644430718</v>
      </c>
      <c r="G89" s="92">
        <f t="shared" si="11"/>
        <v>3.003675423251813</v>
      </c>
    </row>
    <row r="90" spans="1:7">
      <c r="A90" t="str">
        <f t="shared" si="9"/>
        <v>2011q3</v>
      </c>
      <c r="B90" s="92">
        <f t="shared" si="10"/>
        <v>77.343819178899793</v>
      </c>
      <c r="C90" s="92">
        <f t="shared" ref="C90:G90" si="12">C41/$B41*100</f>
        <v>57.227580408959696</v>
      </c>
      <c r="D90" s="92">
        <f t="shared" si="12"/>
        <v>7.9919040865537809</v>
      </c>
      <c r="E90" s="92">
        <f t="shared" si="12"/>
        <v>6.3251887657189432</v>
      </c>
      <c r="F90" s="92">
        <f t="shared" si="12"/>
        <v>2.8006731654692376</v>
      </c>
      <c r="G90" s="92">
        <f t="shared" si="12"/>
        <v>2.9984727521981291</v>
      </c>
    </row>
    <row r="91" spans="1:7">
      <c r="A91" t="str">
        <f t="shared" si="9"/>
        <v>2011q4</v>
      </c>
      <c r="B91" s="92">
        <f t="shared" si="10"/>
        <v>76.958396409386154</v>
      </c>
      <c r="C91" s="92">
        <f t="shared" ref="C91:G91" si="13">C42/$B42*100</f>
        <v>56.242136584218564</v>
      </c>
      <c r="D91" s="92">
        <f t="shared" si="13"/>
        <v>8.5865643440713235</v>
      </c>
      <c r="E91" s="92">
        <f t="shared" si="13"/>
        <v>6.1086114408922878</v>
      </c>
      <c r="F91" s="92">
        <f t="shared" si="13"/>
        <v>2.8517931574003197</v>
      </c>
      <c r="G91" s="92">
        <f t="shared" si="13"/>
        <v>3.1692908828036459</v>
      </c>
    </row>
    <row r="92" spans="1:7">
      <c r="A92" t="str">
        <f t="shared" si="9"/>
        <v>2012q1</v>
      </c>
      <c r="B92" s="92">
        <f t="shared" si="10"/>
        <v>76.983233837013572</v>
      </c>
      <c r="C92" s="92">
        <f t="shared" ref="C92:G92" si="14">C43/$B43*100</f>
        <v>57.11094788321742</v>
      </c>
      <c r="D92" s="92">
        <f t="shared" si="14"/>
        <v>8.0683603195024727</v>
      </c>
      <c r="E92" s="92">
        <f t="shared" si="14"/>
        <v>5.8852788175940276</v>
      </c>
      <c r="F92" s="92">
        <f t="shared" si="14"/>
        <v>2.8042097760898219</v>
      </c>
      <c r="G92" s="92">
        <f t="shared" si="14"/>
        <v>3.1144370406098312</v>
      </c>
    </row>
    <row r="93" spans="1:7">
      <c r="A93" t="str">
        <f t="shared" si="9"/>
        <v>2012q2</v>
      </c>
      <c r="B93" s="92">
        <f t="shared" ref="B93" si="15">SUM(C93:G93)</f>
        <v>77.126660781326052</v>
      </c>
      <c r="C93" s="92">
        <f t="shared" ref="C93:G93" si="16">C44/$B44*100</f>
        <v>57.071257480918511</v>
      </c>
      <c r="D93" s="92">
        <f t="shared" si="16"/>
        <v>8.0719546983587733</v>
      </c>
      <c r="E93" s="92">
        <f t="shared" si="16"/>
        <v>6.0348876629573969</v>
      </c>
      <c r="F93" s="92">
        <f t="shared" si="16"/>
        <v>2.8839943989373609</v>
      </c>
      <c r="G93" s="92">
        <f t="shared" si="16"/>
        <v>3.0645665401540034</v>
      </c>
    </row>
    <row r="94" spans="1:7">
      <c r="A94" t="str">
        <f t="shared" si="9"/>
        <v>2012q3</v>
      </c>
      <c r="B94" s="92">
        <f t="shared" ref="B94" si="17">SUM(C94:G94)</f>
        <v>77.057236065725775</v>
      </c>
      <c r="C94" s="92">
        <f t="shared" ref="C94:G94" si="18">C45/$B45*100</f>
        <v>56.941079931905115</v>
      </c>
      <c r="D94" s="92">
        <f t="shared" si="18"/>
        <v>8.0790763684849622</v>
      </c>
      <c r="E94" s="92">
        <f t="shared" si="18"/>
        <v>6.1754596150988998</v>
      </c>
      <c r="F94" s="92">
        <f t="shared" si="18"/>
        <v>2.8086229228491768</v>
      </c>
      <c r="G94" s="92">
        <f t="shared" si="18"/>
        <v>3.0529972273876114</v>
      </c>
    </row>
    <row r="95" spans="1:7">
      <c r="A95" t="str">
        <f t="shared" si="9"/>
        <v>2012q4</v>
      </c>
      <c r="B95" s="92">
        <f t="shared" ref="B95:B99" si="19">SUM(C95:G95)</f>
        <v>76.977710917644416</v>
      </c>
      <c r="C95" s="92">
        <f t="shared" ref="C95:G95" si="20">C46/$B46*100</f>
        <v>56.219025608987941</v>
      </c>
      <c r="D95" s="92">
        <f t="shared" si="20"/>
        <v>8.7307251361390303</v>
      </c>
      <c r="E95" s="92">
        <f t="shared" si="20"/>
        <v>6.0561566288594335</v>
      </c>
      <c r="F95" s="92">
        <f t="shared" si="20"/>
        <v>2.8305246695346922</v>
      </c>
      <c r="G95" s="92">
        <f t="shared" si="20"/>
        <v>3.1412788741233078</v>
      </c>
    </row>
    <row r="96" spans="1:7">
      <c r="A96" t="str">
        <f t="shared" si="9"/>
        <v>2013q1</v>
      </c>
      <c r="B96" s="92">
        <f t="shared" si="19"/>
        <v>77.268653061658441</v>
      </c>
      <c r="C96" s="92">
        <f t="shared" ref="C96:G96" si="21">C47/$B47*100</f>
        <v>57.315119058307673</v>
      </c>
      <c r="D96" s="92">
        <f t="shared" si="21"/>
        <v>8.083801577531819</v>
      </c>
      <c r="E96" s="92">
        <f t="shared" si="21"/>
        <v>5.9723927529226488</v>
      </c>
      <c r="F96" s="92">
        <f t="shared" si="21"/>
        <v>2.8136610919853258</v>
      </c>
      <c r="G96" s="92">
        <f t="shared" si="21"/>
        <v>3.0836785809109784</v>
      </c>
    </row>
    <row r="97" spans="1:7">
      <c r="A97" t="str">
        <f t="shared" ref="A97:A99" si="22">A48</f>
        <v>2013q2</v>
      </c>
      <c r="B97" s="92">
        <f t="shared" si="19"/>
        <v>77.349849054123823</v>
      </c>
      <c r="C97" s="92">
        <f t="shared" ref="C97:G97" si="23">C48/$B48*100</f>
        <v>57.299474192124102</v>
      </c>
      <c r="D97" s="92">
        <f t="shared" si="23"/>
        <v>7.9958247508757072</v>
      </c>
      <c r="E97" s="92">
        <f t="shared" si="23"/>
        <v>6.1650860043331122</v>
      </c>
      <c r="F97" s="92">
        <f t="shared" si="23"/>
        <v>2.8613193008686921</v>
      </c>
      <c r="G97" s="92">
        <f t="shared" si="23"/>
        <v>3.0281448059222038</v>
      </c>
    </row>
    <row r="98" spans="1:7">
      <c r="A98" t="str">
        <f t="shared" si="22"/>
        <v>2013q3</v>
      </c>
      <c r="B98" s="92">
        <f t="shared" si="19"/>
        <v>77.248852746741107</v>
      </c>
      <c r="C98" s="92">
        <f t="shared" ref="C98:G98" si="24">C49/$B49*100</f>
        <v>57.132574574010356</v>
      </c>
      <c r="D98" s="92">
        <f t="shared" si="24"/>
        <v>8.0242434624592338</v>
      </c>
      <c r="E98" s="92">
        <f t="shared" si="24"/>
        <v>6.2646058406148759</v>
      </c>
      <c r="F98" s="92">
        <f t="shared" si="24"/>
        <v>2.8061753927712276</v>
      </c>
      <c r="G98" s="92">
        <f t="shared" si="24"/>
        <v>3.0212534768854242</v>
      </c>
    </row>
    <row r="99" spans="1:7">
      <c r="A99" t="str">
        <f t="shared" si="22"/>
        <v>2013q4</v>
      </c>
      <c r="B99" s="92">
        <f t="shared" si="19"/>
        <v>76.997514415164346</v>
      </c>
      <c r="C99" s="92">
        <f t="shared" ref="C99:G99" si="25">C50/$B50*100</f>
        <v>56.317047568605631</v>
      </c>
      <c r="D99" s="92">
        <f t="shared" si="25"/>
        <v>8.5883448685624906</v>
      </c>
      <c r="E99" s="92">
        <f t="shared" si="25"/>
        <v>6.0985014057195039</v>
      </c>
      <c r="F99" s="92">
        <f t="shared" si="25"/>
        <v>2.8432959702928642</v>
      </c>
      <c r="G99" s="92">
        <f t="shared" si="25"/>
        <v>3.1503246019838733</v>
      </c>
    </row>
    <row r="101" spans="1:7">
      <c r="A101" s="357" t="s">
        <v>28</v>
      </c>
      <c r="B101" s="358">
        <f t="shared" ref="B101:G101" si="26">AVERAGE(B76:B99)</f>
        <v>77.241996218609316</v>
      </c>
      <c r="C101" s="358">
        <f t="shared" si="26"/>
        <v>57.034016974451134</v>
      </c>
      <c r="D101" s="358">
        <f t="shared" si="26"/>
        <v>8.1727390360186298</v>
      </c>
      <c r="E101" s="358">
        <f t="shared" si="26"/>
        <v>6.1369786988432447</v>
      </c>
      <c r="F101" s="358">
        <f t="shared" si="26"/>
        <v>2.830596826497755</v>
      </c>
      <c r="G101" s="358">
        <f t="shared" si="26"/>
        <v>3.0676646827985703</v>
      </c>
    </row>
    <row r="102" spans="1:7">
      <c r="A102" s="357" t="s">
        <v>408</v>
      </c>
      <c r="B102" s="358">
        <f t="shared" ref="B102:G102" si="27">MEDIAN(B76:B99)</f>
        <v>77.18775676403358</v>
      </c>
      <c r="C102" s="358">
        <f t="shared" si="27"/>
        <v>57.121761228613892</v>
      </c>
      <c r="D102" s="358">
        <f t="shared" si="27"/>
        <v>8.0809968063120152</v>
      </c>
      <c r="E102" s="358">
        <f t="shared" si="27"/>
        <v>6.1196737941495396</v>
      </c>
      <c r="F102" s="358">
        <f t="shared" si="27"/>
        <v>2.8183867499330781</v>
      </c>
      <c r="G102" s="358">
        <f t="shared" si="27"/>
        <v>3.0682993510615519</v>
      </c>
    </row>
    <row r="103" spans="1:7">
      <c r="A103" s="357" t="s">
        <v>406</v>
      </c>
      <c r="B103" s="358">
        <f t="shared" ref="B103:G103" si="28">STDEV(B76:B99)</f>
        <v>0.58982291933519915</v>
      </c>
      <c r="C103" s="358">
        <f t="shared" si="28"/>
        <v>0.69803366605884087</v>
      </c>
      <c r="D103" s="358">
        <f t="shared" si="28"/>
        <v>0.33365524699536214</v>
      </c>
      <c r="E103" s="358">
        <f t="shared" si="28"/>
        <v>0.27787181156509289</v>
      </c>
      <c r="F103" s="358">
        <f t="shared" si="28"/>
        <v>4.4055374214737375E-2</v>
      </c>
      <c r="G103" s="358">
        <f t="shared" si="28"/>
        <v>0.10516480464536028</v>
      </c>
    </row>
    <row r="104" spans="1:7">
      <c r="A104" s="357" t="s">
        <v>407</v>
      </c>
      <c r="B104" s="358">
        <f t="shared" ref="B104:G104" si="29">MAX(B76:B99)-MIN(B76:B99)</f>
        <v>2.6035205808261566</v>
      </c>
      <c r="C104" s="358">
        <f t="shared" si="29"/>
        <v>2.6184953036977632</v>
      </c>
      <c r="D104" s="358">
        <f t="shared" si="29"/>
        <v>1.5847067497284648</v>
      </c>
      <c r="E104" s="358">
        <f t="shared" si="29"/>
        <v>1.2110406470724673</v>
      </c>
      <c r="F104" s="358">
        <f t="shared" si="29"/>
        <v>0.19545823218316061</v>
      </c>
      <c r="G104" s="358">
        <f t="shared" si="29"/>
        <v>0.4323248362994172</v>
      </c>
    </row>
  </sheetData>
  <mergeCells count="1">
    <mergeCell ref="A1:G1"/>
  </mergeCells>
  <conditionalFormatting sqref="B76:G9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162"/>
  <sheetViews>
    <sheetView workbookViewId="0">
      <pane xSplit="2" topLeftCell="C1" activePane="topRight" state="frozen"/>
      <selection pane="topRight" activeCell="C1" sqref="C1"/>
    </sheetView>
  </sheetViews>
  <sheetFormatPr defaultRowHeight="14.25"/>
  <cols>
    <col min="1" max="1" width="8.375" style="8" customWidth="1"/>
    <col min="2" max="2" width="11.125" style="8" hidden="1" customWidth="1"/>
    <col min="3" max="3" width="16.375" style="8" bestFit="1" customWidth="1"/>
    <col min="4" max="4" width="18" style="8" bestFit="1" customWidth="1"/>
    <col min="5" max="5" width="17.625" style="8" bestFit="1" customWidth="1"/>
    <col min="6" max="6" width="13.75" style="8" customWidth="1"/>
    <col min="7" max="7" width="14" style="8" customWidth="1"/>
    <col min="8" max="8" width="16" style="8" customWidth="1"/>
    <col min="9" max="9" width="15.25" style="8" customWidth="1"/>
    <col min="10" max="10" width="14.75" style="8" customWidth="1"/>
    <col min="11" max="13" width="17.5" style="8" bestFit="1" customWidth="1"/>
    <col min="14" max="14" width="16.625" style="8" customWidth="1"/>
    <col min="15" max="15" width="13.125" style="8" customWidth="1"/>
    <col min="16" max="16384" width="9" style="8"/>
  </cols>
  <sheetData>
    <row r="1" spans="1:18" ht="43.5" thickBot="1">
      <c r="B1" s="8" t="s">
        <v>23</v>
      </c>
      <c r="C1" s="219" t="s">
        <v>23</v>
      </c>
      <c r="D1" s="220" t="s">
        <v>24</v>
      </c>
      <c r="E1" s="220" t="s">
        <v>208</v>
      </c>
      <c r="F1" s="220" t="s">
        <v>31</v>
      </c>
      <c r="G1" s="220" t="s">
        <v>30</v>
      </c>
      <c r="H1" s="220" t="s">
        <v>25</v>
      </c>
      <c r="I1" s="220" t="s">
        <v>26</v>
      </c>
      <c r="J1" s="220" t="s">
        <v>27</v>
      </c>
      <c r="K1" s="220" t="s">
        <v>34</v>
      </c>
      <c r="L1" s="220" t="s">
        <v>35</v>
      </c>
      <c r="M1" s="220" t="s">
        <v>36</v>
      </c>
      <c r="N1" s="220" t="s">
        <v>37</v>
      </c>
      <c r="O1" s="221" t="s">
        <v>29</v>
      </c>
    </row>
    <row r="2" spans="1:18">
      <c r="A2" s="8">
        <v>2000</v>
      </c>
      <c r="B2" s="10">
        <v>21799650</v>
      </c>
      <c r="C2" s="15">
        <f t="shared" ref="C2:C15" si="0">B2*1000</f>
        <v>21799650000</v>
      </c>
      <c r="D2" s="15">
        <f t="shared" ref="D2:D15" si="1">Q2*1000000</f>
        <v>209731886752.28973</v>
      </c>
      <c r="E2" s="283">
        <f>R2*1000000</f>
        <v>25916567086.971184</v>
      </c>
      <c r="F2" s="10">
        <v>8857615</v>
      </c>
      <c r="G2" s="10">
        <f>G3/F3*F2</f>
        <v>5179802.4874254027</v>
      </c>
      <c r="H2" s="11">
        <f t="shared" ref="H2" si="2">C2/D2</f>
        <v>0.10394056114961261</v>
      </c>
      <c r="I2" s="11">
        <f t="shared" ref="I2" si="3">E2/C2</f>
        <v>1.1888524396938109</v>
      </c>
      <c r="J2" s="11">
        <f t="shared" ref="J2" si="4">E2/D2</f>
        <v>0.12356998970586069</v>
      </c>
      <c r="K2" s="9">
        <f t="shared" ref="K2" si="5">C2/F2</f>
        <v>2461.1196128980546</v>
      </c>
      <c r="L2" s="9">
        <f t="shared" ref="L2" si="6">C2/G2</f>
        <v>4208.5871136826718</v>
      </c>
      <c r="M2" s="9">
        <f t="shared" ref="M2" si="7">D2/F2</f>
        <v>23678.144370949711</v>
      </c>
      <c r="N2" s="9">
        <f t="shared" ref="N2" si="8">D2/G2</f>
        <v>40490.325115955537</v>
      </c>
      <c r="O2" s="12">
        <v>5.3250000000000002</v>
      </c>
      <c r="Q2" s="359">
        <v>209731.88675228972</v>
      </c>
      <c r="R2" s="359">
        <v>25916.567086971183</v>
      </c>
    </row>
    <row r="3" spans="1:18">
      <c r="A3" s="8">
        <v>2001</v>
      </c>
      <c r="B3" s="10">
        <v>25061194</v>
      </c>
      <c r="C3" s="15">
        <f t="shared" si="0"/>
        <v>25061194000</v>
      </c>
      <c r="D3" s="15">
        <f t="shared" si="1"/>
        <v>219073575619.64322</v>
      </c>
      <c r="E3" s="283">
        <f t="shared" ref="E3:E15" si="9">R3*1000000</f>
        <v>26158024471.748798</v>
      </c>
      <c r="F3" s="10">
        <v>9557165</v>
      </c>
      <c r="G3" s="10">
        <v>5588889</v>
      </c>
      <c r="H3" s="11">
        <f t="shared" ref="H3:H15" si="10">C3/D3</f>
        <v>0.11439624303896599</v>
      </c>
      <c r="I3" s="11">
        <f t="shared" ref="I3:I15" si="11">E3/C3</f>
        <v>1.043766089985529</v>
      </c>
      <c r="J3" s="11">
        <f t="shared" ref="J3:J15" si="12">E3/D3</f>
        <v>0.11940291930581581</v>
      </c>
      <c r="K3" s="9">
        <f t="shared" ref="K3:K15" si="13">C3/F3</f>
        <v>2622.2414282896652</v>
      </c>
      <c r="L3" s="9">
        <f t="shared" ref="L3:L15" si="14">C3/G3</f>
        <v>4484.1101693019846</v>
      </c>
      <c r="M3" s="9">
        <f t="shared" ref="M3:M15" si="15">D3/F3</f>
        <v>22922.443592806361</v>
      </c>
      <c r="N3" s="9">
        <f t="shared" ref="N3:N15" si="16">D3/G3</f>
        <v>39198.054500571263</v>
      </c>
      <c r="O3" s="12">
        <v>5.7249999999999988</v>
      </c>
      <c r="Q3" s="359">
        <v>219073.5756196432</v>
      </c>
      <c r="R3" s="359">
        <v>26158.024471748799</v>
      </c>
    </row>
    <row r="4" spans="1:18">
      <c r="A4" s="8">
        <v>2002</v>
      </c>
      <c r="B4" s="10">
        <v>22429241</v>
      </c>
      <c r="C4" s="15">
        <f t="shared" si="0"/>
        <v>22429241000</v>
      </c>
      <c r="D4" s="15">
        <f t="shared" si="1"/>
        <v>224523013157.06317</v>
      </c>
      <c r="E4" s="283">
        <f t="shared" si="9"/>
        <v>26266860896.024349</v>
      </c>
      <c r="F4" s="10">
        <v>9659485</v>
      </c>
      <c r="G4" s="10">
        <v>5699908</v>
      </c>
      <c r="H4" s="11">
        <f t="shared" si="10"/>
        <v>9.9897291972960545E-2</v>
      </c>
      <c r="I4" s="11">
        <f t="shared" si="11"/>
        <v>1.1710989638938005</v>
      </c>
      <c r="J4" s="11">
        <f t="shared" si="12"/>
        <v>0.11698961512533056</v>
      </c>
      <c r="K4" s="9">
        <f t="shared" si="13"/>
        <v>2321.9913898101195</v>
      </c>
      <c r="L4" s="9">
        <f t="shared" si="14"/>
        <v>3935.0180739759307</v>
      </c>
      <c r="M4" s="9">
        <f t="shared" si="15"/>
        <v>23243.787133275033</v>
      </c>
      <c r="N4" s="9">
        <f t="shared" si="16"/>
        <v>39390.638086976694</v>
      </c>
      <c r="O4" s="12">
        <v>9.15</v>
      </c>
      <c r="Q4" s="359">
        <v>224523.01315706316</v>
      </c>
      <c r="R4" s="359">
        <v>26266.860896024351</v>
      </c>
    </row>
    <row r="5" spans="1:18">
      <c r="A5" s="8">
        <v>2003</v>
      </c>
      <c r="B5" s="382">
        <v>25476494</v>
      </c>
      <c r="C5" s="15">
        <f t="shared" si="0"/>
        <v>25476494000</v>
      </c>
      <c r="D5" s="15">
        <f t="shared" si="1"/>
        <v>230682272127.7204</v>
      </c>
      <c r="E5" s="283">
        <f t="shared" si="9"/>
        <v>26844073878.840729</v>
      </c>
      <c r="F5" s="10">
        <v>9752211</v>
      </c>
      <c r="G5" s="10">
        <v>5806228</v>
      </c>
      <c r="H5" s="11">
        <f t="shared" si="10"/>
        <v>0.11043975666190158</v>
      </c>
      <c r="I5" s="11">
        <f t="shared" si="11"/>
        <v>1.05368006597928</v>
      </c>
      <c r="J5" s="11">
        <f t="shared" si="12"/>
        <v>0.11636817008624807</v>
      </c>
      <c r="K5" s="9">
        <f t="shared" si="13"/>
        <v>2612.3813358837292</v>
      </c>
      <c r="L5" s="9">
        <f t="shared" si="14"/>
        <v>4387.7873896788069</v>
      </c>
      <c r="M5" s="9">
        <f t="shared" si="15"/>
        <v>23654.356138081959</v>
      </c>
      <c r="N5" s="9">
        <f t="shared" si="16"/>
        <v>39730.143585081467</v>
      </c>
      <c r="O5" s="12">
        <v>5.9666666666666659</v>
      </c>
      <c r="Q5" s="359">
        <v>230682.27212772041</v>
      </c>
      <c r="R5" s="359">
        <v>26844.073878840729</v>
      </c>
    </row>
    <row r="6" spans="1:18">
      <c r="A6" s="8">
        <v>2004</v>
      </c>
      <c r="B6" s="382">
        <v>28014475</v>
      </c>
      <c r="C6" s="15">
        <f t="shared" si="0"/>
        <v>28014475000</v>
      </c>
      <c r="D6" s="15">
        <f t="shared" si="1"/>
        <v>241055469101.39075</v>
      </c>
      <c r="E6" s="283">
        <f t="shared" si="9"/>
        <v>27206323437.130405</v>
      </c>
      <c r="F6" s="10">
        <v>9835710</v>
      </c>
      <c r="G6" s="10">
        <v>5907719</v>
      </c>
      <c r="H6" s="11">
        <f t="shared" si="10"/>
        <v>0.11621588634529915</v>
      </c>
      <c r="I6" s="11">
        <f t="shared" si="11"/>
        <v>0.97115235738418815</v>
      </c>
      <c r="J6" s="11">
        <f t="shared" si="12"/>
        <v>0.11286333198973017</v>
      </c>
      <c r="K6" s="9">
        <f t="shared" si="13"/>
        <v>2848.241255588056</v>
      </c>
      <c r="L6" s="9">
        <f t="shared" si="14"/>
        <v>4742.0121031484405</v>
      </c>
      <c r="M6" s="9">
        <f t="shared" si="15"/>
        <v>24508.191996448732</v>
      </c>
      <c r="N6" s="9">
        <f t="shared" si="16"/>
        <v>40803.475774895647</v>
      </c>
      <c r="O6" s="12">
        <v>1.3916666666666666</v>
      </c>
      <c r="Q6" s="359">
        <v>241055.46910139074</v>
      </c>
      <c r="R6" s="359">
        <v>27206.323437130406</v>
      </c>
    </row>
    <row r="7" spans="1:18">
      <c r="A7" s="8">
        <f t="shared" ref="A7:A15" si="17">A6+1</f>
        <v>2005</v>
      </c>
      <c r="B7" s="382">
        <v>33307079</v>
      </c>
      <c r="C7" s="15">
        <f t="shared" si="0"/>
        <v>33307079000</v>
      </c>
      <c r="D7" s="15">
        <f t="shared" si="1"/>
        <v>254938581202.70999</v>
      </c>
      <c r="E7" s="283">
        <f t="shared" si="9"/>
        <v>28431676761.648991</v>
      </c>
      <c r="F7" s="10">
        <v>9910636</v>
      </c>
      <c r="G7" s="10">
        <v>6005404</v>
      </c>
      <c r="H7" s="11">
        <f t="shared" si="10"/>
        <v>0.13064746356894666</v>
      </c>
      <c r="I7" s="11">
        <f t="shared" si="11"/>
        <v>0.85362264165071311</v>
      </c>
      <c r="J7" s="11">
        <f t="shared" si="12"/>
        <v>0.11152363297668953</v>
      </c>
      <c r="K7" s="9">
        <f t="shared" si="13"/>
        <v>3360.7408243022951</v>
      </c>
      <c r="L7" s="9">
        <f t="shared" si="14"/>
        <v>5546.1845697641656</v>
      </c>
      <c r="M7" s="9">
        <f t="shared" si="15"/>
        <v>25723.735712088506</v>
      </c>
      <c r="N7" s="9">
        <f t="shared" si="16"/>
        <v>42451.528856794648</v>
      </c>
      <c r="O7" s="12">
        <v>3.4</v>
      </c>
      <c r="Q7" s="359">
        <v>254938.58120270999</v>
      </c>
      <c r="R7" s="359">
        <v>28431.676761648989</v>
      </c>
    </row>
    <row r="8" spans="1:18">
      <c r="A8" s="8">
        <f t="shared" si="17"/>
        <v>2006</v>
      </c>
      <c r="B8" s="382">
        <v>36881397</v>
      </c>
      <c r="C8" s="15">
        <f t="shared" si="0"/>
        <v>36881397000</v>
      </c>
      <c r="D8" s="15">
        <f t="shared" si="1"/>
        <v>269045168756.13422</v>
      </c>
      <c r="E8" s="283">
        <f t="shared" si="9"/>
        <v>29278956173.279423</v>
      </c>
      <c r="F8" s="10">
        <v>9974344</v>
      </c>
      <c r="G8" s="10">
        <v>6095237</v>
      </c>
      <c r="H8" s="11">
        <f t="shared" si="10"/>
        <v>0.13708254703294726</v>
      </c>
      <c r="I8" s="11">
        <f t="shared" si="11"/>
        <v>0.79386787255589653</v>
      </c>
      <c r="J8" s="11">
        <f t="shared" si="12"/>
        <v>0.10882542997758946</v>
      </c>
      <c r="K8" s="9">
        <f t="shared" si="13"/>
        <v>3697.6263301125368</v>
      </c>
      <c r="L8" s="9">
        <f t="shared" si="14"/>
        <v>6050.8552825755587</v>
      </c>
      <c r="M8" s="9">
        <f t="shared" si="15"/>
        <v>26973.720653321583</v>
      </c>
      <c r="N8" s="9">
        <f t="shared" si="16"/>
        <v>44140.230930501013</v>
      </c>
      <c r="O8" s="12">
        <v>4.4333333333333327</v>
      </c>
      <c r="Q8" s="359">
        <v>269045.16875613423</v>
      </c>
      <c r="R8" s="359">
        <v>29278.956173279425</v>
      </c>
    </row>
    <row r="9" spans="1:18">
      <c r="A9" s="8">
        <f t="shared" si="17"/>
        <v>2007</v>
      </c>
      <c r="B9" s="382">
        <v>44482953</v>
      </c>
      <c r="C9" s="15">
        <f t="shared" si="0"/>
        <v>44482953000</v>
      </c>
      <c r="D9" s="15">
        <f t="shared" si="1"/>
        <v>284904866117.12146</v>
      </c>
      <c r="E9" s="283">
        <f t="shared" si="9"/>
        <v>30470366597.730072</v>
      </c>
      <c r="F9" s="10">
        <v>10045594</v>
      </c>
      <c r="G9" s="10">
        <v>6192803</v>
      </c>
      <c r="H9" s="11">
        <f t="shared" si="10"/>
        <v>0.1561326544058167</v>
      </c>
      <c r="I9" s="11">
        <f t="shared" si="11"/>
        <v>0.68498974422246817</v>
      </c>
      <c r="J9" s="11">
        <f t="shared" si="12"/>
        <v>0.10694926700621539</v>
      </c>
      <c r="K9" s="9">
        <f t="shared" si="13"/>
        <v>4428.1057944408267</v>
      </c>
      <c r="L9" s="9">
        <f t="shared" si="14"/>
        <v>7183.0079206459495</v>
      </c>
      <c r="M9" s="9">
        <f t="shared" si="15"/>
        <v>28361.176662835613</v>
      </c>
      <c r="N9" s="9">
        <f t="shared" si="16"/>
        <v>46005.801592125805</v>
      </c>
      <c r="O9" s="12">
        <v>6.9</v>
      </c>
      <c r="Q9" s="359">
        <v>284904.86611712148</v>
      </c>
      <c r="R9" s="359">
        <v>30470.366597730073</v>
      </c>
    </row>
    <row r="10" spans="1:18">
      <c r="A10" s="8">
        <f t="shared" si="17"/>
        <v>2008</v>
      </c>
      <c r="B10" s="382">
        <v>55533549</v>
      </c>
      <c r="C10" s="15">
        <f t="shared" si="0"/>
        <v>55533549000</v>
      </c>
      <c r="D10" s="15">
        <f t="shared" si="1"/>
        <v>296224504961.37573</v>
      </c>
      <c r="E10" s="283">
        <f t="shared" si="9"/>
        <v>31970943502.904877</v>
      </c>
      <c r="F10" s="10">
        <v>10105436</v>
      </c>
      <c r="G10" s="10">
        <v>6284396</v>
      </c>
      <c r="H10" s="11">
        <f t="shared" si="10"/>
        <v>0.18747115133922138</v>
      </c>
      <c r="I10" s="11">
        <f t="shared" si="11"/>
        <v>0.57570503017743158</v>
      </c>
      <c r="J10" s="11">
        <f t="shared" si="12"/>
        <v>0.10792808483914429</v>
      </c>
      <c r="K10" s="9">
        <f t="shared" si="13"/>
        <v>5495.4134586573009</v>
      </c>
      <c r="L10" s="9">
        <f t="shared" si="14"/>
        <v>8836.7361000166129</v>
      </c>
      <c r="M10" s="9">
        <f t="shared" si="15"/>
        <v>29313.381922499506</v>
      </c>
      <c r="N10" s="9">
        <f t="shared" si="16"/>
        <v>47136.511601333797</v>
      </c>
      <c r="O10" s="12">
        <v>11.483333333333334</v>
      </c>
      <c r="P10" s="11"/>
      <c r="Q10" s="359">
        <v>296224.50496137573</v>
      </c>
      <c r="R10" s="359">
        <v>31970.943502904876</v>
      </c>
    </row>
    <row r="11" spans="1:18">
      <c r="A11" s="8">
        <f t="shared" si="17"/>
        <v>2009</v>
      </c>
      <c r="B11" s="382">
        <v>63809285</v>
      </c>
      <c r="C11" s="15">
        <f t="shared" si="0"/>
        <v>63809285000</v>
      </c>
      <c r="D11" s="15">
        <f t="shared" si="1"/>
        <v>290947350270.17792</v>
      </c>
      <c r="E11" s="283">
        <f t="shared" si="9"/>
        <v>33217018832.085785</v>
      </c>
      <c r="F11" s="10">
        <v>10449300</v>
      </c>
      <c r="G11" s="10">
        <v>6463900</v>
      </c>
      <c r="H11" s="11">
        <f t="shared" si="10"/>
        <v>0.21931557355908474</v>
      </c>
      <c r="I11" s="11">
        <f t="shared" si="11"/>
        <v>0.52056716874489006</v>
      </c>
      <c r="J11" s="11">
        <f t="shared" si="12"/>
        <v>0.11416848718931442</v>
      </c>
      <c r="K11" s="9">
        <f t="shared" si="13"/>
        <v>6106.5607265558456</v>
      </c>
      <c r="L11" s="9">
        <f t="shared" si="14"/>
        <v>9871.6386392116219</v>
      </c>
      <c r="M11" s="9">
        <f t="shared" si="15"/>
        <v>27843.716829852518</v>
      </c>
      <c r="N11" s="9">
        <f t="shared" si="16"/>
        <v>45011.115622175144</v>
      </c>
      <c r="O11" s="12">
        <v>7.4083333333333341</v>
      </c>
      <c r="Q11" s="359">
        <v>290947.35027017794</v>
      </c>
      <c r="R11" s="359">
        <v>33217.018832085785</v>
      </c>
    </row>
    <row r="12" spans="1:18">
      <c r="A12" s="8">
        <f t="shared" si="17"/>
        <v>2010</v>
      </c>
      <c r="B12" s="382">
        <v>67662724</v>
      </c>
      <c r="C12" s="15">
        <f t="shared" si="0"/>
        <v>67662724000</v>
      </c>
      <c r="D12" s="15">
        <f t="shared" si="1"/>
        <v>302617814561.54669</v>
      </c>
      <c r="E12" s="283">
        <f t="shared" si="9"/>
        <v>34409510590.058434</v>
      </c>
      <c r="F12" s="10">
        <v>10645400</v>
      </c>
      <c r="G12" s="10">
        <v>6527500</v>
      </c>
      <c r="H12" s="11">
        <f t="shared" si="10"/>
        <v>0.22359134440923237</v>
      </c>
      <c r="I12" s="11">
        <f t="shared" si="11"/>
        <v>0.50854456569112461</v>
      </c>
      <c r="J12" s="11">
        <f t="shared" si="12"/>
        <v>0.11370616313488774</v>
      </c>
      <c r="K12" s="9">
        <f t="shared" si="13"/>
        <v>6356.0527551806417</v>
      </c>
      <c r="L12" s="9">
        <f t="shared" si="14"/>
        <v>10365.794561470701</v>
      </c>
      <c r="M12" s="9">
        <f t="shared" si="15"/>
        <v>28427.096639069146</v>
      </c>
      <c r="N12" s="9">
        <f t="shared" si="16"/>
        <v>46360.446505024389</v>
      </c>
      <c r="O12" s="12">
        <v>4.5250000000000004</v>
      </c>
      <c r="Q12" s="359">
        <v>302617.81456154666</v>
      </c>
      <c r="R12" s="359">
        <v>34409.510590058431</v>
      </c>
    </row>
    <row r="13" spans="1:18">
      <c r="A13" s="8">
        <f t="shared" si="17"/>
        <v>2011</v>
      </c>
      <c r="B13" s="382">
        <v>78643854</v>
      </c>
      <c r="C13" s="15">
        <f t="shared" si="0"/>
        <v>78643854000</v>
      </c>
      <c r="D13" s="15">
        <f t="shared" si="1"/>
        <v>313387868894.0459</v>
      </c>
      <c r="E13" s="283">
        <f t="shared" si="9"/>
        <v>35852917149.066711</v>
      </c>
      <c r="F13" s="10">
        <v>10819130</v>
      </c>
      <c r="G13" s="10">
        <v>6679044</v>
      </c>
      <c r="H13" s="11">
        <f t="shared" si="10"/>
        <v>0.2509473461035242</v>
      </c>
      <c r="I13" s="11">
        <f t="shared" si="11"/>
        <v>0.45588962551436901</v>
      </c>
      <c r="J13" s="11">
        <f t="shared" si="12"/>
        <v>0.11440429163896039</v>
      </c>
      <c r="K13" s="9">
        <f t="shared" si="13"/>
        <v>7268.9628463656509</v>
      </c>
      <c r="L13" s="9">
        <f t="shared" si="14"/>
        <v>11774.717160120521</v>
      </c>
      <c r="M13" s="9">
        <f t="shared" si="15"/>
        <v>28966.087744028024</v>
      </c>
      <c r="N13" s="9">
        <f t="shared" si="16"/>
        <v>46921.066681705634</v>
      </c>
      <c r="O13" s="12">
        <v>4.7583333333333329</v>
      </c>
      <c r="Q13" s="359">
        <v>313387.86889404588</v>
      </c>
      <c r="R13" s="359">
        <v>35852.917149066714</v>
      </c>
    </row>
    <row r="14" spans="1:18">
      <c r="A14" s="8">
        <f t="shared" si="17"/>
        <v>2012</v>
      </c>
      <c r="B14" s="382">
        <v>86467069</v>
      </c>
      <c r="C14" s="15">
        <f t="shared" si="0"/>
        <v>86467069000</v>
      </c>
      <c r="D14" s="15">
        <f t="shared" si="1"/>
        <v>322182253665.54987</v>
      </c>
      <c r="E14" s="283">
        <f t="shared" si="9"/>
        <v>36820026056.643646</v>
      </c>
      <c r="F14" s="10">
        <v>10267300</v>
      </c>
      <c r="G14" s="10">
        <v>6867250</v>
      </c>
      <c r="H14" s="11">
        <f t="shared" si="10"/>
        <v>0.26837936607693952</v>
      </c>
      <c r="I14" s="11">
        <f t="shared" si="11"/>
        <v>0.42582715573074004</v>
      </c>
      <c r="J14" s="11">
        <f t="shared" si="12"/>
        <v>0.11428322211336223</v>
      </c>
      <c r="K14" s="9">
        <f t="shared" si="13"/>
        <v>8421.5975962521788</v>
      </c>
      <c r="L14" s="9">
        <f t="shared" si="14"/>
        <v>12591.221959299573</v>
      </c>
      <c r="M14" s="9">
        <f t="shared" si="15"/>
        <v>31379.452598594555</v>
      </c>
      <c r="N14" s="9">
        <f t="shared" si="16"/>
        <v>46915.760117303122</v>
      </c>
      <c r="O14" s="12">
        <v>5.7</v>
      </c>
      <c r="Q14" s="359">
        <v>322182.25366554986</v>
      </c>
      <c r="R14" s="359">
        <v>36820.026056643648</v>
      </c>
    </row>
    <row r="15" spans="1:18">
      <c r="A15" s="8">
        <f t="shared" si="17"/>
        <v>2013</v>
      </c>
      <c r="B15" s="382">
        <v>91847746</v>
      </c>
      <c r="C15" s="15">
        <f t="shared" si="0"/>
        <v>91847746000</v>
      </c>
      <c r="D15" s="15">
        <f t="shared" si="1"/>
        <v>327786435866.65967</v>
      </c>
      <c r="E15" s="283">
        <f t="shared" si="9"/>
        <v>37389131304.243149</v>
      </c>
      <c r="F15" s="10">
        <v>10456900</v>
      </c>
      <c r="G15" s="10">
        <v>6514189.6249047294</v>
      </c>
      <c r="H15" s="11">
        <f t="shared" si="10"/>
        <v>0.28020606086751793</v>
      </c>
      <c r="I15" s="11">
        <f t="shared" si="11"/>
        <v>0.40707728749536376</v>
      </c>
      <c r="J15" s="11">
        <f t="shared" si="12"/>
        <v>0.11406552319771</v>
      </c>
      <c r="K15" s="9">
        <f t="shared" si="13"/>
        <v>8783.4583863286443</v>
      </c>
      <c r="L15" s="9">
        <f t="shared" si="14"/>
        <v>14099.642670648122</v>
      </c>
      <c r="M15" s="9">
        <f t="shared" si="15"/>
        <v>31346.425409696916</v>
      </c>
      <c r="N15" s="9">
        <f t="shared" si="16"/>
        <v>50318.83545629109</v>
      </c>
      <c r="O15" s="12">
        <v>5.62</v>
      </c>
      <c r="Q15" s="359">
        <v>327786.43586665968</v>
      </c>
      <c r="R15" s="359">
        <v>37389.13130424315</v>
      </c>
    </row>
    <row r="16" spans="1:18" ht="15" thickBot="1">
      <c r="L16" s="9"/>
    </row>
    <row r="17" spans="1:16" ht="15" thickBot="1">
      <c r="C17" s="430" t="s">
        <v>207</v>
      </c>
      <c r="D17" s="431"/>
      <c r="E17" s="431"/>
      <c r="F17" s="431"/>
      <c r="G17" s="431"/>
      <c r="H17" s="431"/>
      <c r="I17" s="431"/>
      <c r="J17" s="431"/>
      <c r="K17" s="431"/>
      <c r="L17" s="431"/>
      <c r="M17" s="431"/>
      <c r="N17" s="431"/>
      <c r="O17" s="432"/>
    </row>
    <row r="18" spans="1:16">
      <c r="A18" s="8">
        <f t="shared" ref="A18:A24" si="18">A3</f>
        <v>2001</v>
      </c>
      <c r="C18" s="12">
        <f t="shared" ref="C18:F24" si="19">(C3-C2)/C2*100</f>
        <v>14.96145121595989</v>
      </c>
      <c r="D18" s="12">
        <f t="shared" si="19"/>
        <v>4.4541099648747133</v>
      </c>
      <c r="E18" s="12">
        <f t="shared" si="19"/>
        <v>0.93167194546765575</v>
      </c>
      <c r="F18" s="12">
        <f t="shared" si="19"/>
        <v>7.8977241616394478</v>
      </c>
      <c r="G18" s="12">
        <f t="shared" ref="G18:G24" si="20">(G3-G2)/G2*100</f>
        <v>7.8977241616394496</v>
      </c>
      <c r="H18" s="12">
        <f t="shared" ref="H18:H24" si="21">(H3-H2)/H2*100</f>
        <v>10.059289437838816</v>
      </c>
      <c r="I18" s="12">
        <f t="shared" ref="I18:M24" si="22">(I3-I2)/I2*100</f>
        <v>-12.203898891409008</v>
      </c>
      <c r="J18" s="12">
        <f t="shared" si="22"/>
        <v>-3.3722349657582313</v>
      </c>
      <c r="K18" s="12">
        <f t="shared" si="22"/>
        <v>6.5466877167292203</v>
      </c>
      <c r="L18" s="12">
        <f t="shared" ref="L18:L24" si="23">(L3-L2)/L2*100</f>
        <v>6.5466877167292328</v>
      </c>
      <c r="M18" s="12">
        <f t="shared" si="22"/>
        <v>-3.1915540605897528</v>
      </c>
      <c r="N18" s="12">
        <f t="shared" ref="N18:N24" si="24">(N3-N2)/N2*100</f>
        <v>-3.1915540605897581</v>
      </c>
      <c r="O18" s="12">
        <f t="shared" ref="O18:O25" si="25">O3</f>
        <v>5.7249999999999988</v>
      </c>
      <c r="P18" s="12"/>
    </row>
    <row r="19" spans="1:16">
      <c r="A19" s="8">
        <f t="shared" si="18"/>
        <v>2002</v>
      </c>
      <c r="C19" s="12">
        <f t="shared" si="19"/>
        <v>-10.50210536656793</v>
      </c>
      <c r="D19" s="12">
        <f t="shared" si="19"/>
        <v>2.4874919405530207</v>
      </c>
      <c r="E19" s="12">
        <f t="shared" si="19"/>
        <v>0.41607279782575485</v>
      </c>
      <c r="F19" s="12">
        <f t="shared" si="19"/>
        <v>1.070610374520059</v>
      </c>
      <c r="G19" s="12">
        <f t="shared" si="20"/>
        <v>1.9864234197530135</v>
      </c>
      <c r="H19" s="12">
        <f t="shared" si="21"/>
        <v>-12.674324506502169</v>
      </c>
      <c r="I19" s="12">
        <f t="shared" si="22"/>
        <v>12.199368721591339</v>
      </c>
      <c r="J19" s="12">
        <f t="shared" si="22"/>
        <v>-2.0211433644300443</v>
      </c>
      <c r="K19" s="12">
        <f t="shared" si="22"/>
        <v>-11.450129467117042</v>
      </c>
      <c r="L19" s="12">
        <f t="shared" si="23"/>
        <v>-12.245285566021849</v>
      </c>
      <c r="M19" s="12">
        <f t="shared" si="22"/>
        <v>1.4018729685936155</v>
      </c>
      <c r="N19" s="12">
        <f t="shared" si="24"/>
        <v>0.49130904290830268</v>
      </c>
      <c r="O19" s="12">
        <f t="shared" si="25"/>
        <v>9.15</v>
      </c>
      <c r="P19" s="12"/>
    </row>
    <row r="20" spans="1:16">
      <c r="A20" s="8">
        <f t="shared" si="18"/>
        <v>2003</v>
      </c>
      <c r="C20" s="12">
        <f t="shared" si="19"/>
        <v>13.586072752082872</v>
      </c>
      <c r="D20" s="12">
        <f t="shared" si="19"/>
        <v>2.7432639906487308</v>
      </c>
      <c r="E20" s="12">
        <f t="shared" si="19"/>
        <v>2.1974951064812784</v>
      </c>
      <c r="F20" s="12">
        <f t="shared" si="19"/>
        <v>0.95994765766497892</v>
      </c>
      <c r="G20" s="12">
        <f t="shared" si="20"/>
        <v>1.8652932643825129</v>
      </c>
      <c r="H20" s="12">
        <f t="shared" si="21"/>
        <v>10.553303779039963</v>
      </c>
      <c r="I20" s="12">
        <f t="shared" si="22"/>
        <v>-10.026385603152878</v>
      </c>
      <c r="J20" s="12">
        <f t="shared" si="22"/>
        <v>-0.53119675487156159</v>
      </c>
      <c r="K20" s="12">
        <f t="shared" si="22"/>
        <v>12.506073336359631</v>
      </c>
      <c r="L20" s="12">
        <f t="shared" si="23"/>
        <v>11.50615593603613</v>
      </c>
      <c r="M20" s="12">
        <f t="shared" si="22"/>
        <v>1.7663601996215559</v>
      </c>
      <c r="N20" s="12">
        <f t="shared" si="24"/>
        <v>0.86189387781717475</v>
      </c>
      <c r="O20" s="12">
        <f t="shared" si="25"/>
        <v>5.9666666666666659</v>
      </c>
      <c r="P20" s="12"/>
    </row>
    <row r="21" spans="1:16">
      <c r="A21" s="8">
        <f t="shared" si="18"/>
        <v>2004</v>
      </c>
      <c r="C21" s="12">
        <f t="shared" si="19"/>
        <v>9.9620497231683451</v>
      </c>
      <c r="D21" s="12">
        <f t="shared" si="19"/>
        <v>4.4967464894428852</v>
      </c>
      <c r="E21" s="12">
        <f t="shared" si="19"/>
        <v>1.3494582078885284</v>
      </c>
      <c r="F21" s="12">
        <f t="shared" si="19"/>
        <v>0.85620583886054147</v>
      </c>
      <c r="G21" s="12">
        <f t="shared" si="20"/>
        <v>1.747967871740483</v>
      </c>
      <c r="H21" s="12">
        <f t="shared" si="21"/>
        <v>5.2301180824587714</v>
      </c>
      <c r="I21" s="12">
        <f t="shared" si="22"/>
        <v>-7.8323308240999507</v>
      </c>
      <c r="J21" s="12">
        <f t="shared" si="22"/>
        <v>-3.0118528923504044</v>
      </c>
      <c r="K21" s="12">
        <f t="shared" si="22"/>
        <v>9.0285409891944024</v>
      </c>
      <c r="L21" s="12">
        <f t="shared" si="23"/>
        <v>8.0729689479225968</v>
      </c>
      <c r="M21" s="12">
        <f t="shared" si="22"/>
        <v>3.6096347471159982</v>
      </c>
      <c r="N21" s="12">
        <f t="shared" si="24"/>
        <v>2.7015562818585255</v>
      </c>
      <c r="O21" s="12">
        <f t="shared" si="25"/>
        <v>1.3916666666666666</v>
      </c>
      <c r="P21" s="12"/>
    </row>
    <row r="22" spans="1:16">
      <c r="A22" s="8">
        <f t="shared" si="18"/>
        <v>2005</v>
      </c>
      <c r="C22" s="12">
        <f t="shared" si="19"/>
        <v>18.892390451721834</v>
      </c>
      <c r="D22" s="12">
        <f t="shared" si="19"/>
        <v>5.7593018540806655</v>
      </c>
      <c r="E22" s="12">
        <f t="shared" si="19"/>
        <v>4.5039283876418903</v>
      </c>
      <c r="F22" s="12">
        <f t="shared" si="19"/>
        <v>0.76177520484032168</v>
      </c>
      <c r="G22" s="12">
        <f t="shared" si="20"/>
        <v>1.6535146644584824</v>
      </c>
      <c r="H22" s="12">
        <f t="shared" si="21"/>
        <v>12.41790402111514</v>
      </c>
      <c r="I22" s="12">
        <f t="shared" si="22"/>
        <v>-12.102088291279332</v>
      </c>
      <c r="J22" s="12">
        <f t="shared" si="22"/>
        <v>-1.1870099787258999</v>
      </c>
      <c r="K22" s="12">
        <f t="shared" si="22"/>
        <v>17.993544883487299</v>
      </c>
      <c r="L22" s="12">
        <f t="shared" si="23"/>
        <v>16.958465080293617</v>
      </c>
      <c r="M22" s="12">
        <f t="shared" si="22"/>
        <v>4.9597445450725557</v>
      </c>
      <c r="N22" s="12">
        <f t="shared" si="24"/>
        <v>4.0390017041464059</v>
      </c>
      <c r="O22" s="12">
        <f t="shared" si="25"/>
        <v>3.4</v>
      </c>
      <c r="P22" s="12"/>
    </row>
    <row r="23" spans="1:16">
      <c r="A23" s="8">
        <f t="shared" si="18"/>
        <v>2006</v>
      </c>
      <c r="C23" s="12">
        <f t="shared" si="19"/>
        <v>10.731406377605193</v>
      </c>
      <c r="D23" s="12">
        <f t="shared" si="19"/>
        <v>5.533327865431092</v>
      </c>
      <c r="E23" s="12">
        <f t="shared" si="19"/>
        <v>2.9800543201634633</v>
      </c>
      <c r="F23" s="12">
        <f t="shared" si="19"/>
        <v>0.64282453719418209</v>
      </c>
      <c r="G23" s="12">
        <f t="shared" si="20"/>
        <v>1.4958693869721338</v>
      </c>
      <c r="H23" s="12">
        <f t="shared" si="21"/>
        <v>4.9255326419747947</v>
      </c>
      <c r="I23" s="12">
        <f t="shared" si="22"/>
        <v>-7.0001387239757813</v>
      </c>
      <c r="J23" s="12">
        <f t="shared" si="22"/>
        <v>-2.4194001998339227</v>
      </c>
      <c r="K23" s="12">
        <f t="shared" si="22"/>
        <v>10.024144181965616</v>
      </c>
      <c r="L23" s="12">
        <f t="shared" si="23"/>
        <v>9.0994215295805176</v>
      </c>
      <c r="M23" s="12">
        <f t="shared" si="22"/>
        <v>4.8592667691173022</v>
      </c>
      <c r="N23" s="12">
        <f t="shared" si="24"/>
        <v>3.9779534899744298</v>
      </c>
      <c r="O23" s="12">
        <f t="shared" si="25"/>
        <v>4.4333333333333327</v>
      </c>
      <c r="P23" s="12"/>
    </row>
    <row r="24" spans="1:16">
      <c r="A24" s="8">
        <f t="shared" si="18"/>
        <v>2007</v>
      </c>
      <c r="C24" s="12">
        <f t="shared" si="19"/>
        <v>20.610813630514048</v>
      </c>
      <c r="D24" s="12">
        <f t="shared" si="19"/>
        <v>5.8948084570002681</v>
      </c>
      <c r="E24" s="12">
        <f t="shared" si="19"/>
        <v>4.0691697388377346</v>
      </c>
      <c r="F24" s="12">
        <f t="shared" si="19"/>
        <v>0.71433269195447846</v>
      </c>
      <c r="G24" s="12">
        <f t="shared" si="20"/>
        <v>1.6006924751244291</v>
      </c>
      <c r="H24" s="12">
        <f t="shared" si="21"/>
        <v>13.896814572821455</v>
      </c>
      <c r="I24" s="12">
        <f t="shared" si="22"/>
        <v>-13.714892880460056</v>
      </c>
      <c r="J24" s="12">
        <f t="shared" si="22"/>
        <v>-1.7240115400972231</v>
      </c>
      <c r="K24" s="12">
        <f t="shared" si="22"/>
        <v>19.755361929880507</v>
      </c>
      <c r="L24" s="12">
        <f t="shared" si="23"/>
        <v>18.710621642705817</v>
      </c>
      <c r="M24" s="12">
        <f t="shared" si="22"/>
        <v>5.1437324029051812</v>
      </c>
      <c r="N24" s="12">
        <f t="shared" si="24"/>
        <v>4.2264633018394049</v>
      </c>
      <c r="O24" s="12">
        <f t="shared" si="25"/>
        <v>6.9</v>
      </c>
      <c r="P24" s="12"/>
    </row>
    <row r="25" spans="1:16">
      <c r="A25" s="8">
        <f t="shared" ref="A25:A30" si="26">A10</f>
        <v>2008</v>
      </c>
      <c r="C25" s="12">
        <f>(C10-C9)/C9*100</f>
        <v>24.842316561132979</v>
      </c>
      <c r="D25" s="12">
        <f>(D10-D9)/D9*100</f>
        <v>3.973129346130889</v>
      </c>
      <c r="E25" s="12">
        <f t="shared" ref="E25:N25" si="27">(E10-E9)/E9*100</f>
        <v>4.9247090623668184</v>
      </c>
      <c r="F25" s="12">
        <f t="shared" si="27"/>
        <v>0.59570394742212363</v>
      </c>
      <c r="G25" s="12">
        <f t="shared" si="27"/>
        <v>1.4790233114148794</v>
      </c>
      <c r="H25" s="12">
        <f t="shared" si="27"/>
        <v>20.071712130090557</v>
      </c>
      <c r="I25" s="12">
        <f t="shared" si="27"/>
        <v>-15.954211718758749</v>
      </c>
      <c r="J25" s="12">
        <f t="shared" si="27"/>
        <v>0.9152169625173916</v>
      </c>
      <c r="K25" s="12">
        <f t="shared" si="27"/>
        <v>24.103029913070355</v>
      </c>
      <c r="L25" s="12">
        <f t="shared" si="27"/>
        <v>23.022780952494728</v>
      </c>
      <c r="M25" s="12">
        <f t="shared" si="27"/>
        <v>3.3574250849459983</v>
      </c>
      <c r="N25" s="12">
        <f t="shared" si="27"/>
        <v>2.4577552614614611</v>
      </c>
      <c r="O25" s="12">
        <f t="shared" si="25"/>
        <v>11.483333333333334</v>
      </c>
      <c r="P25" s="12"/>
    </row>
    <row r="26" spans="1:16">
      <c r="A26" s="8">
        <f t="shared" si="26"/>
        <v>2009</v>
      </c>
      <c r="C26" s="12">
        <f t="shared" ref="C26:N26" si="28">(C11-C10)/C10*100</f>
        <v>14.902227840687798</v>
      </c>
      <c r="D26" s="12">
        <f t="shared" si="28"/>
        <v>-1.7814713512259546</v>
      </c>
      <c r="E26" s="12">
        <f t="shared" si="28"/>
        <v>3.8975244164054463</v>
      </c>
      <c r="F26" s="12">
        <f t="shared" si="28"/>
        <v>3.4027626319141495</v>
      </c>
      <c r="G26" s="12">
        <f t="shared" si="28"/>
        <v>2.8563445078890637</v>
      </c>
      <c r="H26" s="12">
        <f t="shared" si="28"/>
        <v>16.986305355452895</v>
      </c>
      <c r="I26" s="12">
        <f t="shared" si="28"/>
        <v>-9.5774500034415357</v>
      </c>
      <c r="J26" s="12">
        <f t="shared" si="28"/>
        <v>5.7820004491609511</v>
      </c>
      <c r="K26" s="12">
        <f t="shared" si="28"/>
        <v>11.1210425293071</v>
      </c>
      <c r="L26" s="12">
        <f t="shared" si="28"/>
        <v>11.711366362893461</v>
      </c>
      <c r="M26" s="12">
        <f t="shared" si="28"/>
        <v>-5.0136319873721087</v>
      </c>
      <c r="N26" s="12">
        <f t="shared" si="28"/>
        <v>-4.5090226386173899</v>
      </c>
      <c r="O26" s="12">
        <f t="shared" ref="O26:O30" si="29">O11</f>
        <v>7.4083333333333341</v>
      </c>
      <c r="P26" s="12"/>
    </row>
    <row r="27" spans="1:16">
      <c r="A27" s="8">
        <f t="shared" si="26"/>
        <v>2010</v>
      </c>
      <c r="C27" s="12">
        <f t="shared" ref="C27:N27" si="30">(C12-C11)/C11*100</f>
        <v>6.0389941683251891</v>
      </c>
      <c r="D27" s="12">
        <f t="shared" si="30"/>
        <v>4.0111945616728981</v>
      </c>
      <c r="E27" s="12">
        <f t="shared" si="30"/>
        <v>3.5900023539161441</v>
      </c>
      <c r="F27" s="12">
        <f t="shared" si="30"/>
        <v>1.8766807345946619</v>
      </c>
      <c r="G27" s="12">
        <f t="shared" si="30"/>
        <v>0.98392611271832797</v>
      </c>
      <c r="H27" s="12">
        <f t="shared" si="30"/>
        <v>1.9495974593868575</v>
      </c>
      <c r="I27" s="12">
        <f t="shared" si="30"/>
        <v>-2.3095200342258373</v>
      </c>
      <c r="J27" s="12">
        <f t="shared" si="30"/>
        <v>-0.4049489187502841</v>
      </c>
      <c r="K27" s="12">
        <f t="shared" si="30"/>
        <v>4.0856390331110628</v>
      </c>
      <c r="L27" s="12">
        <f t="shared" si="30"/>
        <v>5.0058145392014</v>
      </c>
      <c r="M27" s="12">
        <f t="shared" si="30"/>
        <v>2.0951937299949872</v>
      </c>
      <c r="N27" s="12">
        <f t="shared" si="30"/>
        <v>2.9977725817230891</v>
      </c>
      <c r="O27" s="12">
        <f t="shared" si="29"/>
        <v>4.5250000000000004</v>
      </c>
      <c r="P27" s="12"/>
    </row>
    <row r="28" spans="1:16">
      <c r="A28" s="8">
        <f t="shared" si="26"/>
        <v>2011</v>
      </c>
      <c r="C28" s="12">
        <f t="shared" ref="C28:N28" si="31">(C13-C12)/C12*100</f>
        <v>16.229216547651852</v>
      </c>
      <c r="D28" s="12">
        <f t="shared" si="31"/>
        <v>3.5589624319056017</v>
      </c>
      <c r="E28" s="12">
        <f t="shared" si="31"/>
        <v>4.194789563282268</v>
      </c>
      <c r="F28" s="12">
        <f t="shared" si="31"/>
        <v>1.6319724951622296</v>
      </c>
      <c r="G28" s="12">
        <f t="shared" si="31"/>
        <v>2.3216238988893143</v>
      </c>
      <c r="H28" s="12">
        <f t="shared" si="31"/>
        <v>12.234821417873398</v>
      </c>
      <c r="I28" s="12">
        <f t="shared" si="31"/>
        <v>-10.354046376485456</v>
      </c>
      <c r="J28" s="12">
        <f t="shared" si="31"/>
        <v>0.61397595770114288</v>
      </c>
      <c r="K28" s="12">
        <f t="shared" si="31"/>
        <v>14.362846350526615</v>
      </c>
      <c r="L28" s="12">
        <f t="shared" si="31"/>
        <v>13.592036676925249</v>
      </c>
      <c r="M28" s="12">
        <f t="shared" si="31"/>
        <v>1.8960469716703601</v>
      </c>
      <c r="N28" s="12">
        <f t="shared" si="31"/>
        <v>1.2092639716498126</v>
      </c>
      <c r="O28" s="12">
        <f t="shared" si="29"/>
        <v>4.7583333333333329</v>
      </c>
      <c r="P28" s="12"/>
    </row>
    <row r="29" spans="1:16">
      <c r="A29" s="8">
        <f t="shared" si="26"/>
        <v>2012</v>
      </c>
      <c r="C29" s="12">
        <f t="shared" ref="C29:N29" si="32">(C14-C13)/C13*100</f>
        <v>9.9476495645800878</v>
      </c>
      <c r="D29" s="12">
        <f t="shared" si="32"/>
        <v>2.8062301206934346</v>
      </c>
      <c r="E29" s="12">
        <f t="shared" si="32"/>
        <v>2.6974343637254345</v>
      </c>
      <c r="F29" s="12">
        <f t="shared" si="32"/>
        <v>-5.1005025357861493</v>
      </c>
      <c r="G29" s="12">
        <f t="shared" si="32"/>
        <v>2.8178583641610988</v>
      </c>
      <c r="H29" s="12">
        <f t="shared" si="32"/>
        <v>6.9464850870445227</v>
      </c>
      <c r="I29" s="12">
        <f t="shared" si="32"/>
        <v>-6.5942430143502904</v>
      </c>
      <c r="J29" s="12">
        <f t="shared" si="32"/>
        <v>-0.10582603490106607</v>
      </c>
      <c r="K29" s="12">
        <f t="shared" si="32"/>
        <v>15.856935497514948</v>
      </c>
      <c r="L29" s="12">
        <f t="shared" si="32"/>
        <v>6.9343899142176522</v>
      </c>
      <c r="M29" s="12">
        <f t="shared" si="32"/>
        <v>8.3316907546967496</v>
      </c>
      <c r="N29" s="12">
        <f t="shared" si="32"/>
        <v>-1.1309556192551093E-2</v>
      </c>
      <c r="O29" s="12">
        <f t="shared" si="29"/>
        <v>5.7</v>
      </c>
      <c r="P29" s="12"/>
    </row>
    <row r="30" spans="1:16">
      <c r="A30" s="8">
        <f t="shared" si="26"/>
        <v>2013</v>
      </c>
      <c r="C30" s="12">
        <f t="shared" ref="C30:N30" si="33">(C15-C14)/C14*100</f>
        <v>6.2228048923457786</v>
      </c>
      <c r="D30" s="12">
        <f t="shared" si="33"/>
        <v>1.7394447202940537</v>
      </c>
      <c r="E30" s="12">
        <f t="shared" si="33"/>
        <v>1.5456405346481705</v>
      </c>
      <c r="F30" s="12">
        <f t="shared" si="33"/>
        <v>1.8466393306906395</v>
      </c>
      <c r="G30" s="12">
        <f t="shared" si="33"/>
        <v>-5.141219193931641</v>
      </c>
      <c r="H30" s="12">
        <f t="shared" si="33"/>
        <v>4.406707923733566</v>
      </c>
      <c r="I30" s="12">
        <f t="shared" si="33"/>
        <v>-4.4031640497893081</v>
      </c>
      <c r="J30" s="12">
        <f t="shared" si="33"/>
        <v>-0.19049070513279587</v>
      </c>
      <c r="K30" s="12">
        <f t="shared" si="33"/>
        <v>4.2968188154407017</v>
      </c>
      <c r="L30" s="12">
        <f t="shared" si="33"/>
        <v>11.979939010085236</v>
      </c>
      <c r="M30" s="12">
        <f t="shared" si="33"/>
        <v>-0.10525100396148337</v>
      </c>
      <c r="N30" s="12">
        <f t="shared" si="33"/>
        <v>7.2535867062140404</v>
      </c>
      <c r="O30" s="12">
        <f t="shared" si="29"/>
        <v>5.62</v>
      </c>
      <c r="P30" s="12"/>
    </row>
    <row r="31" spans="1:16">
      <c r="C31" s="12"/>
    </row>
    <row r="32" spans="1:16">
      <c r="A32" s="360" t="s">
        <v>28</v>
      </c>
      <c r="B32" s="361" t="e">
        <f>AVERAGE(B16:B27)</f>
        <v>#DIV/0!</v>
      </c>
      <c r="C32" s="361">
        <f>AVERAGE(C18:C30)</f>
        <v>12.032714489169839</v>
      </c>
      <c r="D32" s="361">
        <f t="shared" ref="D32:O32" si="34">AVERAGE(D18:D30)</f>
        <v>3.5135800301155617</v>
      </c>
      <c r="E32" s="361">
        <f t="shared" si="34"/>
        <v>2.8690731383577375</v>
      </c>
      <c r="F32" s="361">
        <f t="shared" si="34"/>
        <v>1.3197443900516663</v>
      </c>
      <c r="G32" s="361">
        <f t="shared" si="34"/>
        <v>1.8126955573239654</v>
      </c>
      <c r="H32" s="361">
        <f t="shared" si="34"/>
        <v>8.2310974924868123</v>
      </c>
      <c r="I32" s="361">
        <f t="shared" si="34"/>
        <v>-7.682538591525911</v>
      </c>
      <c r="J32" s="361">
        <f t="shared" si="34"/>
        <v>-0.58899399888245751</v>
      </c>
      <c r="K32" s="361">
        <f t="shared" si="34"/>
        <v>10.633118131497724</v>
      </c>
      <c r="L32" s="361">
        <f t="shared" si="34"/>
        <v>10.068874057158752</v>
      </c>
      <c r="M32" s="361">
        <f t="shared" si="34"/>
        <v>2.2392716247546889</v>
      </c>
      <c r="N32" s="361">
        <f t="shared" si="34"/>
        <v>1.731128458784073</v>
      </c>
      <c r="O32" s="361">
        <f t="shared" si="34"/>
        <v>5.8816666666666659</v>
      </c>
      <c r="P32" s="12"/>
    </row>
    <row r="33" spans="1:16">
      <c r="A33" s="360" t="s">
        <v>408</v>
      </c>
      <c r="B33" s="361" t="e">
        <f>MEDIAN(B16:B27)</f>
        <v>#NUM!</v>
      </c>
      <c r="C33" s="361">
        <f>MEDIAN(C18:C30)</f>
        <v>13.586072752082872</v>
      </c>
      <c r="D33" s="361">
        <f t="shared" ref="D33:O33" si="35">MEDIAN(D18:D30)</f>
        <v>3.973129346130889</v>
      </c>
      <c r="E33" s="361">
        <f t="shared" si="35"/>
        <v>2.9800543201634633</v>
      </c>
      <c r="F33" s="361">
        <f t="shared" si="35"/>
        <v>0.95994765766497892</v>
      </c>
      <c r="G33" s="361">
        <f t="shared" si="35"/>
        <v>1.747967871740483</v>
      </c>
      <c r="H33" s="361">
        <f t="shared" si="35"/>
        <v>10.059289437838816</v>
      </c>
      <c r="I33" s="361">
        <f t="shared" si="35"/>
        <v>-9.5774500034415357</v>
      </c>
      <c r="J33" s="361">
        <f t="shared" si="35"/>
        <v>-0.53119675487156159</v>
      </c>
      <c r="K33" s="361">
        <f t="shared" si="35"/>
        <v>11.1210425293071</v>
      </c>
      <c r="L33" s="361">
        <f t="shared" si="35"/>
        <v>11.50615593603613</v>
      </c>
      <c r="M33" s="361">
        <f t="shared" si="35"/>
        <v>2.0951937299949872</v>
      </c>
      <c r="N33" s="361">
        <f t="shared" si="35"/>
        <v>2.4577552614614611</v>
      </c>
      <c r="O33" s="361">
        <f t="shared" si="35"/>
        <v>5.7</v>
      </c>
      <c r="P33" s="12"/>
    </row>
    <row r="34" spans="1:16">
      <c r="A34" s="360" t="s">
        <v>406</v>
      </c>
      <c r="B34" s="361" t="e">
        <f>STDEV(B16:B27)</f>
        <v>#DIV/0!</v>
      </c>
      <c r="C34" s="361">
        <f>STDEV(C18:C30)</f>
        <v>8.70529719669603</v>
      </c>
      <c r="D34" s="361">
        <f t="shared" ref="D34:O34" si="36">STDEV(D18:D30)</f>
        <v>2.0501359211900656</v>
      </c>
      <c r="E34" s="361">
        <f t="shared" si="36"/>
        <v>1.471898682655904</v>
      </c>
      <c r="F34" s="361">
        <f t="shared" si="36"/>
        <v>2.7625521660294816</v>
      </c>
      <c r="G34" s="361">
        <f t="shared" si="36"/>
        <v>2.7195137915347272</v>
      </c>
      <c r="H34" s="361">
        <f t="shared" si="36"/>
        <v>8.185103259313097</v>
      </c>
      <c r="I34" s="361">
        <f t="shared" si="36"/>
        <v>7.0568678946111056</v>
      </c>
      <c r="J34" s="361">
        <f t="shared" si="36"/>
        <v>2.3343955133575633</v>
      </c>
      <c r="K34" s="361">
        <f t="shared" si="36"/>
        <v>8.9167788272557758</v>
      </c>
      <c r="L34" s="361">
        <f t="shared" si="36"/>
        <v>8.4729418747922463</v>
      </c>
      <c r="M34" s="361">
        <f t="shared" si="36"/>
        <v>3.554406667511433</v>
      </c>
      <c r="N34" s="361">
        <f t="shared" si="36"/>
        <v>3.1483631903473057</v>
      </c>
      <c r="O34" s="361">
        <f t="shared" si="36"/>
        <v>2.5344376248142484</v>
      </c>
      <c r="P34" s="12"/>
    </row>
    <row r="35" spans="1:16">
      <c r="A35" s="360" t="s">
        <v>407</v>
      </c>
      <c r="B35" s="361">
        <f>MAX(B16:B27)-MIN(B16:B27)</f>
        <v>0</v>
      </c>
      <c r="C35" s="361">
        <f>MAX(C18:C30)-MIN(C18:C30)</f>
        <v>35.344421927700907</v>
      </c>
      <c r="D35" s="361">
        <f t="shared" ref="D35:O35" si="37">MAX(D18:D30)-MIN(D18:D30)</f>
        <v>7.6762798082262229</v>
      </c>
      <c r="E35" s="361">
        <f t="shared" si="37"/>
        <v>4.5086362645410638</v>
      </c>
      <c r="F35" s="361">
        <f t="shared" si="37"/>
        <v>12.998226697425597</v>
      </c>
      <c r="G35" s="361">
        <f t="shared" si="37"/>
        <v>13.038943355571091</v>
      </c>
      <c r="H35" s="361">
        <f t="shared" si="37"/>
        <v>32.746036636592727</v>
      </c>
      <c r="I35" s="361">
        <f t="shared" si="37"/>
        <v>28.15358044035009</v>
      </c>
      <c r="J35" s="361">
        <f t="shared" si="37"/>
        <v>9.1542354149191816</v>
      </c>
      <c r="K35" s="361">
        <f t="shared" si="37"/>
        <v>35.553159380187395</v>
      </c>
      <c r="L35" s="361">
        <f t="shared" si="37"/>
        <v>35.268066518516576</v>
      </c>
      <c r="M35" s="361">
        <f t="shared" si="37"/>
        <v>13.345322742068859</v>
      </c>
      <c r="N35" s="361">
        <f t="shared" si="37"/>
        <v>11.76260934483143</v>
      </c>
      <c r="O35" s="361">
        <f t="shared" si="37"/>
        <v>10.091666666666669</v>
      </c>
      <c r="P35" s="12"/>
    </row>
    <row r="36" spans="1:16">
      <c r="C36" s="12"/>
      <c r="K36" s="12"/>
      <c r="L36" s="12"/>
    </row>
    <row r="37" spans="1:16" hidden="1">
      <c r="A37" s="8">
        <v>1996</v>
      </c>
    </row>
    <row r="38" spans="1:16" hidden="1">
      <c r="A38" s="8">
        <v>2001</v>
      </c>
      <c r="C38" s="10">
        <f>SocioEcon!D105</f>
        <v>88388164800</v>
      </c>
      <c r="D38" s="11">
        <f>C38/D3</f>
        <v>0.40346337777158497</v>
      </c>
    </row>
    <row r="39" spans="1:16" hidden="1">
      <c r="A39" s="8">
        <v>2007</v>
      </c>
      <c r="C39" s="10">
        <v>129071323200</v>
      </c>
      <c r="D39" s="11">
        <f>C39/D10</f>
        <v>0.43572128921889636</v>
      </c>
    </row>
    <row r="40" spans="1:16" hidden="1">
      <c r="D40" s="11">
        <f>((C39-C38)/C38)/7</f>
        <v>6.5754049590003152E-2</v>
      </c>
      <c r="E40" s="11">
        <f>D40-P10</f>
        <v>6.5754049590003152E-2</v>
      </c>
    </row>
    <row r="41" spans="1:16" hidden="1"/>
    <row r="42" spans="1:16" ht="27" hidden="1" customHeight="1">
      <c r="E42" s="16" t="str">
        <f>D1</f>
        <v>KZN GDP</v>
      </c>
      <c r="F42" s="16" t="str">
        <f>C1</f>
        <v>KZN Budget</v>
      </c>
      <c r="G42" s="16" t="str">
        <f t="shared" ref="G42:H51" si="38">F1</f>
        <v>KZN Population (All Ages)</v>
      </c>
      <c r="H42" s="16" t="str">
        <f t="shared" si="38"/>
        <v>KZN Population (15-65)</v>
      </c>
      <c r="K42" s="16" t="str">
        <f>M1</f>
        <v>KZN GDP Per Capita (All Ages)</v>
      </c>
      <c r="L42" s="16" t="str">
        <f>N1</f>
        <v>KZN GDP Per Capita (15-65)</v>
      </c>
      <c r="M42" s="16" t="str">
        <f>K1</f>
        <v>KZN Budget per Capita (All Ages)</v>
      </c>
      <c r="N42" s="16" t="str">
        <f>L1</f>
        <v>KZN Budget per Capita (15-65)</v>
      </c>
    </row>
    <row r="43" spans="1:16" hidden="1">
      <c r="D43" s="8">
        <f>A2</f>
        <v>2000</v>
      </c>
      <c r="E43" s="15">
        <f t="shared" ref="E43:E51" si="39">D2</f>
        <v>209731886752.28973</v>
      </c>
      <c r="F43" s="15">
        <f t="shared" ref="F43:F51" si="40">C2</f>
        <v>21799650000</v>
      </c>
      <c r="G43" s="10">
        <f t="shared" si="38"/>
        <v>8857615</v>
      </c>
      <c r="H43" s="10">
        <f t="shared" si="38"/>
        <v>5179802.4874254027</v>
      </c>
      <c r="J43" s="8">
        <f>D43</f>
        <v>2000</v>
      </c>
      <c r="K43" s="9">
        <f>M2</f>
        <v>23678.144370949711</v>
      </c>
      <c r="L43" s="9">
        <f>N2</f>
        <v>40490.325115955537</v>
      </c>
      <c r="M43" s="9">
        <f>K2</f>
        <v>2461.1196128980546</v>
      </c>
      <c r="N43" s="9">
        <f>L2</f>
        <v>4208.5871136826718</v>
      </c>
    </row>
    <row r="44" spans="1:16" hidden="1">
      <c r="D44" s="8">
        <f t="shared" ref="D44:D51" si="41">A3</f>
        <v>2001</v>
      </c>
      <c r="E44" s="15">
        <f t="shared" si="39"/>
        <v>219073575619.64322</v>
      </c>
      <c r="F44" s="15">
        <f t="shared" si="40"/>
        <v>25061194000</v>
      </c>
      <c r="G44" s="10">
        <f t="shared" si="38"/>
        <v>9557165</v>
      </c>
      <c r="H44" s="10">
        <f t="shared" si="38"/>
        <v>5588889</v>
      </c>
      <c r="J44" s="8">
        <f t="shared" ref="J44:J51" si="42">D44</f>
        <v>2001</v>
      </c>
      <c r="K44" s="9">
        <f t="shared" ref="K44:K51" si="43">M3</f>
        <v>22922.443592806361</v>
      </c>
      <c r="L44" s="9">
        <f t="shared" ref="L44:L51" si="44">N3</f>
        <v>39198.054500571263</v>
      </c>
      <c r="M44" s="9">
        <f t="shared" ref="M44:M51" si="45">K3</f>
        <v>2622.2414282896652</v>
      </c>
      <c r="N44" s="9">
        <f t="shared" ref="N44:N51" si="46">L3</f>
        <v>4484.1101693019846</v>
      </c>
    </row>
    <row r="45" spans="1:16" hidden="1">
      <c r="D45" s="8">
        <f t="shared" si="41"/>
        <v>2002</v>
      </c>
      <c r="E45" s="15">
        <f t="shared" si="39"/>
        <v>224523013157.06317</v>
      </c>
      <c r="F45" s="15">
        <f t="shared" si="40"/>
        <v>22429241000</v>
      </c>
      <c r="G45" s="10">
        <f t="shared" si="38"/>
        <v>9659485</v>
      </c>
      <c r="H45" s="10">
        <f t="shared" si="38"/>
        <v>5699908</v>
      </c>
      <c r="J45" s="8">
        <f t="shared" si="42"/>
        <v>2002</v>
      </c>
      <c r="K45" s="9">
        <f t="shared" si="43"/>
        <v>23243.787133275033</v>
      </c>
      <c r="L45" s="9">
        <f t="shared" si="44"/>
        <v>39390.638086976694</v>
      </c>
      <c r="M45" s="9">
        <f t="shared" si="45"/>
        <v>2321.9913898101195</v>
      </c>
      <c r="N45" s="9">
        <f t="shared" si="46"/>
        <v>3935.0180739759307</v>
      </c>
    </row>
    <row r="46" spans="1:16" hidden="1">
      <c r="D46" s="8">
        <f t="shared" si="41"/>
        <v>2003</v>
      </c>
      <c r="E46" s="15">
        <f t="shared" si="39"/>
        <v>230682272127.7204</v>
      </c>
      <c r="F46" s="15">
        <f t="shared" si="40"/>
        <v>25476494000</v>
      </c>
      <c r="G46" s="10">
        <f t="shared" si="38"/>
        <v>9752211</v>
      </c>
      <c r="H46" s="10">
        <f t="shared" si="38"/>
        <v>5806228</v>
      </c>
      <c r="J46" s="8">
        <f t="shared" si="42"/>
        <v>2003</v>
      </c>
      <c r="K46" s="9">
        <f t="shared" si="43"/>
        <v>23654.356138081959</v>
      </c>
      <c r="L46" s="9">
        <f t="shared" si="44"/>
        <v>39730.143585081467</v>
      </c>
      <c r="M46" s="9">
        <f t="shared" si="45"/>
        <v>2612.3813358837292</v>
      </c>
      <c r="N46" s="9">
        <f t="shared" si="46"/>
        <v>4387.7873896788069</v>
      </c>
    </row>
    <row r="47" spans="1:16" hidden="1">
      <c r="D47" s="8">
        <f t="shared" si="41"/>
        <v>2004</v>
      </c>
      <c r="E47" s="15">
        <f t="shared" si="39"/>
        <v>241055469101.39075</v>
      </c>
      <c r="F47" s="15">
        <f t="shared" si="40"/>
        <v>28014475000</v>
      </c>
      <c r="G47" s="10">
        <f t="shared" si="38"/>
        <v>9835710</v>
      </c>
      <c r="H47" s="10">
        <f t="shared" si="38"/>
        <v>5907719</v>
      </c>
      <c r="J47" s="8">
        <f t="shared" si="42"/>
        <v>2004</v>
      </c>
      <c r="K47" s="9">
        <f t="shared" si="43"/>
        <v>24508.191996448732</v>
      </c>
      <c r="L47" s="9">
        <f t="shared" si="44"/>
        <v>40803.475774895647</v>
      </c>
      <c r="M47" s="9">
        <f t="shared" si="45"/>
        <v>2848.241255588056</v>
      </c>
      <c r="N47" s="9">
        <f t="shared" si="46"/>
        <v>4742.0121031484405</v>
      </c>
    </row>
    <row r="48" spans="1:16" hidden="1">
      <c r="D48" s="8">
        <f t="shared" si="41"/>
        <v>2005</v>
      </c>
      <c r="E48" s="15">
        <f t="shared" si="39"/>
        <v>254938581202.70999</v>
      </c>
      <c r="F48" s="15">
        <f t="shared" si="40"/>
        <v>33307079000</v>
      </c>
      <c r="G48" s="10">
        <f t="shared" si="38"/>
        <v>9910636</v>
      </c>
      <c r="H48" s="10">
        <f t="shared" si="38"/>
        <v>6005404</v>
      </c>
      <c r="J48" s="8">
        <f t="shared" si="42"/>
        <v>2005</v>
      </c>
      <c r="K48" s="9">
        <f t="shared" si="43"/>
        <v>25723.735712088506</v>
      </c>
      <c r="L48" s="9">
        <f t="shared" si="44"/>
        <v>42451.528856794648</v>
      </c>
      <c r="M48" s="9">
        <f t="shared" si="45"/>
        <v>3360.7408243022951</v>
      </c>
      <c r="N48" s="9">
        <f t="shared" si="46"/>
        <v>5546.1845697641656</v>
      </c>
    </row>
    <row r="49" spans="4:14" hidden="1">
      <c r="D49" s="8">
        <f t="shared" si="41"/>
        <v>2006</v>
      </c>
      <c r="E49" s="15">
        <f t="shared" si="39"/>
        <v>269045168756.13422</v>
      </c>
      <c r="F49" s="15">
        <f t="shared" si="40"/>
        <v>36881397000</v>
      </c>
      <c r="G49" s="10">
        <f t="shared" si="38"/>
        <v>9974344</v>
      </c>
      <c r="H49" s="10">
        <f t="shared" si="38"/>
        <v>6095237</v>
      </c>
      <c r="I49" s="15"/>
      <c r="J49" s="8">
        <f t="shared" si="42"/>
        <v>2006</v>
      </c>
      <c r="K49" s="9">
        <f t="shared" si="43"/>
        <v>26973.720653321583</v>
      </c>
      <c r="L49" s="9">
        <f t="shared" si="44"/>
        <v>44140.230930501013</v>
      </c>
      <c r="M49" s="9">
        <f t="shared" si="45"/>
        <v>3697.6263301125368</v>
      </c>
      <c r="N49" s="9">
        <f t="shared" si="46"/>
        <v>6050.8552825755587</v>
      </c>
    </row>
    <row r="50" spans="4:14" hidden="1">
      <c r="D50" s="8">
        <f t="shared" si="41"/>
        <v>2007</v>
      </c>
      <c r="E50" s="15">
        <f t="shared" si="39"/>
        <v>284904866117.12146</v>
      </c>
      <c r="F50" s="15">
        <f t="shared" si="40"/>
        <v>44482953000</v>
      </c>
      <c r="G50" s="10">
        <f t="shared" si="38"/>
        <v>10045594</v>
      </c>
      <c r="H50" s="10">
        <f t="shared" si="38"/>
        <v>6192803</v>
      </c>
      <c r="J50" s="8">
        <f t="shared" si="42"/>
        <v>2007</v>
      </c>
      <c r="K50" s="9">
        <f t="shared" si="43"/>
        <v>28361.176662835613</v>
      </c>
      <c r="L50" s="9">
        <f t="shared" si="44"/>
        <v>46005.801592125805</v>
      </c>
      <c r="M50" s="9">
        <f t="shared" si="45"/>
        <v>4428.1057944408267</v>
      </c>
      <c r="N50" s="9">
        <f t="shared" si="46"/>
        <v>7183.0079206459495</v>
      </c>
    </row>
    <row r="51" spans="4:14" hidden="1">
      <c r="D51" s="8">
        <f t="shared" si="41"/>
        <v>2008</v>
      </c>
      <c r="E51" s="15">
        <f t="shared" si="39"/>
        <v>296224504961.37573</v>
      </c>
      <c r="F51" s="15">
        <f t="shared" si="40"/>
        <v>55533549000</v>
      </c>
      <c r="G51" s="10">
        <f t="shared" si="38"/>
        <v>10105436</v>
      </c>
      <c r="H51" s="10">
        <f t="shared" si="38"/>
        <v>6284396</v>
      </c>
      <c r="J51" s="8">
        <f t="shared" si="42"/>
        <v>2008</v>
      </c>
      <c r="K51" s="9">
        <f t="shared" si="43"/>
        <v>29313.381922499506</v>
      </c>
      <c r="L51" s="9">
        <f t="shared" si="44"/>
        <v>47136.511601333797</v>
      </c>
      <c r="M51" s="9">
        <f t="shared" si="45"/>
        <v>5495.4134586573009</v>
      </c>
      <c r="N51" s="9">
        <f t="shared" si="46"/>
        <v>8836.7361000166129</v>
      </c>
    </row>
    <row r="52" spans="4:14" hidden="1">
      <c r="E52" s="12"/>
      <c r="F52" s="12"/>
      <c r="G52" s="12"/>
      <c r="H52" s="12"/>
    </row>
    <row r="53" spans="4:14" ht="19.5" hidden="1" customHeight="1">
      <c r="D53" s="8" t="s">
        <v>32</v>
      </c>
      <c r="E53" s="15">
        <f>AVERAGE(E43:E51)</f>
        <v>247797704199.49435</v>
      </c>
      <c r="F53" s="15">
        <f>AVERAGE(F43:F51)</f>
        <v>32554003555.555557</v>
      </c>
      <c r="G53" s="10">
        <f>AVERAGE(G43:G51)</f>
        <v>9744244</v>
      </c>
      <c r="H53" s="10">
        <f>AVERAGE(H43:H51)</f>
        <v>5862265.1652694894</v>
      </c>
      <c r="I53" s="10"/>
      <c r="J53" s="16" t="str">
        <f>D53</f>
        <v>Average Real Value</v>
      </c>
      <c r="K53" s="9">
        <f>AVERAGE(K43:K51)</f>
        <v>25375.437575811891</v>
      </c>
      <c r="L53" s="9">
        <f>AVERAGE(L43:L51)</f>
        <v>42149.634449359539</v>
      </c>
      <c r="M53" s="9">
        <f>AVERAGE(M43:M51)</f>
        <v>3316.4290477758427</v>
      </c>
      <c r="N53" s="9">
        <f>AVERAGE(N43:N51)</f>
        <v>5486.0331914211247</v>
      </c>
    </row>
    <row r="54" spans="4:14" ht="42.75" hidden="1">
      <c r="D54" s="16" t="s">
        <v>33</v>
      </c>
      <c r="E54" s="12">
        <f>D32</f>
        <v>3.5135800301155617</v>
      </c>
      <c r="F54" s="12">
        <f>C32-P10</f>
        <v>12.032714489169839</v>
      </c>
      <c r="G54" s="12">
        <f>F32</f>
        <v>1.3197443900516663</v>
      </c>
      <c r="H54" s="12">
        <f>G32</f>
        <v>1.8126955573239654</v>
      </c>
      <c r="I54" s="12"/>
      <c r="J54" s="16" t="str">
        <f>D54</f>
        <v>Average Year-on-Year Percentage Change</v>
      </c>
      <c r="K54" s="12">
        <f>M32</f>
        <v>2.2392716247546889</v>
      </c>
      <c r="L54" s="12">
        <f>N32</f>
        <v>1.731128458784073</v>
      </c>
      <c r="M54" s="12">
        <f>O32</f>
        <v>5.8816666666666659</v>
      </c>
      <c r="N54" s="12">
        <f>P32</f>
        <v>0</v>
      </c>
    </row>
    <row r="55" spans="4:14">
      <c r="H55" s="14"/>
    </row>
    <row r="56" spans="4:14">
      <c r="H56" s="14"/>
    </row>
    <row r="57" spans="4:14">
      <c r="H57" s="14"/>
    </row>
    <row r="76" spans="3:5" ht="15" thickBot="1"/>
    <row r="77" spans="3:5" ht="15.75" thickBot="1">
      <c r="C77" s="222"/>
      <c r="D77" s="229" t="s">
        <v>209</v>
      </c>
      <c r="E77" s="230" t="s">
        <v>210</v>
      </c>
    </row>
    <row r="78" spans="3:5">
      <c r="C78" s="222">
        <f t="shared" ref="C78:C83" si="47">A18</f>
        <v>2001</v>
      </c>
      <c r="D78" s="385">
        <f>C18-O3</f>
        <v>9.2364512159598924</v>
      </c>
      <c r="E78" s="386">
        <f t="shared" ref="E78:E85" si="48">D18</f>
        <v>4.4541099648747133</v>
      </c>
    </row>
    <row r="79" spans="3:5">
      <c r="C79" s="223">
        <f t="shared" si="47"/>
        <v>2002</v>
      </c>
      <c r="D79" s="224">
        <f>C19-O4+10</f>
        <v>-9.6521053665679304</v>
      </c>
      <c r="E79" s="225">
        <f t="shared" si="48"/>
        <v>2.4874919405530207</v>
      </c>
    </row>
    <row r="80" spans="3:5">
      <c r="C80" s="223">
        <f t="shared" si="47"/>
        <v>2003</v>
      </c>
      <c r="D80" s="224">
        <f t="shared" ref="D80:D86" si="49">C20-O5</f>
        <v>7.6194060854162062</v>
      </c>
      <c r="E80" s="225">
        <f t="shared" si="48"/>
        <v>2.7432639906487308</v>
      </c>
    </row>
    <row r="81" spans="3:5">
      <c r="C81" s="223">
        <f t="shared" si="47"/>
        <v>2004</v>
      </c>
      <c r="D81" s="224">
        <f t="shared" si="49"/>
        <v>8.5703830565016794</v>
      </c>
      <c r="E81" s="225">
        <f t="shared" si="48"/>
        <v>4.4967464894428852</v>
      </c>
    </row>
    <row r="82" spans="3:5">
      <c r="C82" s="223">
        <f t="shared" si="47"/>
        <v>2005</v>
      </c>
      <c r="D82" s="224">
        <f t="shared" si="49"/>
        <v>15.492390451721834</v>
      </c>
      <c r="E82" s="225">
        <f t="shared" si="48"/>
        <v>5.7593018540806655</v>
      </c>
    </row>
    <row r="83" spans="3:5">
      <c r="C83" s="223">
        <f t="shared" si="47"/>
        <v>2006</v>
      </c>
      <c r="D83" s="224">
        <f t="shared" si="49"/>
        <v>6.2980730442718604</v>
      </c>
      <c r="E83" s="225">
        <f t="shared" si="48"/>
        <v>5.533327865431092</v>
      </c>
    </row>
    <row r="84" spans="3:5">
      <c r="C84" s="223">
        <f>A24</f>
        <v>2007</v>
      </c>
      <c r="D84" s="224">
        <f t="shared" si="49"/>
        <v>13.710813630514048</v>
      </c>
      <c r="E84" s="225">
        <f t="shared" si="48"/>
        <v>5.8948084570002681</v>
      </c>
    </row>
    <row r="85" spans="3:5">
      <c r="C85" s="223">
        <f>A25</f>
        <v>2008</v>
      </c>
      <c r="D85" s="224">
        <f t="shared" si="49"/>
        <v>13.358983227799644</v>
      </c>
      <c r="E85" s="225">
        <f t="shared" si="48"/>
        <v>3.973129346130889</v>
      </c>
    </row>
    <row r="86" spans="3:5">
      <c r="C86" s="223">
        <f>A26</f>
        <v>2009</v>
      </c>
      <c r="D86" s="224">
        <f t="shared" si="49"/>
        <v>7.4938945073544643</v>
      </c>
      <c r="E86" s="225">
        <f>D26-P11</f>
        <v>-1.7814713512259546</v>
      </c>
    </row>
    <row r="87" spans="3:5">
      <c r="C87" s="223">
        <f>A27</f>
        <v>2010</v>
      </c>
      <c r="D87" s="224">
        <f t="shared" ref="D87:E87" si="50">C27-O12</f>
        <v>1.5139941683251887</v>
      </c>
      <c r="E87" s="225">
        <f t="shared" si="50"/>
        <v>4.0111945616728981</v>
      </c>
    </row>
    <row r="88" spans="3:5">
      <c r="C88" s="223">
        <f t="shared" ref="C88:C90" si="51">A28</f>
        <v>2011</v>
      </c>
      <c r="D88" s="224">
        <f t="shared" ref="D88:E88" si="52">C28-O13</f>
        <v>11.470883214318519</v>
      </c>
      <c r="E88" s="225">
        <f t="shared" si="52"/>
        <v>3.5589624319056017</v>
      </c>
    </row>
    <row r="89" spans="3:5">
      <c r="C89" s="223">
        <f t="shared" si="51"/>
        <v>2012</v>
      </c>
      <c r="D89" s="224">
        <f t="shared" ref="D89:E89" si="53">C29-O14</f>
        <v>4.2476495645800876</v>
      </c>
      <c r="E89" s="225">
        <f t="shared" si="53"/>
        <v>2.8062301206934346</v>
      </c>
    </row>
    <row r="90" spans="3:5" ht="15" thickBot="1">
      <c r="C90" s="226">
        <f t="shared" si="51"/>
        <v>2013</v>
      </c>
      <c r="D90" s="227">
        <f t="shared" ref="D90:E90" si="54">C30-O15</f>
        <v>0.6028048923457785</v>
      </c>
      <c r="E90" s="228">
        <f t="shared" si="54"/>
        <v>1.7394447202940537</v>
      </c>
    </row>
    <row r="129" spans="8:10" ht="15" thickBot="1"/>
    <row r="130" spans="8:10" ht="38.25" customHeight="1" thickBot="1">
      <c r="I130" s="433" t="s">
        <v>38</v>
      </c>
      <c r="J130" s="434"/>
    </row>
    <row r="131" spans="8:10">
      <c r="H131" s="231">
        <v>2000</v>
      </c>
      <c r="I131" s="362">
        <v>22.28</v>
      </c>
      <c r="J131" s="232">
        <f>I131/100</f>
        <v>0.2228</v>
      </c>
    </row>
    <row r="132" spans="8:10">
      <c r="H132" s="231">
        <v>2001</v>
      </c>
      <c r="I132" s="362">
        <v>22</v>
      </c>
      <c r="J132" s="232">
        <f t="shared" ref="J132:J141" si="55">I132/100</f>
        <v>0.22</v>
      </c>
    </row>
    <row r="133" spans="8:10">
      <c r="H133" s="231">
        <v>2002</v>
      </c>
      <c r="I133" s="362">
        <v>22.6</v>
      </c>
      <c r="J133" s="232">
        <f t="shared" si="55"/>
        <v>0.22600000000000001</v>
      </c>
    </row>
    <row r="134" spans="8:10">
      <c r="H134" s="231">
        <v>2003</v>
      </c>
      <c r="I134" s="362">
        <v>23.6</v>
      </c>
      <c r="J134" s="232">
        <f t="shared" si="55"/>
        <v>0.23600000000000002</v>
      </c>
    </row>
    <row r="135" spans="8:10">
      <c r="H135" s="231">
        <v>2004</v>
      </c>
      <c r="I135" s="362">
        <v>23.7</v>
      </c>
      <c r="J135" s="232">
        <f t="shared" si="55"/>
        <v>0.23699999999999999</v>
      </c>
    </row>
    <row r="136" spans="8:10">
      <c r="H136" s="231">
        <v>2005</v>
      </c>
      <c r="I136" s="362">
        <v>24.1</v>
      </c>
      <c r="J136" s="232">
        <f t="shared" si="55"/>
        <v>0.24100000000000002</v>
      </c>
    </row>
    <row r="137" spans="8:10">
      <c r="H137" s="231">
        <v>2006</v>
      </c>
      <c r="I137" s="362">
        <v>24.6</v>
      </c>
      <c r="J137" s="232">
        <f t="shared" si="55"/>
        <v>0.24600000000000002</v>
      </c>
    </row>
    <row r="138" spans="8:10">
      <c r="H138" s="231">
        <v>2007</v>
      </c>
      <c r="I138" s="362">
        <v>24.9</v>
      </c>
      <c r="J138" s="232">
        <f t="shared" si="55"/>
        <v>0.249</v>
      </c>
    </row>
    <row r="139" spans="8:10">
      <c r="H139" s="231">
        <v>2008</v>
      </c>
      <c r="I139" s="362">
        <v>26.9</v>
      </c>
      <c r="J139" s="232">
        <f t="shared" si="55"/>
        <v>0.26899999999999996</v>
      </c>
    </row>
    <row r="140" spans="8:10">
      <c r="H140" s="231">
        <v>2009</v>
      </c>
      <c r="I140" s="362">
        <v>29.1</v>
      </c>
      <c r="J140" s="232">
        <f t="shared" si="55"/>
        <v>0.29100000000000004</v>
      </c>
    </row>
    <row r="141" spans="8:10">
      <c r="H141" s="231">
        <v>2010</v>
      </c>
      <c r="I141" s="362">
        <v>29.2</v>
      </c>
      <c r="J141" s="232">
        <f t="shared" si="55"/>
        <v>0.29199999999999998</v>
      </c>
    </row>
    <row r="142" spans="8:10">
      <c r="H142" s="231">
        <v>2011</v>
      </c>
      <c r="I142" s="362">
        <v>32</v>
      </c>
      <c r="J142" s="232">
        <f>I142/100</f>
        <v>0.32</v>
      </c>
    </row>
    <row r="143" spans="8:10">
      <c r="H143" s="231">
        <v>2012</v>
      </c>
      <c r="I143" s="362">
        <v>34</v>
      </c>
      <c r="J143" s="232">
        <f>I143/100</f>
        <v>0.34</v>
      </c>
    </row>
    <row r="144" spans="8:10">
      <c r="H144" s="231">
        <v>2013</v>
      </c>
      <c r="I144" s="362">
        <v>40</v>
      </c>
      <c r="J144" s="232">
        <v>0.37</v>
      </c>
    </row>
    <row r="153" spans="5:5">
      <c r="E153" s="13"/>
    </row>
    <row r="154" spans="5:5">
      <c r="E154" s="13"/>
    </row>
    <row r="155" spans="5:5">
      <c r="E155" s="13"/>
    </row>
    <row r="156" spans="5:5">
      <c r="E156" s="13"/>
    </row>
    <row r="157" spans="5:5">
      <c r="E157" s="13"/>
    </row>
    <row r="158" spans="5:5">
      <c r="E158" s="13"/>
    </row>
    <row r="159" spans="5:5">
      <c r="E159" s="13"/>
    </row>
    <row r="160" spans="5:5">
      <c r="E160" s="13"/>
    </row>
    <row r="161" spans="5:5">
      <c r="E161" s="13"/>
    </row>
    <row r="162" spans="5:5">
      <c r="E162" s="13"/>
    </row>
  </sheetData>
  <mergeCells count="2">
    <mergeCell ref="C17:O17"/>
    <mergeCell ref="I130:J130"/>
  </mergeCells>
  <phoneticPr fontId="8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153"/>
  <sheetViews>
    <sheetView workbookViewId="0">
      <selection sqref="A1:O1"/>
    </sheetView>
  </sheetViews>
  <sheetFormatPr defaultRowHeight="12.75"/>
  <cols>
    <col min="1" max="2" width="25.375" style="17" customWidth="1"/>
    <col min="3" max="3" width="14.625" style="17" customWidth="1"/>
    <col min="4" max="4" width="14.875" style="17" customWidth="1"/>
    <col min="5" max="5" width="13.75" style="17" bestFit="1" customWidth="1"/>
    <col min="6" max="8" width="13.75" style="23" hidden="1" customWidth="1"/>
    <col min="9" max="9" width="8.875" style="17" customWidth="1"/>
    <col min="10" max="10" width="12.875" style="17" bestFit="1" customWidth="1"/>
    <col min="11" max="11" width="12.875" style="17" customWidth="1"/>
    <col min="12" max="12" width="12.625" style="17" customWidth="1"/>
    <col min="13" max="13" width="12.75" style="17" customWidth="1"/>
    <col min="14" max="14" width="12.75" style="17" hidden="1" customWidth="1"/>
    <col min="15" max="15" width="12" style="17" customWidth="1"/>
    <col min="16" max="16384" width="9" style="17"/>
  </cols>
  <sheetData>
    <row r="1" spans="1:15" ht="53.25" customHeight="1" thickBot="1">
      <c r="A1" s="435" t="s">
        <v>144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29"/>
    </row>
    <row r="2" spans="1:15" ht="18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5" ht="13.5" thickBot="1">
      <c r="A3" s="19" t="s">
        <v>143</v>
      </c>
      <c r="B3" s="20" t="e">
        <f>B105/B9</f>
        <v>#DIV/0!</v>
      </c>
      <c r="C3" s="20">
        <f>C105/C9</f>
        <v>15375.940377591691</v>
      </c>
      <c r="D3" s="22">
        <f>D105/D9</f>
        <v>9222.3471532989588</v>
      </c>
      <c r="E3" s="89"/>
      <c r="F3" s="20">
        <f>E3</f>
        <v>0</v>
      </c>
      <c r="G3" s="21">
        <f>D3</f>
        <v>9222.3471532989588</v>
      </c>
      <c r="H3" s="22">
        <f>C3</f>
        <v>15375.940377591691</v>
      </c>
      <c r="I3" s="24">
        <f>(C3-D3)/D3/7</f>
        <v>9.5321151081704025E-2</v>
      </c>
    </row>
    <row r="4" spans="1:15" ht="39" customHeight="1">
      <c r="A4" s="25" t="s">
        <v>39</v>
      </c>
      <c r="B4" s="26">
        <v>2011</v>
      </c>
      <c r="C4" s="26">
        <v>2007</v>
      </c>
      <c r="D4" s="27">
        <v>2001</v>
      </c>
      <c r="E4" s="28">
        <v>1996</v>
      </c>
      <c r="F4" s="29">
        <f>E4</f>
        <v>1996</v>
      </c>
      <c r="G4" s="29">
        <f>D4</f>
        <v>2001</v>
      </c>
      <c r="H4" s="29">
        <f>C4</f>
        <v>2007</v>
      </c>
      <c r="I4" s="30"/>
      <c r="J4" s="31" t="s">
        <v>97</v>
      </c>
      <c r="K4" s="31" t="s">
        <v>115</v>
      </c>
      <c r="L4" s="31" t="s">
        <v>98</v>
      </c>
      <c r="M4" s="31" t="s">
        <v>112</v>
      </c>
      <c r="N4" s="31"/>
      <c r="O4" s="31" t="s">
        <v>114</v>
      </c>
    </row>
    <row r="5" spans="1:15">
      <c r="A5" s="32" t="s">
        <v>40</v>
      </c>
      <c r="B5" s="33"/>
      <c r="C5" s="33">
        <v>8825222</v>
      </c>
      <c r="D5" s="33">
        <v>8163564</v>
      </c>
      <c r="E5" s="33">
        <v>6880653</v>
      </c>
      <c r="F5" s="34">
        <f t="shared" ref="F5:F68" si="0">E5</f>
        <v>6880653</v>
      </c>
      <c r="G5" s="34">
        <f t="shared" ref="G5:G71" si="1">D5</f>
        <v>8163564</v>
      </c>
      <c r="H5" s="34">
        <f t="shared" ref="H5:H71" si="2">C5</f>
        <v>8825222</v>
      </c>
      <c r="I5" s="35"/>
      <c r="J5" s="36">
        <f>(D5-E5)/E5*100</f>
        <v>18.645192542045063</v>
      </c>
      <c r="K5" s="36">
        <f>(C5-D5)/D5*100</f>
        <v>8.1050139375400256</v>
      </c>
      <c r="L5" s="36">
        <f>E5/$E$9*100</f>
        <v>82.426721452872684</v>
      </c>
      <c r="M5" s="36">
        <f>D5/$D$9*100</f>
        <v>85.177943660816752</v>
      </c>
      <c r="N5" s="36"/>
      <c r="O5" s="36">
        <f>C5/$C$9*100</f>
        <v>86.022264828841926</v>
      </c>
    </row>
    <row r="6" spans="1:15">
      <c r="A6" s="32" t="s">
        <v>41</v>
      </c>
      <c r="B6" s="33"/>
      <c r="C6" s="33">
        <v>145904</v>
      </c>
      <c r="D6" s="33">
        <v>140286</v>
      </c>
      <c r="E6" s="33">
        <v>117950</v>
      </c>
      <c r="F6" s="34">
        <f t="shared" si="0"/>
        <v>117950</v>
      </c>
      <c r="G6" s="34">
        <f t="shared" si="1"/>
        <v>140286</v>
      </c>
      <c r="H6" s="34">
        <f t="shared" si="2"/>
        <v>145904</v>
      </c>
      <c r="I6" s="35"/>
      <c r="J6" s="36">
        <f>(D6-E6)/E6*100</f>
        <v>18.936837643069097</v>
      </c>
      <c r="K6" s="36">
        <f>(C6-D6)/D6*100</f>
        <v>4.004676161555679</v>
      </c>
      <c r="L6" s="36">
        <f>E6/$E$9*100</f>
        <v>1.4129809765681154</v>
      </c>
      <c r="M6" s="36">
        <f>D6/$D$9*100</f>
        <v>1.4637323850711943</v>
      </c>
      <c r="N6" s="36"/>
      <c r="O6" s="36">
        <f>C6/$C$9*100</f>
        <v>1.4221730090854772</v>
      </c>
    </row>
    <row r="7" spans="1:15">
      <c r="A7" s="32" t="s">
        <v>42</v>
      </c>
      <c r="B7" s="33"/>
      <c r="C7" s="33">
        <v>835880</v>
      </c>
      <c r="D7" s="33">
        <v>798164</v>
      </c>
      <c r="E7" s="33">
        <v>790812</v>
      </c>
      <c r="F7" s="34">
        <f t="shared" si="0"/>
        <v>790812</v>
      </c>
      <c r="G7" s="34">
        <f t="shared" si="1"/>
        <v>798164</v>
      </c>
      <c r="H7" s="34">
        <f t="shared" si="2"/>
        <v>835880</v>
      </c>
      <c r="I7" s="35"/>
      <c r="J7" s="36">
        <f>(D7-E7)/E7*100</f>
        <v>0.92967734429927718</v>
      </c>
      <c r="K7" s="36">
        <f>(C7-D7)/D7*100</f>
        <v>4.725344666008489</v>
      </c>
      <c r="L7" s="36">
        <f>E7/$E$9*100</f>
        <v>9.4735253246442088</v>
      </c>
      <c r="M7" s="36">
        <f>D7/$D$9*100</f>
        <v>8.3279763867952958</v>
      </c>
      <c r="N7" s="36"/>
      <c r="O7" s="36">
        <f>C7/$C$9*100</f>
        <v>8.1475900238127039</v>
      </c>
    </row>
    <row r="8" spans="1:15">
      <c r="A8" s="32" t="s">
        <v>43</v>
      </c>
      <c r="B8" s="33"/>
      <c r="C8" s="33">
        <v>452224</v>
      </c>
      <c r="D8" s="33">
        <v>482115</v>
      </c>
      <c r="E8" s="33">
        <v>558185</v>
      </c>
      <c r="F8" s="34">
        <f t="shared" si="0"/>
        <v>558185</v>
      </c>
      <c r="G8" s="34">
        <f t="shared" si="1"/>
        <v>482115</v>
      </c>
      <c r="H8" s="34">
        <f t="shared" si="2"/>
        <v>452224</v>
      </c>
      <c r="I8" s="35"/>
      <c r="J8" s="36">
        <f>(D8-E8)/E8*100</f>
        <v>-13.628098211166547</v>
      </c>
      <c r="K8" s="36">
        <f>(C8-D8)/D8*100</f>
        <v>-6.1999730354790863</v>
      </c>
      <c r="L8" s="36">
        <f>E8/$E$9*100</f>
        <v>6.6867722459149928</v>
      </c>
      <c r="M8" s="36">
        <f>D8/$D$9*100</f>
        <v>5.0303475673167588</v>
      </c>
      <c r="N8" s="36"/>
      <c r="O8" s="36">
        <f>C8/$C$9*100</f>
        <v>4.4079721382598889</v>
      </c>
    </row>
    <row r="9" spans="1:15" ht="13.5" thickBot="1">
      <c r="A9" s="37" t="s">
        <v>44</v>
      </c>
      <c r="B9" s="38">
        <f>SUM(B5:B8)</f>
        <v>0</v>
      </c>
      <c r="C9" s="38">
        <f>SUM(C5:C8)</f>
        <v>10259230</v>
      </c>
      <c r="D9" s="38">
        <f>SUM(D5:D8)</f>
        <v>9584129</v>
      </c>
      <c r="E9" s="38">
        <f>SUM(E5:E8)</f>
        <v>8347600</v>
      </c>
      <c r="F9" s="34">
        <f t="shared" si="0"/>
        <v>8347600</v>
      </c>
      <c r="G9" s="34">
        <f t="shared" si="1"/>
        <v>9584129</v>
      </c>
      <c r="H9" s="34">
        <f t="shared" si="2"/>
        <v>10259230</v>
      </c>
      <c r="I9" s="39"/>
      <c r="J9" s="36">
        <f>(D9-E9)/E9*100/7</f>
        <v>2.116141166323255</v>
      </c>
      <c r="K9" s="36">
        <f>(C9-D9)/D9*100/7</f>
        <v>1.0062781917897807</v>
      </c>
      <c r="L9" s="40">
        <f>E9/$E$9*100</f>
        <v>100</v>
      </c>
      <c r="M9" s="40">
        <f>D9/$D$9*100</f>
        <v>100</v>
      </c>
      <c r="N9" s="40"/>
      <c r="O9" s="40">
        <f>C9/$C$9*100</f>
        <v>100</v>
      </c>
    </row>
    <row r="10" spans="1:15">
      <c r="A10" s="41"/>
      <c r="B10" s="41"/>
      <c r="C10" s="41"/>
      <c r="D10" s="41"/>
      <c r="E10" s="35"/>
      <c r="F10" s="34">
        <f t="shared" si="0"/>
        <v>0</v>
      </c>
      <c r="G10" s="34">
        <f t="shared" si="1"/>
        <v>0</v>
      </c>
      <c r="H10" s="34">
        <f t="shared" si="2"/>
        <v>0</v>
      </c>
      <c r="I10" s="35"/>
      <c r="J10" s="40">
        <f>J9/5</f>
        <v>0.42322823326465098</v>
      </c>
      <c r="K10" s="40">
        <f>K9/6</f>
        <v>0.16771303196496345</v>
      </c>
      <c r="L10" s="36"/>
      <c r="M10" s="36"/>
      <c r="N10" s="36"/>
    </row>
    <row r="11" spans="1:15" ht="25.5">
      <c r="A11" s="41" t="s">
        <v>99</v>
      </c>
      <c r="B11" s="31" t="s">
        <v>430</v>
      </c>
      <c r="C11" s="31" t="s">
        <v>113</v>
      </c>
      <c r="D11" s="31" t="s">
        <v>100</v>
      </c>
      <c r="E11" s="31" t="s">
        <v>101</v>
      </c>
      <c r="F11" s="34"/>
      <c r="G11" s="34"/>
      <c r="H11" s="34"/>
      <c r="I11" s="31"/>
      <c r="J11" s="36"/>
      <c r="K11" s="36"/>
      <c r="L11" s="36"/>
      <c r="M11" s="36"/>
      <c r="N11" s="36"/>
    </row>
    <row r="12" spans="1:15">
      <c r="A12" s="41">
        <v>92304</v>
      </c>
      <c r="B12" s="42">
        <f>B9/A12</f>
        <v>0</v>
      </c>
      <c r="C12" s="42">
        <f>C9/A12</f>
        <v>111.14610417750043</v>
      </c>
      <c r="D12" s="42">
        <f>D9/A12</f>
        <v>103.83221745536488</v>
      </c>
      <c r="E12" s="39">
        <f>E9/A12</f>
        <v>90.43595077136419</v>
      </c>
      <c r="F12" s="34">
        <f t="shared" si="0"/>
        <v>90.43595077136419</v>
      </c>
      <c r="G12" s="34">
        <f t="shared" si="1"/>
        <v>103.83221745536488</v>
      </c>
      <c r="H12" s="34">
        <f t="shared" si="2"/>
        <v>111.14610417750043</v>
      </c>
      <c r="I12" s="39"/>
      <c r="J12" s="36"/>
      <c r="K12" s="40">
        <f>(C9-E9)/E9*100/11</f>
        <v>2.0818504175397177</v>
      </c>
      <c r="L12" s="40">
        <f>(C5-E5)/E5*100</f>
        <v>28.261401933799018</v>
      </c>
      <c r="M12" s="36"/>
      <c r="N12" s="36"/>
    </row>
    <row r="13" spans="1:15">
      <c r="A13" s="41"/>
      <c r="B13" s="41"/>
      <c r="C13" s="41"/>
      <c r="D13" s="41"/>
      <c r="E13" s="35"/>
      <c r="F13" s="34">
        <f t="shared" si="0"/>
        <v>0</v>
      </c>
      <c r="G13" s="34">
        <f t="shared" si="1"/>
        <v>0</v>
      </c>
      <c r="H13" s="34">
        <f t="shared" si="2"/>
        <v>0</v>
      </c>
      <c r="I13" s="35"/>
      <c r="J13" s="36"/>
      <c r="K13" s="40"/>
      <c r="L13" s="40">
        <f>(C6-E6)/E6*100</f>
        <v>23.699872827469267</v>
      </c>
      <c r="M13" s="36"/>
      <c r="N13" s="36"/>
    </row>
    <row r="14" spans="1:15" ht="26.25" customHeight="1" thickBot="1">
      <c r="A14" s="19" t="s">
        <v>45</v>
      </c>
      <c r="B14" s="19"/>
      <c r="C14" s="19"/>
      <c r="F14" s="34">
        <f t="shared" si="0"/>
        <v>0</v>
      </c>
      <c r="G14" s="34">
        <f t="shared" si="1"/>
        <v>0</v>
      </c>
      <c r="H14" s="34">
        <f t="shared" si="2"/>
        <v>0</v>
      </c>
      <c r="K14" s="43"/>
      <c r="L14" s="40">
        <f>(C7-E7)/E7*100</f>
        <v>5.6989524691077023</v>
      </c>
    </row>
    <row r="15" spans="1:15" ht="38.25">
      <c r="A15" s="25" t="s">
        <v>39</v>
      </c>
      <c r="B15" s="44">
        <f>B4</f>
        <v>2011</v>
      </c>
      <c r="C15" s="44">
        <f>C4</f>
        <v>2007</v>
      </c>
      <c r="D15" s="45">
        <v>2001</v>
      </c>
      <c r="E15" s="29">
        <v>1996</v>
      </c>
      <c r="F15" s="29">
        <f t="shared" si="0"/>
        <v>1996</v>
      </c>
      <c r="G15" s="29">
        <f t="shared" si="1"/>
        <v>2001</v>
      </c>
      <c r="H15" s="29">
        <f t="shared" si="2"/>
        <v>2007</v>
      </c>
      <c r="I15" s="30"/>
      <c r="J15" s="31" t="str">
        <f>J4</f>
        <v>% change 1996 - 2001</v>
      </c>
      <c r="K15" s="31" t="s">
        <v>115</v>
      </c>
      <c r="L15" s="31" t="s">
        <v>98</v>
      </c>
      <c r="M15" s="31" t="str">
        <f>M4</f>
        <v>% of population 2001</v>
      </c>
      <c r="N15" s="31"/>
      <c r="O15" s="31" t="str">
        <f>O4</f>
        <v>% of population 2007</v>
      </c>
    </row>
    <row r="16" spans="1:15">
      <c r="A16" s="32" t="s">
        <v>46</v>
      </c>
      <c r="B16" s="46"/>
      <c r="C16" s="46">
        <v>542207</v>
      </c>
      <c r="D16" s="47">
        <v>516037</v>
      </c>
      <c r="E16" s="48">
        <v>480693</v>
      </c>
      <c r="F16" s="34">
        <f t="shared" si="0"/>
        <v>480693</v>
      </c>
      <c r="G16" s="34">
        <f t="shared" si="1"/>
        <v>516037</v>
      </c>
      <c r="H16" s="34">
        <f t="shared" si="2"/>
        <v>542207</v>
      </c>
      <c r="I16" s="49">
        <f t="shared" ref="I16:I25" si="3">(C16-E16)/E16*100/11</f>
        <v>1.1633582802707378</v>
      </c>
      <c r="J16" s="36">
        <f>(D16-E16)/E16*100</f>
        <v>7.3527178469418111</v>
      </c>
      <c r="K16" s="36">
        <f t="shared" ref="K16:K25" si="4">(C16-D16)/D16*100</f>
        <v>5.0713417836317936</v>
      </c>
      <c r="L16" s="36">
        <f>E16/$E$9*100</f>
        <v>5.7584575207245203</v>
      </c>
      <c r="M16" s="36">
        <f>D16/D$9*100</f>
        <v>5.3842868767730483</v>
      </c>
      <c r="N16" s="36"/>
      <c r="O16" s="36">
        <f>C16/C$9*100</f>
        <v>5.2850652534351994</v>
      </c>
    </row>
    <row r="17" spans="1:15">
      <c r="A17" s="32" t="s">
        <v>47</v>
      </c>
      <c r="B17" s="46"/>
      <c r="C17" s="46">
        <v>1180183</v>
      </c>
      <c r="D17" s="47">
        <v>1153667</v>
      </c>
      <c r="E17" s="48">
        <v>1008320</v>
      </c>
      <c r="F17" s="34">
        <f t="shared" si="0"/>
        <v>1008320</v>
      </c>
      <c r="G17" s="34">
        <f t="shared" si="1"/>
        <v>1153667</v>
      </c>
      <c r="H17" s="34">
        <f t="shared" si="2"/>
        <v>1180183</v>
      </c>
      <c r="I17" s="49">
        <f t="shared" si="3"/>
        <v>1.5494990767721648</v>
      </c>
      <c r="J17" s="36">
        <f t="shared" ref="J17:J28" si="5">(D17-E17)/E17*100</f>
        <v>14.414769120913995</v>
      </c>
      <c r="K17" s="36">
        <f t="shared" si="4"/>
        <v>2.2984101998236928</v>
      </c>
      <c r="L17" s="36">
        <f t="shared" ref="L17:L28" si="6">E17/$E$9*100</f>
        <v>12.079160477262926</v>
      </c>
      <c r="M17" s="36">
        <f t="shared" ref="M17:M28" si="7">D17/D$9*100</f>
        <v>12.037264940820391</v>
      </c>
      <c r="N17" s="36"/>
      <c r="O17" s="36">
        <f t="shared" ref="O17:O28" si="8">C17/C$9*100</f>
        <v>11.503621616826994</v>
      </c>
    </row>
    <row r="18" spans="1:15">
      <c r="A18" s="32" t="s">
        <v>48</v>
      </c>
      <c r="B18" s="46"/>
      <c r="C18" s="46">
        <v>1924855</v>
      </c>
      <c r="D18" s="47">
        <v>1661762</v>
      </c>
      <c r="E18" s="48">
        <v>1421379</v>
      </c>
      <c r="F18" s="34">
        <f t="shared" si="0"/>
        <v>1421379</v>
      </c>
      <c r="G18" s="34">
        <f t="shared" si="1"/>
        <v>1661762</v>
      </c>
      <c r="H18" s="34">
        <f t="shared" si="2"/>
        <v>1924855</v>
      </c>
      <c r="I18" s="49">
        <f t="shared" si="3"/>
        <v>3.2201506744186772</v>
      </c>
      <c r="J18" s="36">
        <f t="shared" si="5"/>
        <v>16.911956628035167</v>
      </c>
      <c r="K18" s="36">
        <f t="shared" si="4"/>
        <v>15.832170912561486</v>
      </c>
      <c r="L18" s="36">
        <f t="shared" si="6"/>
        <v>17.027397096171352</v>
      </c>
      <c r="M18" s="36">
        <f t="shared" si="7"/>
        <v>17.338685654168469</v>
      </c>
      <c r="N18" s="36"/>
      <c r="O18" s="36">
        <f t="shared" si="8"/>
        <v>18.76217805819735</v>
      </c>
    </row>
    <row r="19" spans="1:15">
      <c r="A19" s="32" t="s">
        <v>49</v>
      </c>
      <c r="B19" s="46"/>
      <c r="C19" s="46">
        <v>1063818</v>
      </c>
      <c r="D19" s="47">
        <v>998089</v>
      </c>
      <c r="E19" s="48">
        <v>843719</v>
      </c>
      <c r="F19" s="34">
        <f t="shared" si="0"/>
        <v>843719</v>
      </c>
      <c r="G19" s="34">
        <f t="shared" si="1"/>
        <v>998089</v>
      </c>
      <c r="H19" s="34">
        <f t="shared" si="2"/>
        <v>1063818</v>
      </c>
      <c r="I19" s="49">
        <f t="shared" si="3"/>
        <v>2.3715241685916757</v>
      </c>
      <c r="J19" s="36">
        <f t="shared" si="5"/>
        <v>18.296375926108098</v>
      </c>
      <c r="K19" s="36">
        <f t="shared" si="4"/>
        <v>6.5854848615704604</v>
      </c>
      <c r="L19" s="36">
        <f t="shared" si="6"/>
        <v>10.107324260865399</v>
      </c>
      <c r="M19" s="36">
        <f t="shared" si="7"/>
        <v>10.413977107361557</v>
      </c>
      <c r="N19" s="36"/>
      <c r="O19" s="36">
        <f t="shared" si="8"/>
        <v>10.369374699660696</v>
      </c>
    </row>
    <row r="20" spans="1:15">
      <c r="A20" s="32" t="s">
        <v>50</v>
      </c>
      <c r="B20" s="46"/>
      <c r="C20" s="46">
        <v>162219</v>
      </c>
      <c r="D20" s="47">
        <v>148527</v>
      </c>
      <c r="E20" s="48">
        <v>137502</v>
      </c>
      <c r="F20" s="34">
        <f t="shared" si="0"/>
        <v>137502</v>
      </c>
      <c r="G20" s="34">
        <f t="shared" si="1"/>
        <v>148527</v>
      </c>
      <c r="H20" s="34">
        <f t="shared" si="2"/>
        <v>162219</v>
      </c>
      <c r="I20" s="49">
        <f t="shared" si="3"/>
        <v>1.6341580486102019</v>
      </c>
      <c r="J20" s="36">
        <f t="shared" si="5"/>
        <v>8.0180651917790282</v>
      </c>
      <c r="K20" s="36">
        <f t="shared" si="4"/>
        <v>9.2185259245793691</v>
      </c>
      <c r="L20" s="36">
        <f t="shared" si="6"/>
        <v>1.6472039867746417</v>
      </c>
      <c r="M20" s="36">
        <f t="shared" si="7"/>
        <v>1.5497182894762789</v>
      </c>
      <c r="N20" s="36"/>
      <c r="O20" s="36">
        <f t="shared" si="8"/>
        <v>1.5812005384419687</v>
      </c>
    </row>
    <row r="21" spans="1:15">
      <c r="A21" s="32" t="s">
        <v>51</v>
      </c>
      <c r="B21" s="46"/>
      <c r="C21" s="46">
        <v>539022</v>
      </c>
      <c r="D21" s="47">
        <v>517451</v>
      </c>
      <c r="E21" s="48">
        <v>483853</v>
      </c>
      <c r="F21" s="34">
        <f t="shared" si="0"/>
        <v>483853</v>
      </c>
      <c r="G21" s="34">
        <f t="shared" si="1"/>
        <v>517451</v>
      </c>
      <c r="H21" s="34">
        <f t="shared" si="2"/>
        <v>539022</v>
      </c>
      <c r="I21" s="49">
        <f t="shared" si="3"/>
        <v>1.036546975292834</v>
      </c>
      <c r="J21" s="36">
        <f t="shared" si="5"/>
        <v>6.9438445147596477</v>
      </c>
      <c r="K21" s="36">
        <f t="shared" si="4"/>
        <v>4.168703896600837</v>
      </c>
      <c r="L21" s="36">
        <f t="shared" si="6"/>
        <v>5.7963127126359666</v>
      </c>
      <c r="M21" s="36">
        <f t="shared" si="7"/>
        <v>5.3990404344515808</v>
      </c>
      <c r="N21" s="36"/>
      <c r="O21" s="36">
        <f t="shared" si="8"/>
        <v>5.2540200385409044</v>
      </c>
    </row>
    <row r="22" spans="1:15">
      <c r="A22" s="32" t="s">
        <v>52</v>
      </c>
      <c r="B22" s="46"/>
      <c r="C22" s="46">
        <v>1173843</v>
      </c>
      <c r="D22" s="47">
        <v>1157653</v>
      </c>
      <c r="E22" s="48">
        <v>1015842</v>
      </c>
      <c r="F22" s="34">
        <f t="shared" si="0"/>
        <v>1015842</v>
      </c>
      <c r="G22" s="34">
        <f t="shared" si="1"/>
        <v>1157653</v>
      </c>
      <c r="H22" s="34">
        <f t="shared" si="2"/>
        <v>1173843</v>
      </c>
      <c r="I22" s="49">
        <f t="shared" si="3"/>
        <v>1.4139725737592335</v>
      </c>
      <c r="J22" s="36">
        <f t="shared" si="5"/>
        <v>13.959946527117406</v>
      </c>
      <c r="K22" s="36">
        <f t="shared" si="4"/>
        <v>1.3985192454042792</v>
      </c>
      <c r="L22" s="36">
        <f t="shared" si="6"/>
        <v>12.169270209401505</v>
      </c>
      <c r="M22" s="36">
        <f t="shared" si="7"/>
        <v>12.078854531277699</v>
      </c>
      <c r="N22" s="36"/>
      <c r="O22" s="36">
        <f t="shared" si="8"/>
        <v>11.441823606644943</v>
      </c>
    </row>
    <row r="23" spans="1:15">
      <c r="A23" s="32" t="s">
        <v>53</v>
      </c>
      <c r="B23" s="46"/>
      <c r="C23" s="46">
        <v>1941531</v>
      </c>
      <c r="D23" s="47">
        <v>1841198</v>
      </c>
      <c r="E23" s="48">
        <v>1620137</v>
      </c>
      <c r="F23" s="34">
        <f t="shared" si="0"/>
        <v>1620137</v>
      </c>
      <c r="G23" s="34">
        <f t="shared" si="1"/>
        <v>1841198</v>
      </c>
      <c r="H23" s="34">
        <f t="shared" si="2"/>
        <v>1941531</v>
      </c>
      <c r="I23" s="49">
        <f t="shared" si="3"/>
        <v>1.8034052900240143</v>
      </c>
      <c r="J23" s="36">
        <f t="shared" si="5"/>
        <v>13.644586846667906</v>
      </c>
      <c r="K23" s="36">
        <f t="shared" si="4"/>
        <v>5.4493324455055889</v>
      </c>
      <c r="L23" s="36">
        <f t="shared" si="6"/>
        <v>19.408416790454741</v>
      </c>
      <c r="M23" s="36">
        <f t="shared" si="7"/>
        <v>19.210905863224504</v>
      </c>
      <c r="N23" s="36"/>
      <c r="O23" s="36">
        <f t="shared" si="8"/>
        <v>18.924724370152536</v>
      </c>
    </row>
    <row r="24" spans="1:15">
      <c r="A24" s="32" t="s">
        <v>54</v>
      </c>
      <c r="B24" s="46"/>
      <c r="C24" s="46">
        <v>1397046</v>
      </c>
      <c r="D24" s="47">
        <v>1292324</v>
      </c>
      <c r="E24" s="48">
        <v>1047994</v>
      </c>
      <c r="F24" s="34">
        <f t="shared" si="0"/>
        <v>1047994</v>
      </c>
      <c r="G24" s="34">
        <f t="shared" si="1"/>
        <v>1292324</v>
      </c>
      <c r="H24" s="34">
        <f t="shared" si="2"/>
        <v>1397046</v>
      </c>
      <c r="I24" s="49">
        <f t="shared" si="3"/>
        <v>3.0278799306102897</v>
      </c>
      <c r="J24" s="36">
        <f t="shared" si="5"/>
        <v>23.314064775180011</v>
      </c>
      <c r="K24" s="36">
        <f t="shared" si="4"/>
        <v>8.1033858382263269</v>
      </c>
      <c r="L24" s="36">
        <f t="shared" si="6"/>
        <v>12.554434807609372</v>
      </c>
      <c r="M24" s="36">
        <f t="shared" si="7"/>
        <v>13.484000476203942</v>
      </c>
      <c r="N24" s="36"/>
      <c r="O24" s="36">
        <f t="shared" si="8"/>
        <v>13.617454721260758</v>
      </c>
    </row>
    <row r="25" spans="1:15">
      <c r="A25" s="32" t="s">
        <v>55</v>
      </c>
      <c r="B25" s="46"/>
      <c r="C25" s="46">
        <v>334506</v>
      </c>
      <c r="D25" s="47">
        <v>297421</v>
      </c>
      <c r="E25" s="48">
        <v>239070</v>
      </c>
      <c r="F25" s="34">
        <f t="shared" si="0"/>
        <v>239070</v>
      </c>
      <c r="G25" s="34">
        <f t="shared" si="1"/>
        <v>297421</v>
      </c>
      <c r="H25" s="34">
        <f t="shared" si="2"/>
        <v>334506</v>
      </c>
      <c r="I25" s="49">
        <f t="shared" si="3"/>
        <v>3.6290626176433678</v>
      </c>
      <c r="J25" s="36">
        <f t="shared" si="5"/>
        <v>24.407495712552809</v>
      </c>
      <c r="K25" s="36">
        <f t="shared" si="4"/>
        <v>12.468857276385998</v>
      </c>
      <c r="L25" s="36">
        <f t="shared" si="6"/>
        <v>2.8639369399587906</v>
      </c>
      <c r="M25" s="36">
        <f t="shared" si="7"/>
        <v>3.1032658262425308</v>
      </c>
      <c r="N25" s="36"/>
      <c r="O25" s="36">
        <f t="shared" si="8"/>
        <v>3.260537096838652</v>
      </c>
    </row>
    <row r="26" spans="1:15">
      <c r="A26" s="32"/>
      <c r="B26" s="46"/>
      <c r="C26" s="46"/>
      <c r="D26" s="46"/>
      <c r="E26" s="34"/>
      <c r="F26" s="34"/>
      <c r="G26" s="34"/>
      <c r="H26" s="34"/>
      <c r="I26" s="49"/>
      <c r="J26" s="36"/>
      <c r="K26" s="36"/>
      <c r="L26" s="36"/>
      <c r="M26" s="36"/>
      <c r="N26" s="36"/>
      <c r="O26" s="36"/>
    </row>
    <row r="27" spans="1:15">
      <c r="A27" s="32" t="s">
        <v>56</v>
      </c>
      <c r="B27" s="46">
        <f>SUM(B16:B20)</f>
        <v>0</v>
      </c>
      <c r="C27" s="46">
        <f>SUM(C16:C20)</f>
        <v>4873282</v>
      </c>
      <c r="D27" s="46">
        <f>SUM(D16:D20)</f>
        <v>4478082</v>
      </c>
      <c r="E27" s="46">
        <f>SUM(E16:E20)</f>
        <v>3891613</v>
      </c>
      <c r="F27" s="34">
        <f t="shared" si="0"/>
        <v>3891613</v>
      </c>
      <c r="G27" s="34">
        <f t="shared" si="1"/>
        <v>4478082</v>
      </c>
      <c r="H27" s="34">
        <f t="shared" si="2"/>
        <v>4873282</v>
      </c>
      <c r="I27" s="49">
        <f>(C27-E27)/E27*100/11</f>
        <v>2.2932042925038121</v>
      </c>
      <c r="J27" s="36">
        <f t="shared" si="5"/>
        <v>15.07007505628129</v>
      </c>
      <c r="K27" s="36">
        <f>(C27-D27)/D27*100</f>
        <v>8.8252068631168434</v>
      </c>
      <c r="L27" s="36">
        <f t="shared" si="6"/>
        <v>46.619543341798838</v>
      </c>
      <c r="M27" s="36">
        <f t="shared" si="7"/>
        <v>46.723932868599746</v>
      </c>
      <c r="N27" s="36"/>
      <c r="O27" s="36">
        <f t="shared" si="8"/>
        <v>47.501440166562212</v>
      </c>
    </row>
    <row r="28" spans="1:15" ht="13.5" thickBot="1">
      <c r="A28" s="50" t="s">
        <v>57</v>
      </c>
      <c r="B28" s="46">
        <f>SUM(B21:B25)</f>
        <v>0</v>
      </c>
      <c r="C28" s="46">
        <f>SUM(C21:C25)</f>
        <v>5385948</v>
      </c>
      <c r="D28" s="46">
        <f>SUM(D21:D25)</f>
        <v>5106047</v>
      </c>
      <c r="E28" s="46">
        <f>SUM(E21:E25)</f>
        <v>4406896</v>
      </c>
      <c r="F28" s="34">
        <f t="shared" si="0"/>
        <v>4406896</v>
      </c>
      <c r="G28" s="34">
        <f t="shared" si="1"/>
        <v>5106047</v>
      </c>
      <c r="H28" s="34">
        <f t="shared" si="2"/>
        <v>5385948</v>
      </c>
      <c r="I28" s="49">
        <f>(C28-E28)/E28*100/11</f>
        <v>2.0196693380721324</v>
      </c>
      <c r="J28" s="36">
        <f t="shared" si="5"/>
        <v>15.864930781211992</v>
      </c>
      <c r="K28" s="36">
        <f>(C28-D28)/D28*100</f>
        <v>5.4817552599887938</v>
      </c>
      <c r="L28" s="36">
        <f t="shared" si="6"/>
        <v>52.792371460060373</v>
      </c>
      <c r="M28" s="36">
        <f t="shared" si="7"/>
        <v>53.276067131400254</v>
      </c>
      <c r="N28" s="36"/>
      <c r="O28" s="36">
        <f t="shared" si="8"/>
        <v>52.498559833437795</v>
      </c>
    </row>
    <row r="29" spans="1:15">
      <c r="A29" s="41"/>
      <c r="B29" s="46"/>
      <c r="C29" s="46"/>
      <c r="D29" s="46"/>
      <c r="E29" s="46"/>
      <c r="F29" s="34"/>
      <c r="G29" s="34"/>
      <c r="H29" s="34"/>
      <c r="I29" s="49"/>
      <c r="J29" s="36"/>
      <c r="K29" s="36"/>
      <c r="L29" s="36"/>
      <c r="M29" s="36"/>
      <c r="N29" s="36"/>
      <c r="O29" s="36"/>
    </row>
    <row r="30" spans="1:15">
      <c r="A30" s="51" t="s">
        <v>116</v>
      </c>
      <c r="B30" s="46">
        <f>B18+B19+B23+B24</f>
        <v>0</v>
      </c>
      <c r="C30" s="46">
        <f>C18+C19+C23+C24</f>
        <v>6327250</v>
      </c>
      <c r="D30" s="46">
        <f>D18+D19+D23+D24</f>
        <v>5793373</v>
      </c>
      <c r="E30" s="46">
        <f>E18+E19+E23+E24</f>
        <v>4933229</v>
      </c>
      <c r="F30" s="34">
        <f t="shared" si="0"/>
        <v>4933229</v>
      </c>
      <c r="G30" s="34">
        <f t="shared" si="1"/>
        <v>5793373</v>
      </c>
      <c r="H30" s="34">
        <f t="shared" si="2"/>
        <v>6327250</v>
      </c>
      <c r="I30" s="49">
        <f>(C30-E30)/E30*100/11</f>
        <v>2.5688890951176564</v>
      </c>
      <c r="J30" s="36"/>
      <c r="K30" s="36"/>
      <c r="L30" s="36"/>
      <c r="M30" s="36"/>
      <c r="N30" s="36"/>
    </row>
    <row r="31" spans="1:15" ht="13.5" thickBot="1">
      <c r="A31" s="51"/>
      <c r="B31" s="52" t="e">
        <f>B27/B9*100</f>
        <v>#DIV/0!</v>
      </c>
      <c r="C31" s="52">
        <f>C27/C9*100</f>
        <v>47.501440166562212</v>
      </c>
      <c r="D31" s="52">
        <f>D27/D9*100</f>
        <v>46.723932868599746</v>
      </c>
      <c r="E31" s="52">
        <f>E27/E9*100</f>
        <v>46.619543341798838</v>
      </c>
      <c r="F31" s="34">
        <f t="shared" si="0"/>
        <v>46.619543341798838</v>
      </c>
      <c r="G31" s="34">
        <f t="shared" si="1"/>
        <v>46.723932868599746</v>
      </c>
      <c r="H31" s="34">
        <f t="shared" si="2"/>
        <v>47.501440166562212</v>
      </c>
      <c r="I31" s="42"/>
      <c r="J31" s="36"/>
      <c r="K31" s="36"/>
      <c r="L31" s="36"/>
      <c r="M31" s="36"/>
      <c r="N31" s="36"/>
    </row>
    <row r="32" spans="1:15" ht="42" customHeight="1">
      <c r="A32" s="51" t="str">
        <f>A14</f>
        <v>Gender By Age</v>
      </c>
      <c r="B32" s="44">
        <f>B15</f>
        <v>2011</v>
      </c>
      <c r="C32" s="44">
        <f>C15</f>
        <v>2007</v>
      </c>
      <c r="D32" s="44">
        <f>D15</f>
        <v>2001</v>
      </c>
      <c r="E32" s="44">
        <f>E15</f>
        <v>1996</v>
      </c>
      <c r="F32" s="34">
        <f t="shared" si="0"/>
        <v>1996</v>
      </c>
      <c r="G32" s="34">
        <f t="shared" si="1"/>
        <v>2001</v>
      </c>
      <c r="H32" s="34">
        <f t="shared" si="2"/>
        <v>2007</v>
      </c>
      <c r="I32" s="42"/>
      <c r="J32" s="31" t="str">
        <f t="shared" ref="J32:O32" si="9">J15</f>
        <v>% change 1996 - 2001</v>
      </c>
      <c r="K32" s="31" t="str">
        <f t="shared" si="9"/>
        <v>% change 2001 - 2007</v>
      </c>
      <c r="L32" s="31" t="str">
        <f t="shared" si="9"/>
        <v>% of population 1996</v>
      </c>
      <c r="M32" s="31" t="str">
        <f t="shared" si="9"/>
        <v>% of population 2001</v>
      </c>
      <c r="N32" s="31">
        <f t="shared" si="9"/>
        <v>0</v>
      </c>
      <c r="O32" s="31" t="str">
        <f t="shared" si="9"/>
        <v>% of population 2007</v>
      </c>
    </row>
    <row r="33" spans="1:15">
      <c r="A33" s="41" t="s">
        <v>135</v>
      </c>
      <c r="B33" s="46">
        <f t="shared" ref="B33" si="10">B16+B21</f>
        <v>0</v>
      </c>
      <c r="C33" s="46">
        <f t="shared" ref="C33:E37" si="11">C16+C21</f>
        <v>1081229</v>
      </c>
      <c r="D33" s="46">
        <f t="shared" si="11"/>
        <v>1033488</v>
      </c>
      <c r="E33" s="46">
        <f t="shared" si="11"/>
        <v>964546</v>
      </c>
      <c r="F33" s="34">
        <f t="shared" si="0"/>
        <v>964546</v>
      </c>
      <c r="G33" s="34">
        <f t="shared" si="1"/>
        <v>1033488</v>
      </c>
      <c r="H33" s="34">
        <f t="shared" si="2"/>
        <v>1081229</v>
      </c>
      <c r="I33" s="42"/>
      <c r="J33" s="36">
        <f>(D33-E33)/E33*100</f>
        <v>7.147611415111359</v>
      </c>
      <c r="K33" s="36">
        <f>(C33-D33)/D33*100</f>
        <v>4.6194053535212793</v>
      </c>
      <c r="L33" s="36">
        <f>E33/$E$9*100</f>
        <v>11.554770233360486</v>
      </c>
      <c r="M33" s="36">
        <f>D33/D$9*100</f>
        <v>10.78332731122463</v>
      </c>
      <c r="N33" s="36"/>
      <c r="O33" s="36">
        <f>C33/C$9*100</f>
        <v>10.539085291976104</v>
      </c>
    </row>
    <row r="34" spans="1:15">
      <c r="A34" s="53" t="s">
        <v>139</v>
      </c>
      <c r="B34" s="46">
        <f t="shared" ref="B34" si="12">B17+B22</f>
        <v>0</v>
      </c>
      <c r="C34" s="46">
        <f t="shared" si="11"/>
        <v>2354026</v>
      </c>
      <c r="D34" s="46">
        <f t="shared" si="11"/>
        <v>2311320</v>
      </c>
      <c r="E34" s="46">
        <f t="shared" si="11"/>
        <v>2024162</v>
      </c>
      <c r="F34" s="34">
        <f t="shared" si="0"/>
        <v>2024162</v>
      </c>
      <c r="G34" s="34">
        <f t="shared" si="1"/>
        <v>2311320</v>
      </c>
      <c r="H34" s="34">
        <f t="shared" si="2"/>
        <v>2354026</v>
      </c>
      <c r="I34" s="42"/>
      <c r="J34" s="36">
        <f>(D34-E34)/E34*100</f>
        <v>14.186512739592978</v>
      </c>
      <c r="K34" s="36">
        <f>(C34-D34)/D34*100</f>
        <v>1.8476887665922501</v>
      </c>
      <c r="L34" s="36">
        <f>E34/$E$9*100</f>
        <v>24.248430686664431</v>
      </c>
      <c r="M34" s="36">
        <f>D34/D$9*100</f>
        <v>24.116119472098092</v>
      </c>
      <c r="N34" s="36"/>
      <c r="O34" s="36">
        <f>C34/C$9*100</f>
        <v>22.945445223471935</v>
      </c>
    </row>
    <row r="35" spans="1:15">
      <c r="A35" s="41" t="s">
        <v>136</v>
      </c>
      <c r="B35" s="46">
        <f t="shared" ref="B35" si="13">B18+B23</f>
        <v>0</v>
      </c>
      <c r="C35" s="46">
        <f t="shared" si="11"/>
        <v>3866386</v>
      </c>
      <c r="D35" s="46">
        <f t="shared" si="11"/>
        <v>3502960</v>
      </c>
      <c r="E35" s="46">
        <f t="shared" si="11"/>
        <v>3041516</v>
      </c>
      <c r="F35" s="34">
        <f t="shared" si="0"/>
        <v>3041516</v>
      </c>
      <c r="G35" s="34">
        <f t="shared" si="1"/>
        <v>3502960</v>
      </c>
      <c r="H35" s="34">
        <f t="shared" si="2"/>
        <v>3866386</v>
      </c>
      <c r="I35" s="42"/>
      <c r="J35" s="36">
        <f>(D35-E35)/E35*100</f>
        <v>15.171513153309075</v>
      </c>
      <c r="K35" s="36">
        <f>(C35-D35)/D35*100</f>
        <v>10.374825861557083</v>
      </c>
      <c r="L35" s="36">
        <f>E35/$E$9*100</f>
        <v>36.435813886626093</v>
      </c>
      <c r="M35" s="36">
        <f>D35/D$9*100</f>
        <v>36.549591517392969</v>
      </c>
      <c r="N35" s="36"/>
      <c r="O35" s="36">
        <f>C35/C$9*100</f>
        <v>37.686902428349882</v>
      </c>
    </row>
    <row r="36" spans="1:15">
      <c r="A36" s="41" t="s">
        <v>137</v>
      </c>
      <c r="B36" s="46">
        <f t="shared" ref="B36" si="14">B19+B24</f>
        <v>0</v>
      </c>
      <c r="C36" s="46">
        <f t="shared" si="11"/>
        <v>2460864</v>
      </c>
      <c r="D36" s="46">
        <f t="shared" si="11"/>
        <v>2290413</v>
      </c>
      <c r="E36" s="46">
        <f t="shared" si="11"/>
        <v>1891713</v>
      </c>
      <c r="F36" s="34">
        <f t="shared" si="0"/>
        <v>1891713</v>
      </c>
      <c r="G36" s="34">
        <f t="shared" si="1"/>
        <v>2290413</v>
      </c>
      <c r="H36" s="34">
        <f t="shared" si="2"/>
        <v>2460864</v>
      </c>
      <c r="I36" s="42"/>
      <c r="J36" s="36">
        <f>(D36-E36)/E36*100</f>
        <v>21.076135756322444</v>
      </c>
      <c r="K36" s="36">
        <f>(C36-D36)/D36*100</f>
        <v>7.4419329614353398</v>
      </c>
      <c r="L36" s="36">
        <f>E36/$E$9*100</f>
        <v>22.661759068474773</v>
      </c>
      <c r="M36" s="36">
        <f>D36/D$9*100</f>
        <v>23.897977583565496</v>
      </c>
      <c r="N36" s="36"/>
      <c r="O36" s="36">
        <f>C36/C$9*100</f>
        <v>23.986829420921456</v>
      </c>
    </row>
    <row r="37" spans="1:15">
      <c r="A37" s="41" t="s">
        <v>138</v>
      </c>
      <c r="B37" s="46">
        <f t="shared" ref="B37" si="15">B20+B25</f>
        <v>0</v>
      </c>
      <c r="C37" s="46">
        <f t="shared" si="11"/>
        <v>496725</v>
      </c>
      <c r="D37" s="46">
        <f t="shared" si="11"/>
        <v>445948</v>
      </c>
      <c r="E37" s="46">
        <f t="shared" si="11"/>
        <v>376572</v>
      </c>
      <c r="F37" s="34">
        <f t="shared" si="0"/>
        <v>376572</v>
      </c>
      <c r="G37" s="34">
        <f t="shared" si="1"/>
        <v>445948</v>
      </c>
      <c r="H37" s="34">
        <f t="shared" si="2"/>
        <v>496725</v>
      </c>
      <c r="I37" s="42"/>
      <c r="J37" s="36">
        <f>(D37-E37)/E37*100</f>
        <v>18.423037294328839</v>
      </c>
      <c r="K37" s="36">
        <f>(C37-D37)/D37*100</f>
        <v>11.386305129746068</v>
      </c>
      <c r="L37" s="36">
        <f>E37/$E$9*100</f>
        <v>4.5111409267334324</v>
      </c>
      <c r="M37" s="36">
        <f>D37/D$9*100</f>
        <v>4.6529841157188097</v>
      </c>
      <c r="N37" s="36"/>
      <c r="O37" s="36">
        <f>C37/C$9*100</f>
        <v>4.8417376352806203</v>
      </c>
    </row>
    <row r="38" spans="1:15">
      <c r="A38" s="51"/>
      <c r="B38" s="42"/>
      <c r="C38" s="42"/>
      <c r="D38" s="42"/>
      <c r="E38" s="42"/>
      <c r="F38" s="34">
        <f t="shared" si="0"/>
        <v>0</v>
      </c>
      <c r="G38" s="34">
        <f t="shared" si="1"/>
        <v>0</v>
      </c>
      <c r="H38" s="34">
        <f t="shared" si="2"/>
        <v>0</v>
      </c>
      <c r="I38" s="42"/>
      <c r="J38" s="36"/>
      <c r="K38" s="36"/>
      <c r="L38" s="36"/>
      <c r="M38" s="36"/>
      <c r="N38" s="36"/>
      <c r="O38" s="36"/>
    </row>
    <row r="39" spans="1:15" ht="13.5" thickBot="1">
      <c r="A39" s="19"/>
      <c r="B39" s="19"/>
      <c r="C39" s="19"/>
      <c r="F39" s="34">
        <f t="shared" si="0"/>
        <v>0</v>
      </c>
      <c r="G39" s="34">
        <f t="shared" si="1"/>
        <v>0</v>
      </c>
      <c r="H39" s="34">
        <f t="shared" si="2"/>
        <v>0</v>
      </c>
      <c r="L39" s="36"/>
      <c r="M39" s="36"/>
      <c r="N39" s="36"/>
    </row>
    <row r="40" spans="1:15" ht="59.25" customHeight="1">
      <c r="A40" s="31" t="s">
        <v>59</v>
      </c>
      <c r="B40" s="31">
        <f>B15</f>
        <v>2011</v>
      </c>
      <c r="C40" s="31">
        <f>C15</f>
        <v>2007</v>
      </c>
      <c r="D40" s="45">
        <v>2001</v>
      </c>
      <c r="E40" s="29">
        <v>1996</v>
      </c>
      <c r="F40" s="29">
        <f t="shared" si="0"/>
        <v>1996</v>
      </c>
      <c r="G40" s="29">
        <f t="shared" si="1"/>
        <v>2001</v>
      </c>
      <c r="H40" s="29">
        <f t="shared" si="2"/>
        <v>2007</v>
      </c>
      <c r="I40" s="30"/>
      <c r="J40" s="31" t="s">
        <v>97</v>
      </c>
      <c r="K40" s="31" t="str">
        <f>K15</f>
        <v>% change 2001 - 2007</v>
      </c>
      <c r="L40" s="31" t="s">
        <v>159</v>
      </c>
      <c r="M40" s="31" t="s">
        <v>161</v>
      </c>
      <c r="N40" s="31" t="s">
        <v>160</v>
      </c>
      <c r="O40" s="31" t="s">
        <v>162</v>
      </c>
    </row>
    <row r="41" spans="1:15">
      <c r="A41" s="32" t="s">
        <v>60</v>
      </c>
      <c r="B41" s="46"/>
      <c r="C41" s="46">
        <v>912152</v>
      </c>
      <c r="D41" s="47">
        <v>1114879</v>
      </c>
      <c r="E41" s="48">
        <v>957217</v>
      </c>
      <c r="F41" s="34">
        <f t="shared" si="0"/>
        <v>957217</v>
      </c>
      <c r="G41" s="34">
        <f t="shared" si="1"/>
        <v>1114879</v>
      </c>
      <c r="H41" s="34">
        <f t="shared" si="2"/>
        <v>912152</v>
      </c>
      <c r="I41" s="54">
        <f t="shared" ref="I41:I46" si="16">(C41-E41)/E41*100</f>
        <v>-4.7079188940438792</v>
      </c>
      <c r="J41" s="36">
        <f t="shared" ref="J41:J46" si="17">(D41-E41)/E41*100</f>
        <v>16.470873375629562</v>
      </c>
      <c r="K41" s="36">
        <f t="shared" ref="K41:K46" si="18">(C41-D41)/D41*100</f>
        <v>-18.183767027632594</v>
      </c>
      <c r="L41" s="36">
        <f t="shared" ref="L41:L46" si="19">E41/$E$48*100</f>
        <v>22.91052297629502</v>
      </c>
      <c r="M41" s="36">
        <f t="shared" ref="M41:M46" si="20">D41/$D$48*100</f>
        <v>21.899202841430405</v>
      </c>
      <c r="N41" s="36"/>
      <c r="O41" s="36">
        <f t="shared" ref="O41:O46" si="21">C41/$C$48*100</f>
        <v>10.137805613074434</v>
      </c>
    </row>
    <row r="42" spans="1:15">
      <c r="A42" s="32" t="s">
        <v>61</v>
      </c>
      <c r="B42" s="46"/>
      <c r="C42" s="46">
        <v>2689800</v>
      </c>
      <c r="D42" s="47">
        <v>869654</v>
      </c>
      <c r="E42" s="48">
        <v>747586</v>
      </c>
      <c r="F42" s="34">
        <f t="shared" si="0"/>
        <v>747586</v>
      </c>
      <c r="G42" s="34">
        <f t="shared" si="1"/>
        <v>869654</v>
      </c>
      <c r="H42" s="34">
        <f t="shared" si="2"/>
        <v>2689800</v>
      </c>
      <c r="I42" s="54">
        <f t="shared" si="16"/>
        <v>259.79807005481644</v>
      </c>
      <c r="J42" s="36">
        <f t="shared" si="17"/>
        <v>16.328288651740401</v>
      </c>
      <c r="K42" s="36">
        <f t="shared" si="18"/>
        <v>209.29542093752227</v>
      </c>
      <c r="L42" s="36">
        <f t="shared" si="19"/>
        <v>17.893107027723588</v>
      </c>
      <c r="M42" s="36">
        <f t="shared" si="20"/>
        <v>17.082328528801167</v>
      </c>
      <c r="N42" s="36"/>
      <c r="O42" s="36">
        <f t="shared" si="21"/>
        <v>29.894874470535189</v>
      </c>
    </row>
    <row r="43" spans="1:15">
      <c r="A43" s="32" t="s">
        <v>62</v>
      </c>
      <c r="B43" s="46"/>
      <c r="C43" s="46">
        <v>565222</v>
      </c>
      <c r="D43" s="47">
        <v>292212</v>
      </c>
      <c r="E43" s="48">
        <v>278433</v>
      </c>
      <c r="F43" s="34">
        <f t="shared" si="0"/>
        <v>278433</v>
      </c>
      <c r="G43" s="34">
        <f t="shared" si="1"/>
        <v>292212</v>
      </c>
      <c r="H43" s="34">
        <f t="shared" si="2"/>
        <v>565222</v>
      </c>
      <c r="I43" s="54">
        <f t="shared" si="16"/>
        <v>103.00108105001922</v>
      </c>
      <c r="J43" s="36">
        <f t="shared" si="17"/>
        <v>4.9487668487571517</v>
      </c>
      <c r="K43" s="36">
        <f t="shared" si="18"/>
        <v>93.428743514982273</v>
      </c>
      <c r="L43" s="36">
        <f t="shared" si="19"/>
        <v>6.6641583296773357</v>
      </c>
      <c r="M43" s="36">
        <f t="shared" si="20"/>
        <v>5.7398245555796281</v>
      </c>
      <c r="N43" s="36"/>
      <c r="O43" s="36">
        <f t="shared" si="21"/>
        <v>6.2819691939864821</v>
      </c>
    </row>
    <row r="44" spans="1:15">
      <c r="A44" s="32" t="s">
        <v>63</v>
      </c>
      <c r="B44" s="46"/>
      <c r="C44" s="46">
        <v>2700350</v>
      </c>
      <c r="D44" s="47">
        <v>1463896</v>
      </c>
      <c r="E44" s="48">
        <v>1328708</v>
      </c>
      <c r="F44" s="34">
        <f t="shared" si="0"/>
        <v>1328708</v>
      </c>
      <c r="G44" s="34">
        <f t="shared" si="1"/>
        <v>1463896</v>
      </c>
      <c r="H44" s="34">
        <f t="shared" si="2"/>
        <v>2700350</v>
      </c>
      <c r="I44" s="54">
        <f t="shared" si="16"/>
        <v>103.23125923829765</v>
      </c>
      <c r="J44" s="36">
        <f t="shared" si="17"/>
        <v>10.174394976172342</v>
      </c>
      <c r="K44" s="36">
        <f t="shared" si="18"/>
        <v>84.463240558072428</v>
      </c>
      <c r="L44" s="36">
        <f t="shared" si="19"/>
        <v>31.801979240639273</v>
      </c>
      <c r="M44" s="36">
        <f t="shared" si="20"/>
        <v>28.754829396516215</v>
      </c>
      <c r="N44" s="36"/>
      <c r="O44" s="36">
        <f t="shared" si="21"/>
        <v>30.01212888560848</v>
      </c>
    </row>
    <row r="45" spans="1:15">
      <c r="A45" s="32" t="s">
        <v>64</v>
      </c>
      <c r="B45" s="46"/>
      <c r="C45" s="46">
        <v>1517672</v>
      </c>
      <c r="D45" s="47">
        <v>999391</v>
      </c>
      <c r="E45" s="48">
        <v>665303</v>
      </c>
      <c r="F45" s="34">
        <f t="shared" si="0"/>
        <v>665303</v>
      </c>
      <c r="G45" s="34">
        <f t="shared" si="1"/>
        <v>999391</v>
      </c>
      <c r="H45" s="34">
        <f t="shared" si="2"/>
        <v>1517672</v>
      </c>
      <c r="I45" s="54">
        <f t="shared" si="16"/>
        <v>128.11741417068615</v>
      </c>
      <c r="J45" s="36">
        <f t="shared" si="17"/>
        <v>50.215916657522961</v>
      </c>
      <c r="K45" s="36">
        <f t="shared" si="18"/>
        <v>51.859682546670925</v>
      </c>
      <c r="L45" s="36">
        <f t="shared" si="19"/>
        <v>15.923703473400499</v>
      </c>
      <c r="M45" s="36">
        <f t="shared" si="20"/>
        <v>19.630709903855013</v>
      </c>
      <c r="N45" s="36"/>
      <c r="O45" s="36">
        <f t="shared" si="21"/>
        <v>16.8676533301532</v>
      </c>
    </row>
    <row r="46" spans="1:15" ht="13.5" thickBot="1">
      <c r="A46" s="50" t="s">
        <v>65</v>
      </c>
      <c r="B46" s="46"/>
      <c r="C46" s="46">
        <v>612333</v>
      </c>
      <c r="D46" s="55">
        <v>350925</v>
      </c>
      <c r="E46" s="56">
        <v>200820</v>
      </c>
      <c r="F46" s="34">
        <f t="shared" si="0"/>
        <v>200820</v>
      </c>
      <c r="G46" s="34">
        <f t="shared" si="1"/>
        <v>350925</v>
      </c>
      <c r="H46" s="34">
        <f t="shared" si="2"/>
        <v>612333</v>
      </c>
      <c r="I46" s="54">
        <f t="shared" si="16"/>
        <v>204.91634299372575</v>
      </c>
      <c r="J46" s="36">
        <f t="shared" si="17"/>
        <v>74.746041230953097</v>
      </c>
      <c r="K46" s="36">
        <f t="shared" si="18"/>
        <v>74.491130583458002</v>
      </c>
      <c r="L46" s="36">
        <f t="shared" si="19"/>
        <v>4.8065289522642889</v>
      </c>
      <c r="M46" s="36">
        <f t="shared" si="20"/>
        <v>6.8931047738175755</v>
      </c>
      <c r="N46" s="36"/>
      <c r="O46" s="36">
        <f t="shared" si="21"/>
        <v>6.8055685066422118</v>
      </c>
    </row>
    <row r="47" spans="1:15">
      <c r="A47" s="41"/>
      <c r="B47" s="46"/>
      <c r="C47" s="46"/>
      <c r="D47" s="46"/>
      <c r="E47" s="34"/>
      <c r="F47" s="34"/>
      <c r="G47" s="34"/>
      <c r="H47" s="34"/>
      <c r="I47" s="54"/>
      <c r="J47" s="36"/>
      <c r="K47" s="36"/>
      <c r="L47" s="36"/>
      <c r="M47" s="36"/>
      <c r="N47" s="36"/>
      <c r="O47" s="36"/>
    </row>
    <row r="48" spans="1:15">
      <c r="A48" s="51" t="s">
        <v>146</v>
      </c>
      <c r="B48" s="46">
        <f>SUM(B41:B46)</f>
        <v>0</v>
      </c>
      <c r="C48" s="46">
        <f>SUM(C41:C46)</f>
        <v>8997529</v>
      </c>
      <c r="D48" s="46">
        <f>SUM(D41:D46)</f>
        <v>5090957</v>
      </c>
      <c r="E48" s="46">
        <f>SUM(E41:E46)</f>
        <v>4178067</v>
      </c>
      <c r="F48" s="34">
        <f t="shared" si="0"/>
        <v>4178067</v>
      </c>
      <c r="G48" s="34">
        <f t="shared" si="1"/>
        <v>5090957</v>
      </c>
      <c r="H48" s="34">
        <f t="shared" si="2"/>
        <v>8997529</v>
      </c>
      <c r="I48" s="42"/>
      <c r="J48" s="36">
        <f>(D48-E48)/E48*100</f>
        <v>21.849577807153402</v>
      </c>
      <c r="K48" s="36">
        <f>(C48-D48)/D48*100</f>
        <v>76.735513578291858</v>
      </c>
      <c r="L48" s="36"/>
      <c r="M48" s="36"/>
      <c r="N48" s="36"/>
      <c r="O48" s="36"/>
    </row>
    <row r="49" spans="1:15">
      <c r="A49" s="42"/>
      <c r="B49" s="46"/>
      <c r="C49" s="46"/>
      <c r="D49" s="46"/>
      <c r="E49" s="46"/>
      <c r="F49" s="34"/>
      <c r="G49" s="34"/>
      <c r="H49" s="34"/>
      <c r="I49" s="42"/>
      <c r="J49" s="36"/>
      <c r="K49" s="36"/>
      <c r="L49" s="36"/>
      <c r="M49" s="36"/>
      <c r="N49" s="36"/>
      <c r="O49" s="36"/>
    </row>
    <row r="50" spans="1:15" ht="13.5" thickBot="1">
      <c r="A50" s="51" t="s">
        <v>145</v>
      </c>
      <c r="B50" s="46">
        <f>SUM(B44:B46)</f>
        <v>0</v>
      </c>
      <c r="C50" s="46">
        <f>SUM(C44:C46)</f>
        <v>4830355</v>
      </c>
      <c r="D50" s="46">
        <f>SUM(D44:D46)</f>
        <v>2814212</v>
      </c>
      <c r="E50" s="46">
        <f>SUM(E44:E46)</f>
        <v>2194831</v>
      </c>
      <c r="F50" s="34">
        <f t="shared" si="0"/>
        <v>2194831</v>
      </c>
      <c r="G50" s="34">
        <f t="shared" si="1"/>
        <v>2814212</v>
      </c>
      <c r="H50" s="34">
        <f t="shared" si="2"/>
        <v>4830355</v>
      </c>
      <c r="I50" s="42"/>
      <c r="J50" s="36">
        <f>(D50-E50)/E50*100</f>
        <v>28.219985957916577</v>
      </c>
      <c r="K50" s="36">
        <f>(C50-D50)/D50*100</f>
        <v>71.641475482301971</v>
      </c>
      <c r="L50" s="36">
        <f>E50/$E$48*100</f>
        <v>52.532211666304065</v>
      </c>
      <c r="M50" s="36">
        <f>D50/$D$48*100</f>
        <v>55.278644074188797</v>
      </c>
      <c r="N50" s="36"/>
      <c r="O50" s="36">
        <f>C50/$C$48*100</f>
        <v>53.685350722403889</v>
      </c>
    </row>
    <row r="51" spans="1:15" ht="58.5" customHeight="1">
      <c r="A51" s="25" t="s">
        <v>102</v>
      </c>
      <c r="B51" s="44">
        <f>B40</f>
        <v>2011</v>
      </c>
      <c r="C51" s="44">
        <f>C40</f>
        <v>2007</v>
      </c>
      <c r="D51" s="45">
        <v>2001</v>
      </c>
      <c r="E51" s="29">
        <v>1996</v>
      </c>
      <c r="F51" s="29">
        <f t="shared" si="0"/>
        <v>1996</v>
      </c>
      <c r="G51" s="29">
        <f t="shared" si="1"/>
        <v>2001</v>
      </c>
      <c r="H51" s="29">
        <f t="shared" si="2"/>
        <v>2007</v>
      </c>
      <c r="I51" s="30"/>
      <c r="J51" s="57" t="s">
        <v>117</v>
      </c>
      <c r="K51" s="57" t="s">
        <v>103</v>
      </c>
      <c r="L51" s="57" t="s">
        <v>118</v>
      </c>
      <c r="M51" s="31" t="s">
        <v>104</v>
      </c>
      <c r="N51" s="31"/>
    </row>
    <row r="52" spans="1:15">
      <c r="A52" s="32" t="s">
        <v>66</v>
      </c>
      <c r="B52" s="47"/>
      <c r="C52" s="47">
        <v>2185478</v>
      </c>
      <c r="D52" s="47">
        <v>1605690</v>
      </c>
      <c r="E52" s="48">
        <v>1570573</v>
      </c>
      <c r="F52" s="34">
        <f t="shared" si="0"/>
        <v>1570573</v>
      </c>
      <c r="G52" s="34">
        <f t="shared" si="1"/>
        <v>1605690</v>
      </c>
      <c r="H52" s="34">
        <f t="shared" si="2"/>
        <v>2185478</v>
      </c>
      <c r="I52" s="35"/>
      <c r="J52" s="58">
        <f>E53/E55*100</f>
        <v>20.451979829032872</v>
      </c>
      <c r="K52" s="58">
        <f>D53/D55*100</f>
        <v>26.579524570573998</v>
      </c>
      <c r="L52" s="58">
        <f>C53/C55*100</f>
        <v>20.747212454067725</v>
      </c>
      <c r="M52" s="59">
        <f>(D53-E53)/E53*100</f>
        <v>52.620217395829108</v>
      </c>
      <c r="N52" s="59"/>
    </row>
    <row r="53" spans="1:15">
      <c r="A53" s="32" t="s">
        <v>67</v>
      </c>
      <c r="B53" s="47"/>
      <c r="C53" s="47">
        <v>1312728</v>
      </c>
      <c r="D53" s="47">
        <v>1539851</v>
      </c>
      <c r="E53" s="48">
        <v>1008943</v>
      </c>
      <c r="F53" s="34">
        <f t="shared" si="0"/>
        <v>1008943</v>
      </c>
      <c r="G53" s="34">
        <f t="shared" si="1"/>
        <v>1539851</v>
      </c>
      <c r="H53" s="34">
        <f t="shared" si="2"/>
        <v>1312728</v>
      </c>
      <c r="I53" s="35"/>
      <c r="M53" s="59"/>
      <c r="N53" s="59"/>
    </row>
    <row r="54" spans="1:15" ht="14.25" customHeight="1">
      <c r="A54" s="32" t="s">
        <v>68</v>
      </c>
      <c r="B54" s="47"/>
      <c r="C54" s="47">
        <v>2658024</v>
      </c>
      <c r="D54" s="47">
        <v>2685776</v>
      </c>
      <c r="E54" s="48">
        <v>2292061</v>
      </c>
      <c r="F54" s="34">
        <f t="shared" si="0"/>
        <v>2292061</v>
      </c>
      <c r="G54" s="34">
        <f t="shared" si="1"/>
        <v>2685776</v>
      </c>
      <c r="H54" s="34">
        <f t="shared" si="2"/>
        <v>2658024</v>
      </c>
      <c r="I54" s="35"/>
      <c r="M54" s="60">
        <f>(D55-E55)/E55*100</f>
        <v>17.435720093269541</v>
      </c>
      <c r="N54" s="59"/>
    </row>
    <row r="55" spans="1:15" ht="13.5" thickBot="1">
      <c r="A55" s="50" t="s">
        <v>69</v>
      </c>
      <c r="B55" s="46">
        <f>B30</f>
        <v>0</v>
      </c>
      <c r="C55" s="46">
        <f>C30</f>
        <v>6327250</v>
      </c>
      <c r="D55" s="46">
        <f>D30</f>
        <v>5793373</v>
      </c>
      <c r="E55" s="46">
        <f>E30</f>
        <v>4933229</v>
      </c>
      <c r="F55" s="34">
        <f t="shared" si="0"/>
        <v>4933229</v>
      </c>
      <c r="G55" s="34">
        <f t="shared" si="1"/>
        <v>5793373</v>
      </c>
      <c r="H55" s="34">
        <f t="shared" si="2"/>
        <v>6327250</v>
      </c>
      <c r="I55" s="35"/>
      <c r="M55" s="60">
        <f>(D57-E57)/E57*100</f>
        <v>29.960643383985214</v>
      </c>
      <c r="N55" s="59"/>
    </row>
    <row r="56" spans="1:15">
      <c r="A56" s="41"/>
      <c r="B56" s="42"/>
      <c r="C56" s="42"/>
      <c r="D56" s="41"/>
      <c r="E56" s="35"/>
      <c r="F56" s="34"/>
      <c r="G56" s="34"/>
      <c r="H56" s="34"/>
      <c r="I56" s="35"/>
      <c r="M56" s="59"/>
      <c r="N56" s="59"/>
    </row>
    <row r="57" spans="1:15" ht="25.5">
      <c r="A57" s="51" t="s">
        <v>148</v>
      </c>
      <c r="B57" s="61" t="e">
        <f>B53/B55</f>
        <v>#DIV/0!</v>
      </c>
      <c r="C57" s="61">
        <f>C53/C55</f>
        <v>0.20747212454067723</v>
      </c>
      <c r="D57" s="61">
        <f>D53/D55</f>
        <v>0.26579524570573998</v>
      </c>
      <c r="E57" s="61">
        <f>E53/E55</f>
        <v>0.20451979829032871</v>
      </c>
      <c r="F57" s="34">
        <f t="shared" si="0"/>
        <v>0.20451979829032871</v>
      </c>
      <c r="G57" s="34">
        <f t="shared" si="1"/>
        <v>0.26579524570573998</v>
      </c>
      <c r="H57" s="34">
        <f t="shared" si="2"/>
        <v>0.20747212454067723</v>
      </c>
      <c r="I57" s="62"/>
    </row>
    <row r="58" spans="1:15">
      <c r="A58" s="51"/>
      <c r="B58" s="61"/>
      <c r="C58" s="61"/>
      <c r="D58" s="61"/>
      <c r="E58" s="61"/>
      <c r="F58" s="34"/>
      <c r="G58" s="34"/>
      <c r="H58" s="34"/>
      <c r="I58" s="62"/>
    </row>
    <row r="59" spans="1:15" s="43" customFormat="1">
      <c r="A59" s="63">
        <f>C55/C59*100</f>
        <v>70.417997269754935</v>
      </c>
      <c r="B59" s="64">
        <f>SUM(B54:B55)</f>
        <v>0</v>
      </c>
      <c r="C59" s="64">
        <f>SUM(C54:C55)</f>
        <v>8985274</v>
      </c>
      <c r="D59" s="64"/>
      <c r="E59" s="64"/>
      <c r="F59" s="65">
        <f t="shared" si="0"/>
        <v>0</v>
      </c>
      <c r="G59" s="65">
        <f t="shared" si="1"/>
        <v>0</v>
      </c>
      <c r="H59" s="65">
        <f t="shared" si="2"/>
        <v>8985274</v>
      </c>
      <c r="I59" s="64"/>
    </row>
    <row r="60" spans="1:15" ht="25.5">
      <c r="A60" s="51" t="s">
        <v>147</v>
      </c>
      <c r="B60" s="62" t="e">
        <f>B55/B9*100</f>
        <v>#DIV/0!</v>
      </c>
      <c r="C60" s="62">
        <f>C55/C9*100</f>
        <v>61.673731849271341</v>
      </c>
      <c r="D60" s="62">
        <f>D55/D9*100</f>
        <v>60.447569100958468</v>
      </c>
      <c r="E60" s="62">
        <f>E55/E9*100</f>
        <v>59.097572955100865</v>
      </c>
      <c r="F60" s="34">
        <f t="shared" si="0"/>
        <v>59.097572955100865</v>
      </c>
      <c r="G60" s="34">
        <f t="shared" si="1"/>
        <v>60.447569100958468</v>
      </c>
      <c r="H60" s="34">
        <f t="shared" si="2"/>
        <v>61.673731849271341</v>
      </c>
      <c r="I60" s="62"/>
    </row>
    <row r="61" spans="1:15" ht="13.5" thickBot="1">
      <c r="A61" s="41"/>
      <c r="B61" s="62"/>
      <c r="C61" s="62"/>
      <c r="D61" s="62"/>
      <c r="E61" s="62"/>
      <c r="F61" s="34">
        <f t="shared" si="0"/>
        <v>0</v>
      </c>
      <c r="G61" s="34">
        <f t="shared" si="1"/>
        <v>0</v>
      </c>
      <c r="H61" s="34">
        <f t="shared" si="2"/>
        <v>0</v>
      </c>
      <c r="I61" s="62"/>
    </row>
    <row r="62" spans="1:15" ht="25.5">
      <c r="A62" s="25" t="s">
        <v>105</v>
      </c>
      <c r="B62" s="44">
        <f>B51</f>
        <v>2011</v>
      </c>
      <c r="C62" s="44">
        <f>C51</f>
        <v>2007</v>
      </c>
      <c r="D62" s="45">
        <v>2001</v>
      </c>
      <c r="E62" s="29">
        <v>1996</v>
      </c>
      <c r="F62" s="29">
        <f t="shared" si="0"/>
        <v>1996</v>
      </c>
      <c r="G62" s="29">
        <f t="shared" si="1"/>
        <v>2001</v>
      </c>
      <c r="H62" s="29">
        <f t="shared" si="2"/>
        <v>2007</v>
      </c>
      <c r="I62" s="30"/>
      <c r="J62" s="31" t="s">
        <v>97</v>
      </c>
      <c r="K62" s="31" t="str">
        <f>K40</f>
        <v>% change 2001 - 2007</v>
      </c>
      <c r="L62" s="31" t="s">
        <v>106</v>
      </c>
      <c r="M62" s="31" t="s">
        <v>107</v>
      </c>
      <c r="N62" s="31" t="s">
        <v>149</v>
      </c>
    </row>
    <row r="63" spans="1:15" ht="15" customHeight="1">
      <c r="A63" s="32" t="s">
        <v>70</v>
      </c>
      <c r="B63" s="46"/>
      <c r="C63" s="46">
        <v>66442</v>
      </c>
      <c r="D63" s="46">
        <v>142859</v>
      </c>
      <c r="E63" s="46">
        <v>118071</v>
      </c>
      <c r="F63" s="34">
        <f t="shared" si="0"/>
        <v>118071</v>
      </c>
      <c r="G63" s="34">
        <f t="shared" si="1"/>
        <v>142859</v>
      </c>
      <c r="H63" s="34">
        <f t="shared" si="2"/>
        <v>66442</v>
      </c>
      <c r="I63" s="35"/>
      <c r="J63" s="36">
        <f>(D63-E63)/E63*100</f>
        <v>20.994147589162456</v>
      </c>
      <c r="K63" s="36">
        <f>(C63-D63)/D63*100</f>
        <v>-53.491204614340013</v>
      </c>
      <c r="L63" s="36">
        <f>E63/$E$52*100</f>
        <v>7.5177021380095033</v>
      </c>
      <c r="M63" s="36">
        <f>D63/$D$52*100</f>
        <v>8.8970473752716899</v>
      </c>
      <c r="N63" s="36"/>
    </row>
    <row r="64" spans="1:15" ht="15" customHeight="1">
      <c r="A64" s="32" t="s">
        <v>71</v>
      </c>
      <c r="B64" s="46"/>
      <c r="C64" s="46">
        <v>331727</v>
      </c>
      <c r="D64" s="46">
        <v>320721</v>
      </c>
      <c r="E64" s="46">
        <v>255540</v>
      </c>
      <c r="F64" s="34">
        <f t="shared" si="0"/>
        <v>255540</v>
      </c>
      <c r="G64" s="34">
        <f t="shared" si="1"/>
        <v>320721</v>
      </c>
      <c r="H64" s="34">
        <f t="shared" si="2"/>
        <v>331727</v>
      </c>
      <c r="I64" s="35"/>
      <c r="J64" s="36">
        <f t="shared" ref="J64:J72" si="22">(D64-E64)/E64*100</f>
        <v>25.507161305470767</v>
      </c>
      <c r="K64" s="36">
        <f>(C64-D64)/D64*100</f>
        <v>3.4316430791872063</v>
      </c>
      <c r="L64" s="36">
        <f t="shared" ref="L64:L72" si="23">E64/$E$52*100</f>
        <v>16.270494908546116</v>
      </c>
      <c r="M64" s="36">
        <f t="shared" ref="M64:M72" si="24">D64/$D$52*100</f>
        <v>19.974029856323451</v>
      </c>
      <c r="N64" s="36"/>
    </row>
    <row r="65" spans="1:15">
      <c r="A65" s="32" t="s">
        <v>6</v>
      </c>
      <c r="B65" s="46"/>
      <c r="C65" s="46">
        <v>129087</v>
      </c>
      <c r="D65" s="46">
        <v>76444</v>
      </c>
      <c r="E65" s="46">
        <v>85022</v>
      </c>
      <c r="F65" s="34">
        <f t="shared" si="0"/>
        <v>85022</v>
      </c>
      <c r="G65" s="34">
        <f t="shared" si="1"/>
        <v>76444</v>
      </c>
      <c r="H65" s="34">
        <f t="shared" si="2"/>
        <v>129087</v>
      </c>
      <c r="I65" s="35"/>
      <c r="J65" s="36">
        <f t="shared" si="22"/>
        <v>-10.08915339559173</v>
      </c>
      <c r="K65" s="36">
        <f>(C65-D65)/D65*100</f>
        <v>68.864789911569261</v>
      </c>
      <c r="L65" s="36">
        <f t="shared" si="23"/>
        <v>5.4134382801690846</v>
      </c>
      <c r="M65" s="36">
        <f t="shared" si="24"/>
        <v>4.7608193362355129</v>
      </c>
      <c r="N65" s="36"/>
    </row>
    <row r="66" spans="1:15">
      <c r="A66" s="32" t="s">
        <v>72</v>
      </c>
      <c r="B66" s="46"/>
      <c r="C66" s="46">
        <v>16075</v>
      </c>
      <c r="D66" s="46">
        <v>10745</v>
      </c>
      <c r="E66" s="46">
        <v>14104</v>
      </c>
      <c r="F66" s="34">
        <f t="shared" si="0"/>
        <v>14104</v>
      </c>
      <c r="G66" s="34">
        <f t="shared" si="1"/>
        <v>10745</v>
      </c>
      <c r="H66" s="34">
        <f t="shared" si="2"/>
        <v>16075</v>
      </c>
      <c r="I66" s="35"/>
      <c r="J66" s="36"/>
      <c r="K66" s="36"/>
      <c r="L66" s="36">
        <f t="shared" si="23"/>
        <v>0.89801620173019647</v>
      </c>
      <c r="M66" s="36">
        <f t="shared" si="24"/>
        <v>0.66918271895571368</v>
      </c>
      <c r="N66" s="36"/>
    </row>
    <row r="67" spans="1:15" ht="25.5">
      <c r="A67" s="32" t="s">
        <v>73</v>
      </c>
      <c r="B67" s="46"/>
      <c r="C67" s="46">
        <v>221766</v>
      </c>
      <c r="D67" s="46">
        <v>134889</v>
      </c>
      <c r="E67" s="46">
        <v>98600</v>
      </c>
      <c r="F67" s="34">
        <f t="shared" si="0"/>
        <v>98600</v>
      </c>
      <c r="G67" s="34">
        <f t="shared" si="1"/>
        <v>134889</v>
      </c>
      <c r="H67" s="34">
        <f t="shared" si="2"/>
        <v>221766</v>
      </c>
      <c r="I67" s="35"/>
      <c r="J67" s="36">
        <f t="shared" si="22"/>
        <v>36.804259634888439</v>
      </c>
      <c r="K67" s="36">
        <f t="shared" ref="K67:K72" si="25">(C67-D67)/D67*100</f>
        <v>64.406289615906402</v>
      </c>
      <c r="L67" s="36">
        <f t="shared" si="23"/>
        <v>6.2779635203202915</v>
      </c>
      <c r="M67" s="36">
        <f t="shared" si="24"/>
        <v>8.400687554882948</v>
      </c>
      <c r="N67" s="36"/>
    </row>
    <row r="68" spans="1:15">
      <c r="A68" s="32" t="s">
        <v>4</v>
      </c>
      <c r="B68" s="46"/>
      <c r="C68" s="46">
        <v>346904</v>
      </c>
      <c r="D68" s="46">
        <v>268138</v>
      </c>
      <c r="E68" s="46">
        <v>265701</v>
      </c>
      <c r="F68" s="34">
        <f t="shared" si="0"/>
        <v>265701</v>
      </c>
      <c r="G68" s="34">
        <f t="shared" si="1"/>
        <v>268138</v>
      </c>
      <c r="H68" s="34">
        <f t="shared" si="2"/>
        <v>346904</v>
      </c>
      <c r="I68" s="35"/>
      <c r="J68" s="36">
        <f t="shared" si="22"/>
        <v>0.91719639745428128</v>
      </c>
      <c r="K68" s="36">
        <f t="shared" si="25"/>
        <v>29.375172485809546</v>
      </c>
      <c r="L68" s="36">
        <f t="shared" si="23"/>
        <v>16.91745624049312</v>
      </c>
      <c r="M68" s="36">
        <f t="shared" si="24"/>
        <v>16.699238333675865</v>
      </c>
      <c r="N68" s="36"/>
    </row>
    <row r="69" spans="1:15">
      <c r="A69" s="32" t="s">
        <v>74</v>
      </c>
      <c r="B69" s="46"/>
      <c r="C69" s="46">
        <v>13395</v>
      </c>
      <c r="D69" s="46">
        <v>9186</v>
      </c>
      <c r="E69" s="46">
        <v>15861</v>
      </c>
      <c r="F69" s="34">
        <f t="shared" ref="F69:F120" si="26">E69</f>
        <v>15861</v>
      </c>
      <c r="G69" s="34">
        <f t="shared" si="1"/>
        <v>9186</v>
      </c>
      <c r="H69" s="34">
        <f t="shared" si="2"/>
        <v>13395</v>
      </c>
      <c r="I69" s="35"/>
      <c r="J69" s="36">
        <f t="shared" si="22"/>
        <v>-42.084357858899182</v>
      </c>
      <c r="K69" s="36">
        <f t="shared" si="25"/>
        <v>45.81972566949706</v>
      </c>
      <c r="L69" s="36">
        <f t="shared" si="23"/>
        <v>1.0098862007687641</v>
      </c>
      <c r="M69" s="36">
        <f t="shared" si="24"/>
        <v>0.57209050314817933</v>
      </c>
      <c r="N69" s="36"/>
    </row>
    <row r="70" spans="1:15">
      <c r="A70" s="32" t="s">
        <v>75</v>
      </c>
      <c r="B70" s="46"/>
      <c r="C70" s="46">
        <v>224490</v>
      </c>
      <c r="D70" s="46">
        <v>148502</v>
      </c>
      <c r="E70" s="46">
        <v>173558</v>
      </c>
      <c r="F70" s="34">
        <f t="shared" si="26"/>
        <v>173558</v>
      </c>
      <c r="G70" s="34">
        <f t="shared" si="1"/>
        <v>148502</v>
      </c>
      <c r="H70" s="34">
        <f t="shared" si="2"/>
        <v>224490</v>
      </c>
      <c r="I70" s="35"/>
      <c r="J70" s="36">
        <f t="shared" si="22"/>
        <v>-14.436672466841054</v>
      </c>
      <c r="K70" s="36">
        <f t="shared" si="25"/>
        <v>51.169681216414595</v>
      </c>
      <c r="L70" s="36">
        <f t="shared" si="23"/>
        <v>11.050616558415305</v>
      </c>
      <c r="M70" s="36">
        <f t="shared" si="24"/>
        <v>9.2484850749522014</v>
      </c>
      <c r="N70" s="36"/>
    </row>
    <row r="71" spans="1:15" ht="12.75" customHeight="1">
      <c r="A71" s="32" t="s">
        <v>76</v>
      </c>
      <c r="B71" s="46"/>
      <c r="C71" s="46">
        <v>88430</v>
      </c>
      <c r="D71" s="46">
        <v>82028</v>
      </c>
      <c r="E71" s="46">
        <v>86899</v>
      </c>
      <c r="F71" s="34">
        <f t="shared" si="26"/>
        <v>86899</v>
      </c>
      <c r="G71" s="34">
        <f t="shared" si="1"/>
        <v>82028</v>
      </c>
      <c r="H71" s="34">
        <f t="shared" si="2"/>
        <v>88430</v>
      </c>
      <c r="I71" s="35"/>
      <c r="J71" s="36">
        <f t="shared" si="22"/>
        <v>-5.6053579442801409</v>
      </c>
      <c r="K71" s="36">
        <f t="shared" si="25"/>
        <v>7.8046520700248703</v>
      </c>
      <c r="L71" s="36">
        <f t="shared" si="23"/>
        <v>5.5329488027617941</v>
      </c>
      <c r="M71" s="36">
        <f t="shared" si="24"/>
        <v>5.1085826031176635</v>
      </c>
      <c r="N71" s="36"/>
    </row>
    <row r="72" spans="1:15">
      <c r="A72" s="32" t="s">
        <v>77</v>
      </c>
      <c r="B72" s="46"/>
      <c r="C72" s="46">
        <v>297349</v>
      </c>
      <c r="D72" s="46">
        <v>240627</v>
      </c>
      <c r="E72" s="46">
        <v>169862</v>
      </c>
      <c r="F72" s="34">
        <f t="shared" si="26"/>
        <v>169862</v>
      </c>
      <c r="G72" s="34">
        <f t="shared" ref="G72:G121" si="27">D72</f>
        <v>240627</v>
      </c>
      <c r="H72" s="34">
        <f t="shared" ref="H72:H121" si="28">C72</f>
        <v>297349</v>
      </c>
      <c r="I72" s="35"/>
      <c r="J72" s="36">
        <f t="shared" si="22"/>
        <v>41.660288940434</v>
      </c>
      <c r="K72" s="36">
        <f t="shared" si="25"/>
        <v>23.572583292814191</v>
      </c>
      <c r="L72" s="36">
        <f t="shared" si="23"/>
        <v>10.815288432947719</v>
      </c>
      <c r="M72" s="36">
        <f t="shared" si="24"/>
        <v>14.985893914765617</v>
      </c>
      <c r="N72" s="36"/>
    </row>
    <row r="73" spans="1:15">
      <c r="A73" s="41"/>
      <c r="B73" s="66"/>
      <c r="C73" s="66"/>
      <c r="D73" s="66"/>
      <c r="E73" s="66"/>
      <c r="F73" s="34"/>
      <c r="G73" s="34"/>
      <c r="H73" s="34"/>
      <c r="I73" s="35"/>
      <c r="J73" s="36"/>
      <c r="K73" s="36"/>
      <c r="L73" s="36"/>
      <c r="M73" s="36"/>
      <c r="N73" s="36"/>
    </row>
    <row r="74" spans="1:15" ht="18.75" customHeight="1">
      <c r="A74" s="19" t="s">
        <v>78</v>
      </c>
      <c r="B74" s="19"/>
      <c r="C74" s="19"/>
      <c r="F74" s="34">
        <f t="shared" si="26"/>
        <v>0</v>
      </c>
      <c r="G74" s="34">
        <f t="shared" si="27"/>
        <v>0</v>
      </c>
      <c r="H74" s="34">
        <f t="shared" si="28"/>
        <v>0</v>
      </c>
      <c r="O74" s="36"/>
    </row>
    <row r="75" spans="1:15">
      <c r="A75" s="19"/>
      <c r="B75" s="19"/>
      <c r="C75" s="19"/>
      <c r="F75" s="34">
        <f t="shared" si="26"/>
        <v>0</v>
      </c>
      <c r="G75" s="34">
        <f t="shared" si="27"/>
        <v>0</v>
      </c>
      <c r="H75" s="34">
        <f t="shared" si="28"/>
        <v>0</v>
      </c>
      <c r="O75" s="36"/>
    </row>
    <row r="76" spans="1:15">
      <c r="A76" s="19" t="s">
        <v>140</v>
      </c>
      <c r="B76" s="67">
        <f>B63+B69</f>
        <v>0</v>
      </c>
      <c r="C76" s="67">
        <f>C63+C69</f>
        <v>79837</v>
      </c>
      <c r="D76" s="67">
        <f>D63+D69</f>
        <v>152045</v>
      </c>
      <c r="E76" s="67">
        <f>E63+E69</f>
        <v>133932</v>
      </c>
      <c r="F76" s="34">
        <f t="shared" si="26"/>
        <v>133932</v>
      </c>
      <c r="G76" s="34">
        <f t="shared" si="27"/>
        <v>152045</v>
      </c>
      <c r="H76" s="34">
        <f t="shared" si="28"/>
        <v>79837</v>
      </c>
      <c r="O76" s="36"/>
    </row>
    <row r="77" spans="1:15">
      <c r="A77" s="19" t="s">
        <v>141</v>
      </c>
      <c r="B77" s="67">
        <f>B65+B66+B68+B71</f>
        <v>0</v>
      </c>
      <c r="C77" s="67">
        <f>C65+C66+C68+C71</f>
        <v>580496</v>
      </c>
      <c r="D77" s="67">
        <f>D65+D66+D68+D71</f>
        <v>437355</v>
      </c>
      <c r="E77" s="67">
        <f>E65+E66+E68+E71</f>
        <v>451726</v>
      </c>
      <c r="F77" s="34">
        <f t="shared" si="26"/>
        <v>451726</v>
      </c>
      <c r="G77" s="34">
        <f t="shared" si="27"/>
        <v>437355</v>
      </c>
      <c r="H77" s="34">
        <f t="shared" si="28"/>
        <v>580496</v>
      </c>
      <c r="O77" s="36"/>
    </row>
    <row r="78" spans="1:15">
      <c r="A78" s="19" t="s">
        <v>142</v>
      </c>
      <c r="B78" s="67">
        <f>B64+B67+B70+B72</f>
        <v>0</v>
      </c>
      <c r="C78" s="67">
        <f>C64+C67+C70+C72</f>
        <v>1075332</v>
      </c>
      <c r="D78" s="67">
        <f>D64+D67+D70+D72</f>
        <v>844739</v>
      </c>
      <c r="E78" s="67">
        <f>E64+E67+E70+E72</f>
        <v>697560</v>
      </c>
      <c r="F78" s="34">
        <f t="shared" si="26"/>
        <v>697560</v>
      </c>
      <c r="G78" s="34">
        <f t="shared" si="27"/>
        <v>844739</v>
      </c>
      <c r="H78" s="34">
        <f t="shared" si="28"/>
        <v>1075332</v>
      </c>
      <c r="O78" s="36"/>
    </row>
    <row r="79" spans="1:15" ht="13.5" thickBot="1">
      <c r="A79" s="19"/>
      <c r="B79" s="19"/>
      <c r="C79" s="19"/>
      <c r="F79" s="34">
        <f t="shared" si="26"/>
        <v>0</v>
      </c>
      <c r="G79" s="34">
        <f t="shared" si="27"/>
        <v>0</v>
      </c>
      <c r="H79" s="34">
        <f t="shared" si="28"/>
        <v>0</v>
      </c>
      <c r="O79" s="36"/>
    </row>
    <row r="80" spans="1:15" ht="25.5">
      <c r="A80" s="25" t="s">
        <v>39</v>
      </c>
      <c r="B80" s="44">
        <f>B62</f>
        <v>2011</v>
      </c>
      <c r="C80" s="44">
        <f>C62</f>
        <v>2007</v>
      </c>
      <c r="D80" s="45">
        <v>2001</v>
      </c>
      <c r="E80" s="29">
        <v>1996</v>
      </c>
      <c r="F80" s="29">
        <f t="shared" si="26"/>
        <v>1996</v>
      </c>
      <c r="G80" s="29">
        <f t="shared" si="27"/>
        <v>2001</v>
      </c>
      <c r="H80" s="29">
        <f t="shared" si="28"/>
        <v>2007</v>
      </c>
      <c r="I80" s="30"/>
      <c r="J80" s="31" t="s">
        <v>97</v>
      </c>
      <c r="K80" s="31" t="str">
        <f>K62</f>
        <v>% change 2001 - 2007</v>
      </c>
      <c r="L80" s="31" t="s">
        <v>106</v>
      </c>
      <c r="M80" s="31" t="str">
        <f>M62</f>
        <v>% of employed 2001</v>
      </c>
      <c r="N80" s="31"/>
    </row>
    <row r="81" spans="1:14">
      <c r="A81" s="32" t="s">
        <v>79</v>
      </c>
      <c r="B81" s="46"/>
      <c r="C81" s="46">
        <v>157981</v>
      </c>
      <c r="D81" s="46">
        <v>173963</v>
      </c>
      <c r="E81" s="46">
        <v>109240</v>
      </c>
      <c r="F81" s="34">
        <f t="shared" si="26"/>
        <v>109240</v>
      </c>
      <c r="G81" s="34">
        <f t="shared" si="27"/>
        <v>173963</v>
      </c>
      <c r="H81" s="34">
        <f t="shared" si="28"/>
        <v>157981</v>
      </c>
      <c r="I81" s="35"/>
      <c r="J81" s="36">
        <f>(D81-E81)/E81*100</f>
        <v>59.248443793482238</v>
      </c>
      <c r="K81" s="36">
        <f t="shared" ref="K81:K89" si="29">(C81-D81)/D81*100</f>
        <v>-9.1870110310813207</v>
      </c>
      <c r="L81" s="36">
        <f>E81/$E$52*100</f>
        <v>6.9554232754542449</v>
      </c>
      <c r="M81" s="36">
        <f>D81/$D$52*100</f>
        <v>10.834158523749915</v>
      </c>
      <c r="N81" s="36"/>
    </row>
    <row r="82" spans="1:14">
      <c r="A82" s="32" t="s">
        <v>122</v>
      </c>
      <c r="B82" s="46"/>
      <c r="C82" s="46">
        <v>257028</v>
      </c>
      <c r="D82" s="46">
        <v>180316</v>
      </c>
      <c r="E82" s="46">
        <v>189098</v>
      </c>
      <c r="F82" s="34">
        <f t="shared" si="26"/>
        <v>189098</v>
      </c>
      <c r="G82" s="34">
        <f t="shared" si="27"/>
        <v>180316</v>
      </c>
      <c r="H82" s="34">
        <f t="shared" si="28"/>
        <v>257028</v>
      </c>
      <c r="I82" s="35"/>
      <c r="J82" s="36">
        <f t="shared" ref="J82:J88" si="30">(D82-E82)/E82*100</f>
        <v>-4.6441527673481477</v>
      </c>
      <c r="K82" s="36">
        <f t="shared" si="29"/>
        <v>42.543091017990633</v>
      </c>
      <c r="L82" s="36">
        <f t="shared" ref="L82:L88" si="31">E82/$E$52*100</f>
        <v>12.040064358676737</v>
      </c>
      <c r="M82" s="36">
        <f t="shared" ref="M82:M89" si="32">D82/$D$52*100</f>
        <v>11.229813974054768</v>
      </c>
      <c r="N82" s="36"/>
    </row>
    <row r="83" spans="1:14">
      <c r="A83" s="32" t="s">
        <v>150</v>
      </c>
      <c r="B83" s="46"/>
      <c r="C83" s="46">
        <v>419201</v>
      </c>
      <c r="D83" s="46">
        <v>397565</v>
      </c>
      <c r="E83" s="46">
        <v>377479</v>
      </c>
      <c r="F83" s="34">
        <f t="shared" si="26"/>
        <v>377479</v>
      </c>
      <c r="G83" s="34">
        <f t="shared" si="27"/>
        <v>397565</v>
      </c>
      <c r="H83" s="34">
        <f t="shared" si="28"/>
        <v>419201</v>
      </c>
      <c r="I83" s="35"/>
      <c r="J83" s="36">
        <f t="shared" si="30"/>
        <v>5.3210907096818634</v>
      </c>
      <c r="K83" s="36">
        <f t="shared" si="29"/>
        <v>5.4421289600442693</v>
      </c>
      <c r="L83" s="36">
        <f t="shared" si="31"/>
        <v>24.034476589117475</v>
      </c>
      <c r="M83" s="36">
        <f t="shared" si="32"/>
        <v>24.759760601361407</v>
      </c>
      <c r="N83" s="36"/>
    </row>
    <row r="84" spans="1:14" ht="25.5">
      <c r="A84" s="32" t="s">
        <v>119</v>
      </c>
      <c r="B84" s="46"/>
      <c r="C84" s="46">
        <v>171396</v>
      </c>
      <c r="D84" s="46">
        <v>82501</v>
      </c>
      <c r="E84" s="46">
        <v>49489</v>
      </c>
      <c r="F84" s="34">
        <f t="shared" si="26"/>
        <v>49489</v>
      </c>
      <c r="G84" s="34">
        <f t="shared" si="27"/>
        <v>82501</v>
      </c>
      <c r="H84" s="34">
        <f t="shared" si="28"/>
        <v>171396</v>
      </c>
      <c r="I84" s="35"/>
      <c r="J84" s="36">
        <f t="shared" si="30"/>
        <v>66.705732587039549</v>
      </c>
      <c r="K84" s="36">
        <f t="shared" si="29"/>
        <v>107.75020908837469</v>
      </c>
      <c r="L84" s="36">
        <f t="shared" si="31"/>
        <v>3.1510155847579191</v>
      </c>
      <c r="M84" s="36">
        <f t="shared" si="32"/>
        <v>5.1380403440265559</v>
      </c>
      <c r="N84" s="36"/>
    </row>
    <row r="85" spans="1:14" ht="25.5">
      <c r="A85" s="32" t="s">
        <v>123</v>
      </c>
      <c r="B85" s="46"/>
      <c r="C85" s="46">
        <v>182623</v>
      </c>
      <c r="D85" s="46">
        <v>160915</v>
      </c>
      <c r="E85" s="46">
        <v>139374</v>
      </c>
      <c r="F85" s="34">
        <f t="shared" si="26"/>
        <v>139374</v>
      </c>
      <c r="G85" s="34">
        <f t="shared" si="27"/>
        <v>160915</v>
      </c>
      <c r="H85" s="34">
        <f t="shared" si="28"/>
        <v>182623</v>
      </c>
      <c r="I85" s="35"/>
      <c r="J85" s="36">
        <f t="shared" si="30"/>
        <v>15.455536900713188</v>
      </c>
      <c r="K85" s="36">
        <f t="shared" si="29"/>
        <v>13.490352049218531</v>
      </c>
      <c r="L85" s="36">
        <f t="shared" si="31"/>
        <v>8.8740860819586231</v>
      </c>
      <c r="M85" s="36">
        <f t="shared" si="32"/>
        <v>10.021548368614116</v>
      </c>
      <c r="N85" s="36"/>
    </row>
    <row r="86" spans="1:14">
      <c r="A86" s="32" t="s">
        <v>80</v>
      </c>
      <c r="B86" s="46"/>
      <c r="C86" s="46">
        <v>240680</v>
      </c>
      <c r="D86" s="46">
        <v>100235</v>
      </c>
      <c r="E86" s="46">
        <v>147635</v>
      </c>
      <c r="F86" s="34">
        <f t="shared" si="26"/>
        <v>147635</v>
      </c>
      <c r="G86" s="34">
        <f t="shared" si="27"/>
        <v>100235</v>
      </c>
      <c r="H86" s="34">
        <f t="shared" si="28"/>
        <v>240680</v>
      </c>
      <c r="I86" s="35"/>
      <c r="J86" s="36">
        <f t="shared" si="30"/>
        <v>-32.106207877535816</v>
      </c>
      <c r="K86" s="36">
        <f t="shared" si="29"/>
        <v>140.11572803910809</v>
      </c>
      <c r="L86" s="36">
        <f t="shared" si="31"/>
        <v>9.4000724576317065</v>
      </c>
      <c r="M86" s="36">
        <f t="shared" si="32"/>
        <v>6.2424876532830122</v>
      </c>
      <c r="N86" s="36"/>
    </row>
    <row r="87" spans="1:14" ht="25.5">
      <c r="A87" s="32" t="s">
        <v>151</v>
      </c>
      <c r="B87" s="46"/>
      <c r="C87" s="46">
        <v>211973</v>
      </c>
      <c r="D87" s="46">
        <v>164915</v>
      </c>
      <c r="E87" s="46">
        <v>127646</v>
      </c>
      <c r="F87" s="34">
        <f t="shared" si="26"/>
        <v>127646</v>
      </c>
      <c r="G87" s="34">
        <f t="shared" si="27"/>
        <v>164915</v>
      </c>
      <c r="H87" s="34">
        <f t="shared" si="28"/>
        <v>211973</v>
      </c>
      <c r="I87" s="35"/>
      <c r="J87" s="36">
        <f t="shared" si="30"/>
        <v>29.197154630775739</v>
      </c>
      <c r="K87" s="36">
        <f t="shared" si="29"/>
        <v>28.534699693781647</v>
      </c>
      <c r="L87" s="36">
        <f t="shared" si="31"/>
        <v>8.1273522466004451</v>
      </c>
      <c r="M87" s="36">
        <f t="shared" si="32"/>
        <v>10.270662456638579</v>
      </c>
      <c r="N87" s="36"/>
    </row>
    <row r="88" spans="1:14" ht="25.5">
      <c r="A88" s="32" t="s">
        <v>121</v>
      </c>
      <c r="B88" s="46"/>
      <c r="C88" s="46">
        <v>86856</v>
      </c>
      <c r="D88" s="46">
        <v>44343</v>
      </c>
      <c r="E88" s="46">
        <v>51741</v>
      </c>
      <c r="F88" s="34">
        <f t="shared" si="26"/>
        <v>51741</v>
      </c>
      <c r="G88" s="34">
        <f t="shared" si="27"/>
        <v>44343</v>
      </c>
      <c r="H88" s="34">
        <f t="shared" si="28"/>
        <v>86856</v>
      </c>
      <c r="I88" s="35"/>
      <c r="J88" s="36">
        <f t="shared" si="30"/>
        <v>-14.298138806749</v>
      </c>
      <c r="K88" s="36">
        <f t="shared" si="29"/>
        <v>95.873080305797984</v>
      </c>
      <c r="L88" s="36">
        <f t="shared" si="31"/>
        <v>3.294402743457324</v>
      </c>
      <c r="M88" s="36">
        <f t="shared" si="32"/>
        <v>2.7616165013171905</v>
      </c>
      <c r="N88" s="36"/>
    </row>
    <row r="89" spans="1:14" ht="25.5">
      <c r="A89" s="32" t="s">
        <v>120</v>
      </c>
      <c r="B89" s="46"/>
      <c r="C89" s="46">
        <v>121913</v>
      </c>
      <c r="D89" s="46">
        <v>172463</v>
      </c>
      <c r="E89" s="46">
        <v>91364</v>
      </c>
      <c r="F89" s="34">
        <f t="shared" si="26"/>
        <v>91364</v>
      </c>
      <c r="G89" s="34">
        <f t="shared" si="27"/>
        <v>172463</v>
      </c>
      <c r="H89" s="34">
        <f t="shared" si="28"/>
        <v>121913</v>
      </c>
      <c r="I89" s="35"/>
      <c r="J89" s="36">
        <f>(D89-E89)/E89*100</f>
        <v>88.764721334442456</v>
      </c>
      <c r="K89" s="36">
        <f t="shared" si="29"/>
        <v>-29.310634744843821</v>
      </c>
      <c r="L89" s="36">
        <f>E89/$E$52*100</f>
        <v>5.817239950005507</v>
      </c>
      <c r="M89" s="36">
        <f t="shared" si="32"/>
        <v>10.74074074074074</v>
      </c>
      <c r="N89" s="36"/>
    </row>
    <row r="90" spans="1:14" ht="13.5" thickBot="1">
      <c r="A90" s="68"/>
      <c r="B90" s="69"/>
      <c r="C90" s="69"/>
      <c r="D90" s="70"/>
      <c r="E90" s="71"/>
      <c r="F90" s="34">
        <f t="shared" si="26"/>
        <v>0</v>
      </c>
      <c r="G90" s="34">
        <f t="shared" si="27"/>
        <v>0</v>
      </c>
      <c r="H90" s="34">
        <f t="shared" si="28"/>
        <v>0</v>
      </c>
      <c r="I90" s="35"/>
      <c r="J90" s="36"/>
      <c r="K90" s="36"/>
      <c r="L90" s="36"/>
      <c r="M90" s="36"/>
      <c r="N90" s="36"/>
    </row>
    <row r="91" spans="1:14" ht="25.5">
      <c r="A91" s="72" t="s">
        <v>108</v>
      </c>
      <c r="B91" s="73">
        <f>B80</f>
        <v>2011</v>
      </c>
      <c r="C91" s="73">
        <f>C80</f>
        <v>2007</v>
      </c>
      <c r="D91" s="45">
        <v>2001</v>
      </c>
      <c r="E91" s="86">
        <v>1996</v>
      </c>
      <c r="F91" s="29">
        <f t="shared" si="26"/>
        <v>1996</v>
      </c>
      <c r="G91" s="29">
        <f t="shared" si="27"/>
        <v>2001</v>
      </c>
      <c r="H91" s="29">
        <f t="shared" si="28"/>
        <v>2007</v>
      </c>
      <c r="I91" s="74"/>
      <c r="J91" s="75">
        <v>2007</v>
      </c>
      <c r="K91" s="75">
        <v>2001</v>
      </c>
      <c r="L91" s="75">
        <v>1996</v>
      </c>
      <c r="M91" s="43"/>
      <c r="N91" s="43"/>
    </row>
    <row r="92" spans="1:14">
      <c r="A92" s="32" t="s">
        <v>58</v>
      </c>
      <c r="B92" s="46"/>
      <c r="C92" s="46">
        <v>5076097</v>
      </c>
      <c r="D92" s="46">
        <v>7001831</v>
      </c>
      <c r="E92" s="52">
        <v>22331</v>
      </c>
      <c r="F92" s="34">
        <f t="shared" si="26"/>
        <v>22331</v>
      </c>
      <c r="G92" s="34">
        <f t="shared" si="27"/>
        <v>7001831</v>
      </c>
      <c r="H92" s="34">
        <f t="shared" si="28"/>
        <v>5076097</v>
      </c>
      <c r="I92" s="35"/>
      <c r="J92" s="43"/>
      <c r="K92" s="43"/>
      <c r="L92" s="43"/>
      <c r="M92" s="43"/>
      <c r="N92" s="43"/>
    </row>
    <row r="93" spans="1:14">
      <c r="A93" s="32" t="s">
        <v>81</v>
      </c>
      <c r="B93" s="46"/>
      <c r="C93" s="46">
        <v>1852232</v>
      </c>
      <c r="D93" s="46">
        <v>548744</v>
      </c>
      <c r="E93" s="52">
        <v>710</v>
      </c>
      <c r="F93" s="34">
        <f t="shared" si="26"/>
        <v>710</v>
      </c>
      <c r="G93" s="34">
        <f t="shared" si="27"/>
        <v>548744</v>
      </c>
      <c r="H93" s="34">
        <f t="shared" si="28"/>
        <v>1852232</v>
      </c>
      <c r="I93" s="35"/>
      <c r="J93" s="76">
        <f t="shared" ref="J93:J103" si="33">C93*M93</f>
        <v>370446400</v>
      </c>
      <c r="K93" s="76">
        <f t="shared" ref="K93:K103" si="34">D93*M93</f>
        <v>109748800</v>
      </c>
      <c r="L93" s="76">
        <f t="shared" ref="L93:L103" si="35">E93*M93</f>
        <v>142000</v>
      </c>
      <c r="M93" s="43">
        <v>200</v>
      </c>
      <c r="N93" s="43"/>
    </row>
    <row r="94" spans="1:14">
      <c r="A94" s="32" t="s">
        <v>82</v>
      </c>
      <c r="B94" s="46"/>
      <c r="C94" s="46">
        <v>506078</v>
      </c>
      <c r="D94" s="46">
        <v>851506</v>
      </c>
      <c r="E94" s="52">
        <v>4324</v>
      </c>
      <c r="F94" s="34">
        <f t="shared" si="26"/>
        <v>4324</v>
      </c>
      <c r="G94" s="34">
        <f t="shared" si="27"/>
        <v>851506</v>
      </c>
      <c r="H94" s="34">
        <f t="shared" si="28"/>
        <v>506078</v>
      </c>
      <c r="I94" s="35"/>
      <c r="J94" s="76">
        <f t="shared" si="33"/>
        <v>303646800</v>
      </c>
      <c r="K94" s="76">
        <f t="shared" si="34"/>
        <v>510903600</v>
      </c>
      <c r="L94" s="76">
        <f t="shared" si="35"/>
        <v>2594400</v>
      </c>
      <c r="M94" s="43">
        <v>600</v>
      </c>
      <c r="N94" s="43"/>
    </row>
    <row r="95" spans="1:14">
      <c r="A95" s="32" t="s">
        <v>83</v>
      </c>
      <c r="B95" s="46"/>
      <c r="C95" s="46">
        <v>1199727</v>
      </c>
      <c r="D95" s="46">
        <v>393905</v>
      </c>
      <c r="E95" s="52">
        <v>500</v>
      </c>
      <c r="F95" s="34">
        <f t="shared" si="26"/>
        <v>500</v>
      </c>
      <c r="G95" s="34">
        <f t="shared" si="27"/>
        <v>393905</v>
      </c>
      <c r="H95" s="34">
        <f t="shared" si="28"/>
        <v>1199727</v>
      </c>
      <c r="I95" s="35"/>
      <c r="J95" s="76">
        <f t="shared" si="33"/>
        <v>1439672400</v>
      </c>
      <c r="K95" s="76">
        <f t="shared" si="34"/>
        <v>472686000</v>
      </c>
      <c r="L95" s="76">
        <f t="shared" si="35"/>
        <v>600000</v>
      </c>
      <c r="M95" s="43">
        <v>1200</v>
      </c>
      <c r="N95" s="43"/>
    </row>
    <row r="96" spans="1:14">
      <c r="A96" s="32" t="s">
        <v>84</v>
      </c>
      <c r="B96" s="46"/>
      <c r="C96" s="46">
        <v>370084</v>
      </c>
      <c r="D96" s="46">
        <v>346716</v>
      </c>
      <c r="E96" s="52">
        <v>545</v>
      </c>
      <c r="F96" s="34">
        <f t="shared" si="26"/>
        <v>545</v>
      </c>
      <c r="G96" s="34">
        <f t="shared" si="27"/>
        <v>346716</v>
      </c>
      <c r="H96" s="34">
        <f t="shared" si="28"/>
        <v>370084</v>
      </c>
      <c r="I96" s="35"/>
      <c r="J96" s="76">
        <f t="shared" si="33"/>
        <v>888201600</v>
      </c>
      <c r="K96" s="76">
        <f t="shared" si="34"/>
        <v>832118400</v>
      </c>
      <c r="L96" s="76">
        <f t="shared" si="35"/>
        <v>1308000</v>
      </c>
      <c r="M96" s="43">
        <v>2400</v>
      </c>
      <c r="N96" s="43"/>
    </row>
    <row r="97" spans="1:14">
      <c r="A97" s="32" t="s">
        <v>85</v>
      </c>
      <c r="B97" s="46"/>
      <c r="C97" s="46">
        <v>307417</v>
      </c>
      <c r="D97" s="46">
        <v>253475</v>
      </c>
      <c r="E97" s="52">
        <v>429</v>
      </c>
      <c r="F97" s="34">
        <f t="shared" si="26"/>
        <v>429</v>
      </c>
      <c r="G97" s="34">
        <f t="shared" si="27"/>
        <v>253475</v>
      </c>
      <c r="H97" s="34">
        <f t="shared" si="28"/>
        <v>307417</v>
      </c>
      <c r="I97" s="35"/>
      <c r="J97" s="76">
        <f t="shared" si="33"/>
        <v>1475601600</v>
      </c>
      <c r="K97" s="76">
        <f t="shared" si="34"/>
        <v>1216680000</v>
      </c>
      <c r="L97" s="76">
        <f t="shared" si="35"/>
        <v>2059200</v>
      </c>
      <c r="M97" s="43">
        <v>4800</v>
      </c>
      <c r="N97" s="43"/>
    </row>
    <row r="98" spans="1:14">
      <c r="A98" s="32" t="s">
        <v>86</v>
      </c>
      <c r="B98" s="46"/>
      <c r="C98" s="46">
        <v>236783</v>
      </c>
      <c r="D98" s="46">
        <v>122773</v>
      </c>
      <c r="E98" s="52">
        <v>33</v>
      </c>
      <c r="F98" s="34">
        <f t="shared" si="26"/>
        <v>33</v>
      </c>
      <c r="G98" s="34">
        <f t="shared" si="27"/>
        <v>122773</v>
      </c>
      <c r="H98" s="34">
        <f t="shared" si="28"/>
        <v>236783</v>
      </c>
      <c r="I98" s="35"/>
      <c r="J98" s="76">
        <f t="shared" si="33"/>
        <v>2273116800</v>
      </c>
      <c r="K98" s="76">
        <f t="shared" si="34"/>
        <v>1178620800</v>
      </c>
      <c r="L98" s="76">
        <f t="shared" si="35"/>
        <v>316800</v>
      </c>
      <c r="M98" s="43">
        <v>9600</v>
      </c>
      <c r="N98" s="43"/>
    </row>
    <row r="99" spans="1:14">
      <c r="A99" s="32" t="s">
        <v>87</v>
      </c>
      <c r="B99" s="46"/>
      <c r="C99" s="46">
        <v>82566</v>
      </c>
      <c r="D99" s="46">
        <v>39314</v>
      </c>
      <c r="E99" s="52">
        <v>10</v>
      </c>
      <c r="F99" s="34">
        <f t="shared" si="26"/>
        <v>10</v>
      </c>
      <c r="G99" s="34">
        <f t="shared" si="27"/>
        <v>39314</v>
      </c>
      <c r="H99" s="34">
        <f t="shared" si="28"/>
        <v>82566</v>
      </c>
      <c r="I99" s="35"/>
      <c r="J99" s="76">
        <f t="shared" si="33"/>
        <v>1585267200</v>
      </c>
      <c r="K99" s="76">
        <f t="shared" si="34"/>
        <v>754828800</v>
      </c>
      <c r="L99" s="76">
        <f t="shared" si="35"/>
        <v>192000</v>
      </c>
      <c r="M99" s="43">
        <v>19200</v>
      </c>
      <c r="N99" s="43"/>
    </row>
    <row r="100" spans="1:14">
      <c r="A100" s="32" t="s">
        <v>88</v>
      </c>
      <c r="B100" s="46"/>
      <c r="C100" s="46">
        <v>34672</v>
      </c>
      <c r="D100" s="46">
        <v>12588</v>
      </c>
      <c r="E100" s="52">
        <v>6</v>
      </c>
      <c r="F100" s="34">
        <f t="shared" si="26"/>
        <v>6</v>
      </c>
      <c r="G100" s="34">
        <f t="shared" si="27"/>
        <v>12588</v>
      </c>
      <c r="H100" s="34">
        <f t="shared" si="28"/>
        <v>34672</v>
      </c>
      <c r="I100" s="35"/>
      <c r="J100" s="76">
        <f t="shared" si="33"/>
        <v>1331404800</v>
      </c>
      <c r="K100" s="76">
        <f t="shared" si="34"/>
        <v>483379200</v>
      </c>
      <c r="L100" s="76">
        <f t="shared" si="35"/>
        <v>230400</v>
      </c>
      <c r="M100" s="43">
        <v>38400</v>
      </c>
      <c r="N100" s="43"/>
    </row>
    <row r="101" spans="1:14">
      <c r="A101" s="32" t="s">
        <v>89</v>
      </c>
      <c r="B101" s="46"/>
      <c r="C101" s="46">
        <v>9379</v>
      </c>
      <c r="D101" s="46">
        <v>6263</v>
      </c>
      <c r="E101" s="52">
        <v>4</v>
      </c>
      <c r="F101" s="34">
        <f t="shared" si="26"/>
        <v>4</v>
      </c>
      <c r="G101" s="34">
        <f t="shared" si="27"/>
        <v>6263</v>
      </c>
      <c r="H101" s="34">
        <f t="shared" si="28"/>
        <v>9379</v>
      </c>
      <c r="I101" s="35"/>
      <c r="J101" s="76">
        <f t="shared" si="33"/>
        <v>720307200</v>
      </c>
      <c r="K101" s="76">
        <f t="shared" si="34"/>
        <v>480998400</v>
      </c>
      <c r="L101" s="76">
        <f t="shared" si="35"/>
        <v>307200</v>
      </c>
      <c r="M101" s="43">
        <v>76800</v>
      </c>
      <c r="N101" s="43"/>
    </row>
    <row r="102" spans="1:14">
      <c r="A102" s="32" t="s">
        <v>90</v>
      </c>
      <c r="B102" s="46"/>
      <c r="C102" s="46">
        <v>9841</v>
      </c>
      <c r="D102" s="46">
        <v>5424</v>
      </c>
      <c r="E102" s="52">
        <v>0</v>
      </c>
      <c r="F102" s="34">
        <f t="shared" si="26"/>
        <v>0</v>
      </c>
      <c r="G102" s="34">
        <f t="shared" si="27"/>
        <v>5424</v>
      </c>
      <c r="H102" s="34">
        <f t="shared" si="28"/>
        <v>9841</v>
      </c>
      <c r="I102" s="35"/>
      <c r="J102" s="76">
        <f t="shared" si="33"/>
        <v>1511577600</v>
      </c>
      <c r="K102" s="76">
        <f t="shared" si="34"/>
        <v>833126400</v>
      </c>
      <c r="L102" s="76">
        <f t="shared" si="35"/>
        <v>0</v>
      </c>
      <c r="M102" s="43">
        <v>153600</v>
      </c>
      <c r="N102" s="43"/>
    </row>
    <row r="103" spans="1:14" ht="13.5" thickBot="1">
      <c r="A103" s="50" t="s">
        <v>91</v>
      </c>
      <c r="B103" s="46"/>
      <c r="C103" s="46">
        <v>4020</v>
      </c>
      <c r="D103" s="46">
        <v>1589</v>
      </c>
      <c r="E103" s="52">
        <v>0</v>
      </c>
      <c r="F103" s="34">
        <f t="shared" si="26"/>
        <v>0</v>
      </c>
      <c r="G103" s="34">
        <f t="shared" si="27"/>
        <v>1589</v>
      </c>
      <c r="H103" s="34">
        <f t="shared" si="28"/>
        <v>4020</v>
      </c>
      <c r="I103" s="34"/>
      <c r="J103" s="76">
        <f t="shared" si="33"/>
        <v>1246200000</v>
      </c>
      <c r="K103" s="76">
        <f t="shared" si="34"/>
        <v>492590000</v>
      </c>
      <c r="L103" s="76">
        <f t="shared" si="35"/>
        <v>0</v>
      </c>
      <c r="M103" s="77">
        <v>310000</v>
      </c>
      <c r="N103" s="43"/>
    </row>
    <row r="104" spans="1:14">
      <c r="A104" s="51" t="s">
        <v>109</v>
      </c>
      <c r="B104" s="78">
        <f>I104</f>
        <v>0</v>
      </c>
      <c r="C104" s="78">
        <f>J104</f>
        <v>13145442400</v>
      </c>
      <c r="D104" s="79">
        <f>K104</f>
        <v>7365680400</v>
      </c>
      <c r="E104" s="87">
        <f>L104</f>
        <v>7750000</v>
      </c>
      <c r="F104" s="79">
        <f t="shared" si="26"/>
        <v>7750000</v>
      </c>
      <c r="G104" s="79">
        <f t="shared" si="27"/>
        <v>7365680400</v>
      </c>
      <c r="H104" s="79">
        <f t="shared" si="28"/>
        <v>13145442400</v>
      </c>
      <c r="I104" s="80"/>
      <c r="J104" s="81">
        <f>SUM(J93:J103)</f>
        <v>13145442400</v>
      </c>
      <c r="K104" s="81">
        <f>SUM(K93:K103)</f>
        <v>7365680400</v>
      </c>
      <c r="L104" s="81">
        <f>SUM(L93:L101)</f>
        <v>7750000</v>
      </c>
      <c r="M104" s="43"/>
      <c r="N104" s="43"/>
    </row>
    <row r="105" spans="1:14">
      <c r="A105" s="51" t="s">
        <v>110</v>
      </c>
      <c r="B105" s="79">
        <f>B104*12</f>
        <v>0</v>
      </c>
      <c r="C105" s="79">
        <f>C104*12</f>
        <v>157745308800</v>
      </c>
      <c r="D105" s="79">
        <f>D104*12</f>
        <v>88388164800</v>
      </c>
      <c r="E105" s="81">
        <f>E104*12</f>
        <v>93000000</v>
      </c>
      <c r="F105" s="79">
        <f t="shared" si="26"/>
        <v>93000000</v>
      </c>
      <c r="G105" s="79">
        <f t="shared" si="27"/>
        <v>88388164800</v>
      </c>
      <c r="H105" s="79">
        <f t="shared" si="28"/>
        <v>157745308800</v>
      </c>
      <c r="I105" s="79"/>
      <c r="J105" s="79"/>
      <c r="K105" s="79"/>
      <c r="L105" s="79"/>
    </row>
    <row r="106" spans="1:14">
      <c r="A106" s="51"/>
      <c r="B106" s="51"/>
      <c r="C106" s="51"/>
      <c r="D106" s="41"/>
      <c r="E106" s="54"/>
      <c r="F106" s="34">
        <f t="shared" si="26"/>
        <v>0</v>
      </c>
      <c r="G106" s="34">
        <f t="shared" si="27"/>
        <v>0</v>
      </c>
      <c r="H106" s="34">
        <f t="shared" si="28"/>
        <v>0</v>
      </c>
      <c r="I106" s="35"/>
      <c r="J106" s="82"/>
      <c r="K106" s="79"/>
      <c r="L106" s="79"/>
    </row>
    <row r="107" spans="1:14">
      <c r="A107" s="51" t="s">
        <v>152</v>
      </c>
      <c r="B107" s="83">
        <f>SUM(B92:B95)</f>
        <v>0</v>
      </c>
      <c r="C107" s="83">
        <f>SUM(C92:C95)</f>
        <v>8634134</v>
      </c>
      <c r="D107" s="83">
        <f>SUM(D92:D95)</f>
        <v>8795986</v>
      </c>
      <c r="E107" s="88">
        <f>SUM(E92:E95)</f>
        <v>27865</v>
      </c>
      <c r="F107" s="34">
        <f t="shared" si="26"/>
        <v>27865</v>
      </c>
      <c r="G107" s="34">
        <f t="shared" si="27"/>
        <v>8795986</v>
      </c>
      <c r="H107" s="34">
        <f t="shared" si="28"/>
        <v>8634134</v>
      </c>
      <c r="I107" s="35"/>
      <c r="J107" s="82"/>
      <c r="K107" s="79"/>
      <c r="L107" s="79"/>
    </row>
    <row r="108" spans="1:14">
      <c r="A108" s="51" t="s">
        <v>153</v>
      </c>
      <c r="B108" s="83">
        <f>SUM(B96:B103)</f>
        <v>0</v>
      </c>
      <c r="C108" s="83">
        <f>SUM(C96:C103)</f>
        <v>1054762</v>
      </c>
      <c r="D108" s="83">
        <f>SUM(D96:D103)</f>
        <v>788142</v>
      </c>
      <c r="E108" s="88">
        <f>SUM(E96:E103)</f>
        <v>1027</v>
      </c>
      <c r="F108" s="34">
        <f t="shared" si="26"/>
        <v>1027</v>
      </c>
      <c r="G108" s="34">
        <f t="shared" si="27"/>
        <v>788142</v>
      </c>
      <c r="H108" s="34">
        <f t="shared" si="28"/>
        <v>1054762</v>
      </c>
      <c r="I108" s="35"/>
      <c r="J108" s="82"/>
      <c r="K108" s="79"/>
      <c r="L108" s="79"/>
    </row>
    <row r="109" spans="1:14">
      <c r="A109" s="51"/>
      <c r="B109" s="83"/>
      <c r="C109" s="83"/>
      <c r="D109" s="83"/>
      <c r="E109" s="83"/>
      <c r="F109" s="34"/>
      <c r="G109" s="34"/>
      <c r="H109" s="34"/>
      <c r="I109" s="35"/>
      <c r="J109" s="82"/>
      <c r="K109" s="79"/>
      <c r="L109" s="79"/>
    </row>
    <row r="110" spans="1:14">
      <c r="A110" s="41"/>
      <c r="B110" s="41"/>
      <c r="C110" s="41"/>
      <c r="D110" s="41"/>
      <c r="E110" s="35"/>
      <c r="F110" s="34">
        <f t="shared" si="26"/>
        <v>0</v>
      </c>
      <c r="G110" s="34">
        <f t="shared" si="27"/>
        <v>0</v>
      </c>
      <c r="H110" s="34">
        <f t="shared" si="28"/>
        <v>0</v>
      </c>
      <c r="I110" s="35"/>
      <c r="J110" s="84"/>
      <c r="K110" s="84"/>
    </row>
    <row r="111" spans="1:14">
      <c r="A111" s="41"/>
      <c r="B111" s="41"/>
      <c r="C111" s="41"/>
      <c r="D111" s="83"/>
      <c r="E111" s="35"/>
      <c r="F111" s="34">
        <f t="shared" si="26"/>
        <v>0</v>
      </c>
      <c r="G111" s="34">
        <f t="shared" si="27"/>
        <v>0</v>
      </c>
      <c r="H111" s="34">
        <f t="shared" si="28"/>
        <v>0</v>
      </c>
      <c r="I111" s="35"/>
      <c r="J111" s="84"/>
      <c r="K111" s="84"/>
    </row>
    <row r="112" spans="1:14">
      <c r="A112" s="51" t="s">
        <v>111</v>
      </c>
      <c r="B112" s="83"/>
      <c r="C112" s="83">
        <v>2234128</v>
      </c>
      <c r="D112" s="83">
        <v>2233499</v>
      </c>
      <c r="E112" s="83">
        <v>1660939</v>
      </c>
      <c r="F112" s="34">
        <f t="shared" si="26"/>
        <v>1660939</v>
      </c>
      <c r="G112" s="34">
        <f t="shared" si="27"/>
        <v>2233499</v>
      </c>
      <c r="H112" s="34">
        <f t="shared" si="28"/>
        <v>2234128</v>
      </c>
      <c r="I112" s="51"/>
      <c r="J112" s="84"/>
      <c r="K112" s="84"/>
    </row>
    <row r="113" spans="1:15">
      <c r="A113" s="41"/>
      <c r="B113" s="41"/>
      <c r="C113" s="41"/>
      <c r="D113" s="41"/>
      <c r="E113" s="35"/>
      <c r="F113" s="34">
        <f t="shared" si="26"/>
        <v>0</v>
      </c>
      <c r="G113" s="34">
        <f t="shared" si="27"/>
        <v>0</v>
      </c>
      <c r="H113" s="34">
        <f t="shared" si="28"/>
        <v>0</v>
      </c>
      <c r="I113" s="35"/>
      <c r="J113" s="84"/>
      <c r="K113" s="84"/>
    </row>
    <row r="114" spans="1:15" ht="13.5" thickBot="1">
      <c r="A114" s="19" t="s">
        <v>92</v>
      </c>
      <c r="B114" s="19"/>
      <c r="C114" s="19"/>
      <c r="F114" s="34">
        <f t="shared" si="26"/>
        <v>0</v>
      </c>
      <c r="G114" s="34">
        <f t="shared" si="27"/>
        <v>0</v>
      </c>
      <c r="H114" s="34">
        <f t="shared" si="28"/>
        <v>0</v>
      </c>
    </row>
    <row r="115" spans="1:15" ht="36.75" customHeight="1">
      <c r="A115" s="25" t="s">
        <v>93</v>
      </c>
      <c r="B115" s="44">
        <f>B91</f>
        <v>2011</v>
      </c>
      <c r="C115" s="44">
        <f>C91</f>
        <v>2007</v>
      </c>
      <c r="D115" s="45">
        <v>2001</v>
      </c>
      <c r="E115" s="29">
        <v>1996</v>
      </c>
      <c r="F115" s="29">
        <f t="shared" si="26"/>
        <v>1996</v>
      </c>
      <c r="G115" s="29">
        <f t="shared" si="27"/>
        <v>2001</v>
      </c>
      <c r="H115" s="29">
        <f t="shared" si="28"/>
        <v>2007</v>
      </c>
      <c r="I115" s="30"/>
      <c r="J115" s="31" t="str">
        <f>J80</f>
        <v>% change 1996 - 2001</v>
      </c>
      <c r="K115" s="31" t="str">
        <f>K80</f>
        <v>% change 2001 - 2007</v>
      </c>
      <c r="L115" s="31" t="s">
        <v>154</v>
      </c>
      <c r="M115" s="31" t="s">
        <v>156</v>
      </c>
      <c r="N115" s="31" t="s">
        <v>155</v>
      </c>
      <c r="O115" s="31"/>
    </row>
    <row r="116" spans="1:15">
      <c r="A116" s="32" t="s">
        <v>94</v>
      </c>
      <c r="B116" s="46"/>
      <c r="C116" s="46">
        <v>1276190</v>
      </c>
      <c r="D116" s="46">
        <v>1250156</v>
      </c>
      <c r="E116" s="46">
        <v>805981</v>
      </c>
      <c r="F116" s="34">
        <f t="shared" si="26"/>
        <v>805981</v>
      </c>
      <c r="G116" s="34">
        <f t="shared" si="27"/>
        <v>1250156</v>
      </c>
      <c r="H116" s="34">
        <f t="shared" si="28"/>
        <v>1276190</v>
      </c>
      <c r="I116" s="35"/>
      <c r="J116" s="36">
        <f>(D116-E116)/E116*100</f>
        <v>55.109859909848993</v>
      </c>
      <c r="K116" s="36">
        <f>(C116-D116)/D116*100</f>
        <v>2.0824601089783994</v>
      </c>
      <c r="L116" s="36">
        <f>E116/$E$119*100</f>
        <v>49.154834058882294</v>
      </c>
      <c r="M116" s="36">
        <f>D116/$D$119*100</f>
        <v>59.045574189063011</v>
      </c>
      <c r="N116" s="36"/>
      <c r="O116" s="36"/>
    </row>
    <row r="117" spans="1:15">
      <c r="A117" s="32" t="s">
        <v>95</v>
      </c>
      <c r="B117" s="46"/>
      <c r="C117" s="46">
        <v>343892</v>
      </c>
      <c r="D117" s="46">
        <v>258588</v>
      </c>
      <c r="E117" s="46">
        <v>301649</v>
      </c>
      <c r="F117" s="34">
        <f t="shared" si="26"/>
        <v>301649</v>
      </c>
      <c r="G117" s="34">
        <f t="shared" si="27"/>
        <v>258588</v>
      </c>
      <c r="H117" s="34">
        <f t="shared" si="28"/>
        <v>343892</v>
      </c>
      <c r="I117" s="35"/>
      <c r="J117" s="36">
        <f>(D117-E117)/E117*100</f>
        <v>-14.27520064710972</v>
      </c>
      <c r="K117" s="36">
        <f>(C117-D117)/D117*100</f>
        <v>32.988383064952743</v>
      </c>
      <c r="L117" s="36">
        <f>E117/$E$119*100</f>
        <v>18.396843770545193</v>
      </c>
      <c r="M117" s="36">
        <f>D117/$D$119*100</f>
        <v>12.213257336205581</v>
      </c>
      <c r="N117" s="36"/>
      <c r="O117" s="36"/>
    </row>
    <row r="118" spans="1:15" ht="13.5" thickBot="1">
      <c r="A118" s="50" t="s">
        <v>96</v>
      </c>
      <c r="B118" s="46"/>
      <c r="C118" s="46">
        <v>611062</v>
      </c>
      <c r="D118" s="46">
        <v>608529</v>
      </c>
      <c r="E118" s="46">
        <v>532048</v>
      </c>
      <c r="F118" s="34">
        <f t="shared" si="26"/>
        <v>532048</v>
      </c>
      <c r="G118" s="34">
        <f t="shared" si="27"/>
        <v>608529</v>
      </c>
      <c r="H118" s="34">
        <f t="shared" si="28"/>
        <v>611062</v>
      </c>
      <c r="I118" s="35"/>
      <c r="J118" s="36">
        <f>(D118-E118)/E118*100</f>
        <v>14.374830842330017</v>
      </c>
      <c r="K118" s="36">
        <f>(C118-D118)/D118*100</f>
        <v>0.41624967750099007</v>
      </c>
      <c r="L118" s="36">
        <f>E118/$E$119*100</f>
        <v>32.44832217057251</v>
      </c>
      <c r="M118" s="36">
        <f>D118/$D$119*100</f>
        <v>28.74116847473141</v>
      </c>
      <c r="N118" s="36"/>
      <c r="O118" s="36"/>
    </row>
    <row r="119" spans="1:15" ht="13.5" thickBot="1">
      <c r="A119" s="41"/>
      <c r="B119" s="85">
        <f>SUM(B116:B118)</f>
        <v>0</v>
      </c>
      <c r="C119" s="85">
        <f>SUM(C116:C118)</f>
        <v>2231144</v>
      </c>
      <c r="D119" s="85">
        <f>SUM(D116:D118)</f>
        <v>2117273</v>
      </c>
      <c r="E119" s="85">
        <f>SUM(E116:E118)</f>
        <v>1639678</v>
      </c>
      <c r="F119" s="34"/>
      <c r="G119" s="34"/>
      <c r="H119" s="34"/>
      <c r="I119" s="35"/>
      <c r="J119" s="36"/>
      <c r="K119" s="36"/>
      <c r="L119" s="36"/>
      <c r="M119" s="36"/>
      <c r="N119" s="36"/>
      <c r="O119" s="36"/>
    </row>
    <row r="120" spans="1:15" ht="25.5">
      <c r="A120" s="72" t="s">
        <v>157</v>
      </c>
      <c r="B120" s="36" t="e">
        <f>B9/B119</f>
        <v>#DIV/0!</v>
      </c>
      <c r="C120" s="36">
        <f>C9/C119</f>
        <v>4.598192676044218</v>
      </c>
      <c r="D120" s="36">
        <f>D9/D119</f>
        <v>4.5266382747997067</v>
      </c>
      <c r="E120" s="36">
        <f>E9/E119</f>
        <v>5.0909995743066627</v>
      </c>
      <c r="F120" s="34">
        <f t="shared" si="26"/>
        <v>5.0909995743066627</v>
      </c>
      <c r="G120" s="34">
        <f t="shared" si="27"/>
        <v>4.5266382747997067</v>
      </c>
      <c r="H120" s="34">
        <f t="shared" si="28"/>
        <v>4.598192676044218</v>
      </c>
      <c r="I120" s="41"/>
      <c r="J120" s="36"/>
      <c r="K120" s="36"/>
      <c r="L120" s="36"/>
    </row>
    <row r="121" spans="1:15">
      <c r="F121" s="34">
        <f>E121</f>
        <v>0</v>
      </c>
      <c r="G121" s="34">
        <f t="shared" si="27"/>
        <v>0</v>
      </c>
      <c r="H121" s="34">
        <f t="shared" si="28"/>
        <v>0</v>
      </c>
    </row>
    <row r="122" spans="1:15" ht="13.5" thickBot="1">
      <c r="B122" s="17" t="s">
        <v>132</v>
      </c>
      <c r="C122" s="17" t="s">
        <v>132</v>
      </c>
      <c r="D122" s="17" t="str">
        <f>A6</f>
        <v>Coloured</v>
      </c>
      <c r="E122" s="17" t="s">
        <v>133</v>
      </c>
      <c r="F122" s="34" t="str">
        <f t="shared" ref="F122:F130" si="36">I122</f>
        <v>White</v>
      </c>
      <c r="G122" s="34" t="str">
        <f t="shared" ref="G122:G130" si="37">D122</f>
        <v>Coloured</v>
      </c>
      <c r="H122" s="34" t="str">
        <f t="shared" ref="H122:H130" si="38">C122</f>
        <v>Black</v>
      </c>
      <c r="I122" s="17" t="s">
        <v>43</v>
      </c>
    </row>
    <row r="123" spans="1:15" ht="13.5" thickBot="1">
      <c r="A123" s="73" t="s">
        <v>124</v>
      </c>
      <c r="B123" s="46"/>
      <c r="C123" s="46">
        <v>413278</v>
      </c>
      <c r="D123" s="46">
        <v>6083</v>
      </c>
      <c r="E123" s="46">
        <v>50620</v>
      </c>
      <c r="F123" s="46">
        <f t="shared" si="36"/>
        <v>24247</v>
      </c>
      <c r="G123" s="46">
        <f t="shared" si="37"/>
        <v>6083</v>
      </c>
      <c r="H123" s="46">
        <f t="shared" si="38"/>
        <v>413278</v>
      </c>
      <c r="I123" s="46">
        <v>24247</v>
      </c>
    </row>
    <row r="124" spans="1:15" ht="13.5" thickBot="1">
      <c r="A124" s="73" t="s">
        <v>125</v>
      </c>
      <c r="B124" s="46"/>
      <c r="C124" s="46">
        <v>274754</v>
      </c>
      <c r="D124" s="46">
        <v>4167</v>
      </c>
      <c r="E124" s="46">
        <v>34240</v>
      </c>
      <c r="F124" s="46">
        <f t="shared" si="36"/>
        <v>5339</v>
      </c>
      <c r="G124" s="46">
        <f t="shared" si="37"/>
        <v>4167</v>
      </c>
      <c r="H124" s="46">
        <f t="shared" si="38"/>
        <v>274754</v>
      </c>
      <c r="I124" s="46">
        <v>5339</v>
      </c>
    </row>
    <row r="125" spans="1:15" ht="13.5" thickBot="1">
      <c r="A125" s="73" t="s">
        <v>126</v>
      </c>
      <c r="B125" s="46"/>
      <c r="C125" s="46">
        <v>1667970</v>
      </c>
      <c r="D125" s="46">
        <v>8105</v>
      </c>
      <c r="E125" s="46">
        <v>14208</v>
      </c>
      <c r="F125" s="46">
        <f t="shared" si="36"/>
        <v>1507</v>
      </c>
      <c r="G125" s="46">
        <f t="shared" si="37"/>
        <v>8105</v>
      </c>
      <c r="H125" s="46">
        <f t="shared" si="38"/>
        <v>1667970</v>
      </c>
      <c r="I125" s="46">
        <v>1507</v>
      </c>
    </row>
    <row r="126" spans="1:15" ht="13.5" thickBot="1">
      <c r="A126" s="73" t="s">
        <v>127</v>
      </c>
      <c r="B126" s="46"/>
      <c r="C126" s="46">
        <v>44042</v>
      </c>
      <c r="D126" s="46">
        <v>557</v>
      </c>
      <c r="E126" s="46">
        <v>1822</v>
      </c>
      <c r="F126" s="46">
        <f t="shared" si="36"/>
        <v>188</v>
      </c>
      <c r="G126" s="46">
        <f t="shared" si="37"/>
        <v>557</v>
      </c>
      <c r="H126" s="46">
        <f t="shared" si="38"/>
        <v>44042</v>
      </c>
      <c r="I126" s="46">
        <v>188</v>
      </c>
    </row>
    <row r="127" spans="1:15" ht="13.5" thickBot="1">
      <c r="A127" s="73" t="s">
        <v>128</v>
      </c>
      <c r="B127" s="46"/>
      <c r="C127" s="46">
        <v>6239</v>
      </c>
      <c r="D127" s="46">
        <v>187</v>
      </c>
      <c r="E127" s="46">
        <v>87</v>
      </c>
      <c r="F127" s="46">
        <f t="shared" si="36"/>
        <v>0</v>
      </c>
      <c r="G127" s="46">
        <f t="shared" si="37"/>
        <v>187</v>
      </c>
      <c r="H127" s="46">
        <f t="shared" si="38"/>
        <v>6239</v>
      </c>
      <c r="I127" s="46">
        <v>0</v>
      </c>
    </row>
    <row r="128" spans="1:15" ht="13.5" thickBot="1">
      <c r="A128" s="73" t="s">
        <v>129</v>
      </c>
      <c r="B128" s="46"/>
      <c r="C128" s="46">
        <v>31078</v>
      </c>
      <c r="D128" s="46">
        <v>221</v>
      </c>
      <c r="E128" s="46">
        <v>1194</v>
      </c>
      <c r="F128" s="46">
        <f t="shared" si="36"/>
        <v>656</v>
      </c>
      <c r="G128" s="46">
        <f t="shared" si="37"/>
        <v>221</v>
      </c>
      <c r="H128" s="46">
        <f t="shared" si="38"/>
        <v>31078</v>
      </c>
      <c r="I128" s="46">
        <v>656</v>
      </c>
    </row>
    <row r="129" spans="1:9" ht="13.5" thickBot="1">
      <c r="A129" s="73" t="s">
        <v>130</v>
      </c>
      <c r="B129" s="46"/>
      <c r="C129" s="46">
        <v>7824</v>
      </c>
      <c r="D129" s="46">
        <v>92</v>
      </c>
      <c r="E129" s="46">
        <v>955</v>
      </c>
      <c r="F129" s="46">
        <f t="shared" si="36"/>
        <v>971</v>
      </c>
      <c r="G129" s="46">
        <f t="shared" si="37"/>
        <v>92</v>
      </c>
      <c r="H129" s="46">
        <f t="shared" si="38"/>
        <v>7824</v>
      </c>
      <c r="I129" s="46">
        <v>971</v>
      </c>
    </row>
    <row r="130" spans="1:9">
      <c r="A130" s="73" t="s">
        <v>131</v>
      </c>
      <c r="B130" s="46"/>
      <c r="C130" s="46">
        <v>11144</v>
      </c>
      <c r="D130" s="46">
        <v>72</v>
      </c>
      <c r="E130" s="46">
        <v>754</v>
      </c>
      <c r="F130" s="46">
        <f t="shared" si="36"/>
        <v>97</v>
      </c>
      <c r="G130" s="46">
        <f t="shared" si="37"/>
        <v>72</v>
      </c>
      <c r="H130" s="46">
        <f t="shared" si="38"/>
        <v>11144</v>
      </c>
      <c r="I130" s="46">
        <v>97</v>
      </c>
    </row>
    <row r="131" spans="1:9">
      <c r="B131" s="23"/>
      <c r="C131" s="23"/>
      <c r="D131" s="23"/>
      <c r="F131" s="34"/>
      <c r="G131" s="34"/>
      <c r="H131" s="34"/>
      <c r="I131" s="23"/>
    </row>
    <row r="132" spans="1:9">
      <c r="A132" s="19" t="s">
        <v>134</v>
      </c>
      <c r="B132" s="67">
        <f>SUM(B123:B131)</f>
        <v>0</v>
      </c>
      <c r="C132" s="67">
        <f>SUM(C123:C131)</f>
        <v>2456329</v>
      </c>
      <c r="D132" s="67">
        <f>SUM(D123:D131)</f>
        <v>19484</v>
      </c>
      <c r="E132" s="67">
        <f>SUM(E123:E131)</f>
        <v>103880</v>
      </c>
      <c r="F132" s="34"/>
      <c r="G132" s="34"/>
      <c r="H132" s="34"/>
      <c r="I132" s="67">
        <f>SUM(I123:I131)</f>
        <v>33005</v>
      </c>
    </row>
    <row r="133" spans="1:9" ht="13.5" thickBot="1">
      <c r="A133" s="19"/>
      <c r="B133" s="67"/>
      <c r="C133" s="67"/>
      <c r="D133" s="67"/>
      <c r="E133" s="67"/>
      <c r="F133" s="34"/>
      <c r="G133" s="34"/>
      <c r="H133" s="34"/>
    </row>
    <row r="134" spans="1:9">
      <c r="A134" s="72" t="s">
        <v>158</v>
      </c>
      <c r="B134" s="82">
        <f>B132/$C$9*100</f>
        <v>0</v>
      </c>
      <c r="C134" s="82">
        <f>C132/$C$9*100</f>
        <v>23.942625323732873</v>
      </c>
      <c r="D134" s="82">
        <f t="shared" ref="D134:I134" si="39">D132/$C$9*100</f>
        <v>0.18991678712729901</v>
      </c>
      <c r="E134" s="82">
        <f t="shared" si="39"/>
        <v>1.0125516242447044</v>
      </c>
      <c r="F134" s="82">
        <f t="shared" si="39"/>
        <v>0</v>
      </c>
      <c r="G134" s="82">
        <f t="shared" si="39"/>
        <v>0</v>
      </c>
      <c r="H134" s="82">
        <f t="shared" si="39"/>
        <v>0</v>
      </c>
      <c r="I134" s="82">
        <f t="shared" si="39"/>
        <v>0.3217103037947292</v>
      </c>
    </row>
    <row r="135" spans="1:9">
      <c r="F135" s="34">
        <f>E135</f>
        <v>0</v>
      </c>
      <c r="G135" s="34">
        <f>D135</f>
        <v>0</v>
      </c>
      <c r="H135" s="34">
        <f>C135</f>
        <v>0</v>
      </c>
    </row>
    <row r="136" spans="1:9" ht="13.5" thickBot="1">
      <c r="B136" s="17" t="s">
        <v>132</v>
      </c>
      <c r="C136" s="17" t="s">
        <v>132</v>
      </c>
      <c r="D136" s="17" t="str">
        <f>D122</f>
        <v>Coloured</v>
      </c>
      <c r="E136" s="17" t="s">
        <v>133</v>
      </c>
      <c r="F136" s="34" t="str">
        <f>E136</f>
        <v>Indian or Asian</v>
      </c>
      <c r="G136" s="34" t="str">
        <f>D136</f>
        <v>Coloured</v>
      </c>
      <c r="H136" s="34" t="str">
        <f>C136</f>
        <v>Black</v>
      </c>
      <c r="I136" s="17" t="s">
        <v>43</v>
      </c>
    </row>
    <row r="137" spans="1:9" ht="13.5" thickBot="1">
      <c r="A137" s="73" t="s">
        <v>124</v>
      </c>
      <c r="B137" s="36">
        <f>B123/$C$132*100</f>
        <v>0</v>
      </c>
      <c r="C137" s="36">
        <f>C123/$C$132*100</f>
        <v>16.825026289230799</v>
      </c>
      <c r="D137" s="36">
        <f>D123/$D$132*100</f>
        <v>31.220488606035723</v>
      </c>
      <c r="E137" s="36">
        <f>E123/$E$132*100</f>
        <v>48.729303041971505</v>
      </c>
      <c r="F137" s="36">
        <f>F123/$C$132*100</f>
        <v>0.98712346758109359</v>
      </c>
      <c r="G137" s="36">
        <f>G123/$C$132*100</f>
        <v>0.24764597901991142</v>
      </c>
      <c r="H137" s="36">
        <f>H123/$C$132*100</f>
        <v>16.825026289230799</v>
      </c>
      <c r="I137" s="36">
        <f>I123/$E$132*100</f>
        <v>23.341355410088564</v>
      </c>
    </row>
    <row r="138" spans="1:9" ht="13.5" thickBot="1">
      <c r="A138" s="73" t="s">
        <v>125</v>
      </c>
      <c r="B138" s="36">
        <f t="shared" ref="B138:C144" si="40">B124/$C$132*100</f>
        <v>0</v>
      </c>
      <c r="C138" s="36">
        <f t="shared" si="40"/>
        <v>11.185553726719832</v>
      </c>
      <c r="D138" s="36">
        <f t="shared" ref="D138:D144" si="41">D124/$D$132*100</f>
        <v>21.386778895504001</v>
      </c>
      <c r="E138" s="36">
        <f t="shared" ref="E138:E144" si="42">E124/$E$132*100</f>
        <v>32.961108971890646</v>
      </c>
      <c r="F138" s="36">
        <f t="shared" ref="F138:H144" si="43">F124/$C$132*100</f>
        <v>0.21735687686787886</v>
      </c>
      <c r="G138" s="36">
        <f t="shared" si="43"/>
        <v>0.16964339874666626</v>
      </c>
      <c r="H138" s="36">
        <f t="shared" si="43"/>
        <v>11.185553726719832</v>
      </c>
      <c r="I138" s="36">
        <f t="shared" ref="I138:I144" si="44">I124/$E$132*100</f>
        <v>5.1395841355410088</v>
      </c>
    </row>
    <row r="139" spans="1:9" ht="13.5" thickBot="1">
      <c r="A139" s="73" t="s">
        <v>126</v>
      </c>
      <c r="B139" s="36">
        <f t="shared" si="40"/>
        <v>0</v>
      </c>
      <c r="C139" s="36">
        <f t="shared" si="40"/>
        <v>67.904991554470101</v>
      </c>
      <c r="D139" s="36">
        <f t="shared" si="41"/>
        <v>41.598234448778484</v>
      </c>
      <c r="E139" s="36">
        <f t="shared" si="42"/>
        <v>13.677319984597613</v>
      </c>
      <c r="F139" s="36">
        <f t="shared" si="43"/>
        <v>6.1351716321388541E-2</v>
      </c>
      <c r="G139" s="36">
        <f t="shared" si="43"/>
        <v>0.32996394212664509</v>
      </c>
      <c r="H139" s="36">
        <f t="shared" si="43"/>
        <v>67.904991554470101</v>
      </c>
      <c r="I139" s="36">
        <f t="shared" si="44"/>
        <v>1.4507123604158645</v>
      </c>
    </row>
    <row r="140" spans="1:9" ht="13.5" thickBot="1">
      <c r="A140" s="73" t="s">
        <v>127</v>
      </c>
      <c r="B140" s="36">
        <f t="shared" si="40"/>
        <v>0</v>
      </c>
      <c r="C140" s="36">
        <f t="shared" si="40"/>
        <v>1.7930008561556698</v>
      </c>
      <c r="D140" s="36">
        <f t="shared" si="41"/>
        <v>2.8587559022787929</v>
      </c>
      <c r="E140" s="36">
        <f t="shared" si="42"/>
        <v>1.7539468617635734</v>
      </c>
      <c r="F140" s="36">
        <f t="shared" si="43"/>
        <v>7.6536978556211322E-3</v>
      </c>
      <c r="G140" s="36">
        <f t="shared" si="43"/>
        <v>2.2676115455217929E-2</v>
      </c>
      <c r="H140" s="36">
        <f t="shared" si="43"/>
        <v>1.7930008561556698</v>
      </c>
      <c r="I140" s="36">
        <f t="shared" si="44"/>
        <v>0.18097805159799768</v>
      </c>
    </row>
    <row r="141" spans="1:9" ht="13.5" thickBot="1">
      <c r="A141" s="73" t="s">
        <v>128</v>
      </c>
      <c r="B141" s="36">
        <f t="shared" si="40"/>
        <v>0</v>
      </c>
      <c r="C141" s="36">
        <f t="shared" si="40"/>
        <v>0.25399691979372468</v>
      </c>
      <c r="D141" s="36">
        <f t="shared" si="41"/>
        <v>0.95976185588174912</v>
      </c>
      <c r="E141" s="36">
        <f t="shared" si="42"/>
        <v>8.3750481324605316E-2</v>
      </c>
      <c r="F141" s="36">
        <f t="shared" si="43"/>
        <v>0</v>
      </c>
      <c r="G141" s="36">
        <f t="shared" si="43"/>
        <v>7.6129866968146368E-3</v>
      </c>
      <c r="H141" s="36">
        <f t="shared" si="43"/>
        <v>0.25399691979372468</v>
      </c>
      <c r="I141" s="36">
        <f t="shared" si="44"/>
        <v>0</v>
      </c>
    </row>
    <row r="142" spans="1:9" ht="13.5" thickBot="1">
      <c r="A142" s="73" t="s">
        <v>129</v>
      </c>
      <c r="B142" s="36">
        <f t="shared" si="40"/>
        <v>0</v>
      </c>
      <c r="C142" s="36">
        <f t="shared" si="40"/>
        <v>1.2652213933882634</v>
      </c>
      <c r="D142" s="36">
        <f t="shared" si="41"/>
        <v>1.1342640114966127</v>
      </c>
      <c r="E142" s="36">
        <f t="shared" si="42"/>
        <v>1.1494031574894108</v>
      </c>
      <c r="F142" s="36">
        <f t="shared" si="43"/>
        <v>2.6706520177060968E-2</v>
      </c>
      <c r="G142" s="36">
        <f t="shared" si="43"/>
        <v>8.9971660962354805E-3</v>
      </c>
      <c r="H142" s="36">
        <f t="shared" si="43"/>
        <v>1.2652213933882634</v>
      </c>
      <c r="I142" s="36">
        <f t="shared" si="44"/>
        <v>0.63149788217173652</v>
      </c>
    </row>
    <row r="143" spans="1:9" ht="13.5" thickBot="1">
      <c r="A143" s="73" t="s">
        <v>130</v>
      </c>
      <c r="B143" s="36">
        <f t="shared" si="40"/>
        <v>0</v>
      </c>
      <c r="C143" s="36">
        <f t="shared" si="40"/>
        <v>0.3185241065020199</v>
      </c>
      <c r="D143" s="36">
        <f t="shared" si="41"/>
        <v>0.47218230342845413</v>
      </c>
      <c r="E143" s="36">
        <f t="shared" si="42"/>
        <v>0.91932999614940325</v>
      </c>
      <c r="F143" s="36">
        <f t="shared" si="43"/>
        <v>3.9530535201107019E-2</v>
      </c>
      <c r="G143" s="36">
        <f t="shared" si="43"/>
        <v>3.7454266101975752E-3</v>
      </c>
      <c r="H143" s="36">
        <f t="shared" si="43"/>
        <v>0.3185241065020199</v>
      </c>
      <c r="I143" s="36">
        <f t="shared" si="44"/>
        <v>0.93473238351944543</v>
      </c>
    </row>
    <row r="144" spans="1:9">
      <c r="A144" s="73" t="s">
        <v>131</v>
      </c>
      <c r="B144" s="36">
        <f t="shared" si="40"/>
        <v>0</v>
      </c>
      <c r="C144" s="36">
        <f t="shared" si="40"/>
        <v>0.45368515373958457</v>
      </c>
      <c r="D144" s="36">
        <f t="shared" si="41"/>
        <v>0.36953397659618148</v>
      </c>
      <c r="E144" s="36">
        <f t="shared" si="42"/>
        <v>0.72583750481324605</v>
      </c>
      <c r="F144" s="36">
        <f t="shared" si="43"/>
        <v>3.9489824042300524E-3</v>
      </c>
      <c r="G144" s="36">
        <f t="shared" si="43"/>
        <v>2.9312034340676679E-3</v>
      </c>
      <c r="H144" s="36">
        <f t="shared" si="43"/>
        <v>0.45368515373958457</v>
      </c>
      <c r="I144" s="36">
        <f t="shared" si="44"/>
        <v>9.3376973430881777E-2</v>
      </c>
    </row>
    <row r="145" spans="6:8">
      <c r="F145" s="34">
        <f t="shared" ref="F145:F153" si="45">E145</f>
        <v>0</v>
      </c>
      <c r="G145" s="34">
        <f t="shared" ref="G145:G153" si="46">D145</f>
        <v>0</v>
      </c>
      <c r="H145" s="34">
        <f t="shared" ref="H145:H153" si="47">C145</f>
        <v>0</v>
      </c>
    </row>
    <row r="146" spans="6:8">
      <c r="F146" s="34">
        <f t="shared" si="45"/>
        <v>0</v>
      </c>
      <c r="G146" s="34">
        <f t="shared" si="46"/>
        <v>0</v>
      </c>
      <c r="H146" s="34">
        <f t="shared" si="47"/>
        <v>0</v>
      </c>
    </row>
    <row r="147" spans="6:8">
      <c r="F147" s="34">
        <f t="shared" si="45"/>
        <v>0</v>
      </c>
      <c r="G147" s="34">
        <f t="shared" si="46"/>
        <v>0</v>
      </c>
      <c r="H147" s="34">
        <f t="shared" si="47"/>
        <v>0</v>
      </c>
    </row>
    <row r="148" spans="6:8">
      <c r="F148" s="34">
        <f t="shared" si="45"/>
        <v>0</v>
      </c>
      <c r="G148" s="34">
        <f t="shared" si="46"/>
        <v>0</v>
      </c>
      <c r="H148" s="34">
        <f t="shared" si="47"/>
        <v>0</v>
      </c>
    </row>
    <row r="149" spans="6:8">
      <c r="F149" s="34">
        <f t="shared" si="45"/>
        <v>0</v>
      </c>
      <c r="G149" s="34">
        <f t="shared" si="46"/>
        <v>0</v>
      </c>
      <c r="H149" s="34">
        <f t="shared" si="47"/>
        <v>0</v>
      </c>
    </row>
    <row r="150" spans="6:8">
      <c r="F150" s="34">
        <f t="shared" si="45"/>
        <v>0</v>
      </c>
      <c r="G150" s="34">
        <f t="shared" si="46"/>
        <v>0</v>
      </c>
      <c r="H150" s="34">
        <f t="shared" si="47"/>
        <v>0</v>
      </c>
    </row>
    <row r="151" spans="6:8">
      <c r="F151" s="34">
        <f t="shared" si="45"/>
        <v>0</v>
      </c>
      <c r="G151" s="34">
        <f t="shared" si="46"/>
        <v>0</v>
      </c>
      <c r="H151" s="34">
        <f t="shared" si="47"/>
        <v>0</v>
      </c>
    </row>
    <row r="152" spans="6:8">
      <c r="F152" s="34">
        <f t="shared" si="45"/>
        <v>0</v>
      </c>
      <c r="G152" s="34">
        <f t="shared" si="46"/>
        <v>0</v>
      </c>
      <c r="H152" s="34">
        <f t="shared" si="47"/>
        <v>0</v>
      </c>
    </row>
    <row r="153" spans="6:8">
      <c r="F153" s="34">
        <f t="shared" si="45"/>
        <v>0</v>
      </c>
      <c r="G153" s="34">
        <f t="shared" si="46"/>
        <v>0</v>
      </c>
      <c r="H153" s="34">
        <f t="shared" si="47"/>
        <v>0</v>
      </c>
    </row>
  </sheetData>
  <mergeCells count="1">
    <mergeCell ref="A1:O1"/>
  </mergeCells>
  <phoneticPr fontId="8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selection sqref="A1:F1"/>
    </sheetView>
  </sheetViews>
  <sheetFormatPr defaultRowHeight="12.75"/>
  <cols>
    <col min="1" max="1" width="39.75" bestFit="1" customWidth="1"/>
    <col min="2" max="2" width="22.25" style="7" bestFit="1" customWidth="1"/>
    <col min="3" max="3" width="18.75" style="7" customWidth="1"/>
    <col min="4" max="4" width="38.875" customWidth="1"/>
    <col min="5" max="5" width="22.25" style="7" bestFit="1" customWidth="1"/>
    <col min="6" max="6" width="11.25" style="7" customWidth="1"/>
  </cols>
  <sheetData>
    <row r="1" spans="1:6" ht="48.75" customHeight="1" thickBot="1">
      <c r="A1" s="437" t="s">
        <v>340</v>
      </c>
      <c r="B1" s="438"/>
      <c r="C1" s="438"/>
      <c r="D1" s="438"/>
      <c r="E1" s="438"/>
      <c r="F1" s="439"/>
    </row>
    <row r="2" spans="1:6" ht="13.5" thickBot="1"/>
    <row r="3" spans="1:6" ht="15.75" thickBot="1">
      <c r="A3" s="440" t="s">
        <v>412</v>
      </c>
      <c r="B3" s="441"/>
      <c r="C3" s="441"/>
      <c r="D3" s="441"/>
      <c r="E3" s="441"/>
      <c r="F3" s="442"/>
    </row>
    <row r="4" spans="1:6" ht="13.5" thickBot="1"/>
    <row r="5" spans="1:6" ht="13.5" thickBot="1">
      <c r="A5" s="93" t="str">
        <f>A36</f>
        <v>Provincial GDP Rating</v>
      </c>
      <c r="B5" s="277" t="s">
        <v>341</v>
      </c>
      <c r="C5" s="278" t="s">
        <v>342</v>
      </c>
      <c r="D5" s="93" t="str">
        <f>D36</f>
        <v>National GDP Rating</v>
      </c>
      <c r="E5" s="277" t="s">
        <v>341</v>
      </c>
      <c r="F5" s="278" t="s">
        <v>342</v>
      </c>
    </row>
    <row r="6" spans="1:6">
      <c r="A6" s="93"/>
      <c r="B6" s="92"/>
    </row>
    <row r="7" spans="1:6">
      <c r="A7" t="s">
        <v>10</v>
      </c>
      <c r="B7" s="92">
        <v>5.051537783437718</v>
      </c>
      <c r="C7" s="7">
        <v>1</v>
      </c>
      <c r="D7" t="s">
        <v>8</v>
      </c>
      <c r="E7" s="92">
        <v>1.3167887583718354</v>
      </c>
      <c r="F7" s="7">
        <v>1</v>
      </c>
    </row>
    <row r="8" spans="1:6">
      <c r="A8" t="s">
        <v>9</v>
      </c>
      <c r="B8" s="92">
        <v>2.9971714937063503</v>
      </c>
      <c r="C8" s="7">
        <f>C7+1</f>
        <v>2</v>
      </c>
      <c r="D8" t="s">
        <v>12</v>
      </c>
      <c r="E8" s="92">
        <v>0.18577455668076048</v>
      </c>
      <c r="F8" s="7">
        <f>F7+1</f>
        <v>2</v>
      </c>
    </row>
    <row r="9" spans="1:6">
      <c r="A9" t="s">
        <v>8</v>
      </c>
      <c r="B9" s="92">
        <v>1.1552195135088272</v>
      </c>
      <c r="C9" s="7">
        <f t="shared" ref="C9:C16" si="0">C8+1</f>
        <v>3</v>
      </c>
      <c r="D9" t="s">
        <v>4</v>
      </c>
      <c r="E9" s="92">
        <v>9.1820219054373098E-2</v>
      </c>
      <c r="F9" s="7">
        <f t="shared" ref="F9:F16" si="1">F8+1</f>
        <v>3</v>
      </c>
    </row>
    <row r="10" spans="1:6">
      <c r="A10" t="s">
        <v>6</v>
      </c>
      <c r="B10" s="92">
        <v>0.11775666396745166</v>
      </c>
      <c r="C10" s="7">
        <f t="shared" si="0"/>
        <v>4</v>
      </c>
      <c r="D10" t="s">
        <v>10</v>
      </c>
      <c r="E10" s="92">
        <v>-4.5031291654531458E-3</v>
      </c>
      <c r="F10" s="7">
        <f t="shared" si="1"/>
        <v>4</v>
      </c>
    </row>
    <row r="11" spans="1:6">
      <c r="A11" t="s">
        <v>11</v>
      </c>
      <c r="B11" s="92">
        <v>-0.1959797052550698</v>
      </c>
      <c r="C11" s="7">
        <f t="shared" si="0"/>
        <v>5</v>
      </c>
      <c r="D11" t="s">
        <v>11</v>
      </c>
      <c r="E11" s="92">
        <v>-6.6194134273953154E-2</v>
      </c>
      <c r="F11" s="7">
        <f t="shared" si="1"/>
        <v>5</v>
      </c>
    </row>
    <row r="12" spans="1:6">
      <c r="A12" t="s">
        <v>5</v>
      </c>
      <c r="B12" s="92">
        <v>-0.55038016804155898</v>
      </c>
      <c r="C12" s="7">
        <f t="shared" si="0"/>
        <v>6</v>
      </c>
      <c r="D12" t="s">
        <v>5</v>
      </c>
      <c r="E12" s="92">
        <v>-8.5900360458261105E-2</v>
      </c>
      <c r="F12" s="7">
        <f t="shared" si="1"/>
        <v>6</v>
      </c>
    </row>
    <row r="13" spans="1:6">
      <c r="A13" t="s">
        <v>1</v>
      </c>
      <c r="B13" s="92">
        <v>-0.73552081547662063</v>
      </c>
      <c r="C13" s="7">
        <f t="shared" si="0"/>
        <v>7</v>
      </c>
      <c r="D13" t="s">
        <v>2</v>
      </c>
      <c r="E13" s="92">
        <v>-0.4277415054732514</v>
      </c>
      <c r="F13" s="7">
        <f t="shared" si="1"/>
        <v>7</v>
      </c>
    </row>
    <row r="14" spans="1:6">
      <c r="A14" t="s">
        <v>2</v>
      </c>
      <c r="B14" s="92">
        <v>-1.2286183040675325</v>
      </c>
      <c r="C14" s="7">
        <f t="shared" si="0"/>
        <v>8</v>
      </c>
      <c r="D14" t="s">
        <v>9</v>
      </c>
      <c r="E14" s="92">
        <v>-1.2863168956817397</v>
      </c>
      <c r="F14" s="7">
        <f t="shared" si="1"/>
        <v>8</v>
      </c>
    </row>
    <row r="15" spans="1:6">
      <c r="A15" t="s">
        <v>12</v>
      </c>
      <c r="B15" s="92">
        <v>-3.1202962561131216</v>
      </c>
      <c r="C15" s="7">
        <f t="shared" si="0"/>
        <v>9</v>
      </c>
      <c r="D15" t="s">
        <v>1</v>
      </c>
      <c r="E15" s="92">
        <v>-3.03432858614336</v>
      </c>
      <c r="F15" s="7">
        <f t="shared" si="1"/>
        <v>9</v>
      </c>
    </row>
    <row r="16" spans="1:6">
      <c r="A16" t="s">
        <v>4</v>
      </c>
      <c r="B16" s="92">
        <v>-3.3888697415758635</v>
      </c>
      <c r="C16" s="7">
        <f t="shared" si="0"/>
        <v>10</v>
      </c>
      <c r="D16" t="s">
        <v>6</v>
      </c>
      <c r="E16" s="92">
        <v>-4.5168909682035636</v>
      </c>
      <c r="F16" s="7">
        <f t="shared" si="1"/>
        <v>10</v>
      </c>
    </row>
    <row r="18" spans="1:5">
      <c r="B18" s="7" t="str">
        <f>B51</f>
        <v>Provincial GDP Rating</v>
      </c>
      <c r="C18" s="7" t="str">
        <f>C51</f>
        <v>National GDP Rating</v>
      </c>
    </row>
    <row r="19" spans="1:5">
      <c r="A19" t="str">
        <f>A7</f>
        <v>Finance, real estate and business services</v>
      </c>
      <c r="B19" s="7">
        <f>C7</f>
        <v>1</v>
      </c>
      <c r="C19" s="7">
        <f>F10</f>
        <v>4</v>
      </c>
      <c r="D19" s="7">
        <f t="shared" ref="D19:D28" si="2">C19-B19</f>
        <v>3</v>
      </c>
      <c r="E19" s="7">
        <f>POWER(D19,2)</f>
        <v>9</v>
      </c>
    </row>
    <row r="20" spans="1:5">
      <c r="A20" t="str">
        <f t="shared" ref="A20:A28" si="3">A8</f>
        <v>Transport , storage and communication</v>
      </c>
      <c r="B20" s="7">
        <f t="shared" ref="B20:B28" si="4">C8</f>
        <v>2</v>
      </c>
      <c r="C20" s="7">
        <f>F14</f>
        <v>8</v>
      </c>
      <c r="D20" s="7">
        <f t="shared" si="2"/>
        <v>6</v>
      </c>
      <c r="E20" s="7">
        <f t="shared" ref="E20:E28" si="5">POWER(D20,2)</f>
        <v>36</v>
      </c>
    </row>
    <row r="21" spans="1:5">
      <c r="A21" t="str">
        <f t="shared" si="3"/>
        <v>Wholesale &amp; retail trade; hotels &amp; restaurants</v>
      </c>
      <c r="B21" s="7">
        <f t="shared" si="4"/>
        <v>3</v>
      </c>
      <c r="C21" s="7">
        <f>F7</f>
        <v>1</v>
      </c>
      <c r="D21" s="7">
        <f t="shared" si="2"/>
        <v>-2</v>
      </c>
      <c r="E21" s="7">
        <f t="shared" si="5"/>
        <v>4</v>
      </c>
    </row>
    <row r="22" spans="1:5">
      <c r="A22" t="str">
        <f t="shared" si="3"/>
        <v>Construction</v>
      </c>
      <c r="B22" s="7">
        <f t="shared" si="4"/>
        <v>4</v>
      </c>
      <c r="C22" s="7">
        <f>F16</f>
        <v>10</v>
      </c>
      <c r="D22" s="7">
        <f t="shared" si="2"/>
        <v>6</v>
      </c>
      <c r="E22" s="7">
        <f t="shared" si="5"/>
        <v>36</v>
      </c>
    </row>
    <row r="23" spans="1:5">
      <c r="A23" t="str">
        <f t="shared" si="3"/>
        <v>Personal services</v>
      </c>
      <c r="B23" s="7">
        <f t="shared" si="4"/>
        <v>5</v>
      </c>
      <c r="C23" s="7">
        <f>F11</f>
        <v>5</v>
      </c>
      <c r="D23" s="7">
        <f t="shared" si="2"/>
        <v>0</v>
      </c>
      <c r="E23" s="7">
        <f t="shared" si="5"/>
        <v>0</v>
      </c>
    </row>
    <row r="24" spans="1:5">
      <c r="A24" t="str">
        <f t="shared" si="3"/>
        <v>Electricity, gas and water</v>
      </c>
      <c r="B24" s="7">
        <f t="shared" si="4"/>
        <v>6</v>
      </c>
      <c r="C24" s="7">
        <f>F12</f>
        <v>6</v>
      </c>
      <c r="D24" s="7">
        <f t="shared" si="2"/>
        <v>0</v>
      </c>
      <c r="E24" s="7">
        <f t="shared" si="5"/>
        <v>0</v>
      </c>
    </row>
    <row r="25" spans="1:5">
      <c r="A25" t="str">
        <f t="shared" si="3"/>
        <v>Agriculture, forestry and fishing</v>
      </c>
      <c r="B25" s="7">
        <f t="shared" si="4"/>
        <v>7</v>
      </c>
      <c r="C25" s="7">
        <f>F15</f>
        <v>9</v>
      </c>
      <c r="D25" s="7">
        <f t="shared" si="2"/>
        <v>2</v>
      </c>
      <c r="E25" s="7">
        <f t="shared" si="5"/>
        <v>4</v>
      </c>
    </row>
    <row r="26" spans="1:5">
      <c r="A26" t="str">
        <f t="shared" si="3"/>
        <v>Mining and quarrying</v>
      </c>
      <c r="B26" s="7">
        <f t="shared" si="4"/>
        <v>8</v>
      </c>
      <c r="C26" s="7">
        <f>F13</f>
        <v>7</v>
      </c>
      <c r="D26" s="7">
        <f t="shared" si="2"/>
        <v>-1</v>
      </c>
      <c r="E26" s="7">
        <f t="shared" si="5"/>
        <v>1</v>
      </c>
    </row>
    <row r="27" spans="1:5">
      <c r="A27" t="str">
        <f t="shared" si="3"/>
        <v>General government services</v>
      </c>
      <c r="B27" s="7">
        <f t="shared" si="4"/>
        <v>9</v>
      </c>
      <c r="C27" s="7">
        <f>F8</f>
        <v>2</v>
      </c>
      <c r="D27" s="7">
        <f t="shared" si="2"/>
        <v>-7</v>
      </c>
      <c r="E27" s="7">
        <f t="shared" si="5"/>
        <v>49</v>
      </c>
    </row>
    <row r="28" spans="1:5">
      <c r="A28" t="str">
        <f t="shared" si="3"/>
        <v>Manufacturing</v>
      </c>
      <c r="B28" s="7">
        <f t="shared" si="4"/>
        <v>10</v>
      </c>
      <c r="C28" s="7">
        <f>F9</f>
        <v>3</v>
      </c>
      <c r="D28" s="7">
        <f t="shared" si="2"/>
        <v>-7</v>
      </c>
      <c r="E28" s="7">
        <f t="shared" si="5"/>
        <v>49</v>
      </c>
    </row>
    <row r="30" spans="1:5">
      <c r="B30" s="92"/>
      <c r="D30" t="s">
        <v>165</v>
      </c>
      <c r="E30" s="7">
        <f>SUM(E19:E29)</f>
        <v>188</v>
      </c>
    </row>
    <row r="31" spans="1:5" ht="13.5" thickBot="1"/>
    <row r="32" spans="1:5" ht="13.5" thickBot="1">
      <c r="C32" s="281" t="s">
        <v>343</v>
      </c>
      <c r="D32" s="92">
        <f>1-((6*E30)/(10*(100-1)))</f>
        <v>-0.1393939393939394</v>
      </c>
    </row>
    <row r="33" spans="1:6" ht="13.5" thickBot="1">
      <c r="D33" s="92"/>
    </row>
    <row r="34" spans="1:6" ht="15.75" thickBot="1">
      <c r="A34" s="440" t="s">
        <v>411</v>
      </c>
      <c r="B34" s="441"/>
      <c r="C34" s="441"/>
      <c r="D34" s="441"/>
      <c r="E34" s="441"/>
      <c r="F34" s="442"/>
    </row>
    <row r="35" spans="1:6" ht="13.5" thickBot="1"/>
    <row r="36" spans="1:6" ht="13.5" thickBot="1">
      <c r="A36" s="93" t="str">
        <f>B51</f>
        <v>Provincial GDP Rating</v>
      </c>
      <c r="B36" s="277" t="s">
        <v>409</v>
      </c>
      <c r="C36" s="278" t="s">
        <v>342</v>
      </c>
      <c r="D36" s="93" t="str">
        <f>C51</f>
        <v>National GDP Rating</v>
      </c>
      <c r="E36" s="277" t="s">
        <v>409</v>
      </c>
      <c r="F36" s="278" t="s">
        <v>342</v>
      </c>
    </row>
    <row r="37" spans="1:6">
      <c r="A37" s="93"/>
      <c r="B37" s="279"/>
      <c r="C37" s="280"/>
      <c r="E37" s="279"/>
      <c r="F37" s="280"/>
    </row>
    <row r="38" spans="1:6">
      <c r="A38" t="s">
        <v>4</v>
      </c>
      <c r="B38" s="92">
        <v>21.934605792583181</v>
      </c>
      <c r="C38" s="7">
        <v>1</v>
      </c>
      <c r="D38" t="s">
        <v>1</v>
      </c>
      <c r="E38" s="92">
        <v>28.185556653618324</v>
      </c>
      <c r="F38" s="7">
        <v>1</v>
      </c>
    </row>
    <row r="39" spans="1:6">
      <c r="A39" t="s">
        <v>10</v>
      </c>
      <c r="B39" s="92">
        <v>20.044889401670716</v>
      </c>
      <c r="C39" s="7">
        <f>C38+1</f>
        <v>2</v>
      </c>
      <c r="D39" t="s">
        <v>9</v>
      </c>
      <c r="E39" s="92">
        <v>22.012598820463609</v>
      </c>
      <c r="F39" s="7">
        <f>F38+1</f>
        <v>2</v>
      </c>
    </row>
    <row r="40" spans="1:6">
      <c r="A40" t="s">
        <v>8</v>
      </c>
      <c r="B40" s="92">
        <v>14.279431594324384</v>
      </c>
      <c r="C40" s="7">
        <f t="shared" ref="C40:C47" si="6">C39+1</f>
        <v>3</v>
      </c>
      <c r="D40" t="s">
        <v>4</v>
      </c>
      <c r="E40" s="92">
        <v>21.015859356265928</v>
      </c>
      <c r="F40" s="7">
        <f t="shared" ref="F40:F47" si="7">F39+1</f>
        <v>3</v>
      </c>
    </row>
    <row r="41" spans="1:6">
      <c r="A41" t="s">
        <v>9</v>
      </c>
      <c r="B41" s="92">
        <v>13.731513557695612</v>
      </c>
      <c r="C41" s="7">
        <f t="shared" si="6"/>
        <v>4</v>
      </c>
      <c r="D41" t="s">
        <v>8</v>
      </c>
      <c r="E41" s="92">
        <v>17.538427096074052</v>
      </c>
      <c r="F41" s="7">
        <f t="shared" si="7"/>
        <v>4</v>
      </c>
    </row>
    <row r="42" spans="1:6">
      <c r="A42" t="s">
        <v>12</v>
      </c>
      <c r="B42" s="92">
        <v>12.913702848111225</v>
      </c>
      <c r="C42" s="7">
        <f t="shared" si="6"/>
        <v>5</v>
      </c>
      <c r="D42" t="s">
        <v>5</v>
      </c>
      <c r="E42" s="92">
        <v>17.308524034574472</v>
      </c>
      <c r="F42" s="7">
        <f t="shared" si="7"/>
        <v>5</v>
      </c>
    </row>
    <row r="43" spans="1:6">
      <c r="A43" t="s">
        <v>11</v>
      </c>
      <c r="B43" s="92">
        <v>6.2334539138381277</v>
      </c>
      <c r="C43" s="7">
        <f t="shared" si="6"/>
        <v>6</v>
      </c>
      <c r="D43" t="s">
        <v>11</v>
      </c>
      <c r="E43" s="92">
        <v>16.326933548468634</v>
      </c>
      <c r="F43" s="7">
        <f t="shared" si="7"/>
        <v>6</v>
      </c>
    </row>
    <row r="44" spans="1:6">
      <c r="A44" t="s">
        <v>1</v>
      </c>
      <c r="B44" s="92">
        <v>4.3306058232091527</v>
      </c>
      <c r="C44" s="7">
        <f t="shared" si="6"/>
        <v>7</v>
      </c>
      <c r="D44" t="s">
        <v>10</v>
      </c>
      <c r="E44" s="92">
        <v>13.959166864200377</v>
      </c>
      <c r="F44" s="7">
        <f t="shared" si="7"/>
        <v>7</v>
      </c>
    </row>
    <row r="45" spans="1:6">
      <c r="A45" t="s">
        <v>6</v>
      </c>
      <c r="B45" s="92">
        <v>2.9439015585160084</v>
      </c>
      <c r="C45" s="7">
        <f t="shared" si="6"/>
        <v>8</v>
      </c>
      <c r="D45" t="s">
        <v>12</v>
      </c>
      <c r="E45" s="92">
        <v>13.843413259402741</v>
      </c>
      <c r="F45" s="7">
        <f t="shared" si="7"/>
        <v>8</v>
      </c>
    </row>
    <row r="46" spans="1:6">
      <c r="A46" t="s">
        <v>5</v>
      </c>
      <c r="B46" s="92">
        <v>2.2121935860519382</v>
      </c>
      <c r="C46" s="7">
        <f t="shared" si="6"/>
        <v>9</v>
      </c>
      <c r="D46" t="s">
        <v>6</v>
      </c>
      <c r="E46" s="92">
        <v>13.504135287471497</v>
      </c>
      <c r="F46" s="7">
        <f t="shared" si="7"/>
        <v>9</v>
      </c>
    </row>
    <row r="47" spans="1:6">
      <c r="A47" t="s">
        <v>2</v>
      </c>
      <c r="B47" s="92">
        <v>1.4777223880902297</v>
      </c>
      <c r="C47" s="7">
        <f t="shared" si="6"/>
        <v>10</v>
      </c>
      <c r="D47" t="s">
        <v>2</v>
      </c>
      <c r="E47" s="92">
        <v>3.9410238335372596</v>
      </c>
      <c r="F47" s="7">
        <f t="shared" si="7"/>
        <v>10</v>
      </c>
    </row>
    <row r="48" spans="1:6">
      <c r="C48" s="7">
        <f>SUM(C38:C47)</f>
        <v>55</v>
      </c>
      <c r="F48" s="7">
        <f>SUM(F38:F47)</f>
        <v>55</v>
      </c>
    </row>
    <row r="51" spans="1:5">
      <c r="B51" s="7" t="s">
        <v>164</v>
      </c>
      <c r="C51" s="7" t="s">
        <v>410</v>
      </c>
    </row>
    <row r="52" spans="1:5">
      <c r="A52" t="str">
        <f>A38</f>
        <v>Manufacturing</v>
      </c>
      <c r="B52" s="7">
        <f>C38</f>
        <v>1</v>
      </c>
      <c r="C52" s="7">
        <f>F40</f>
        <v>3</v>
      </c>
      <c r="D52" s="7">
        <f>C52-B52</f>
        <v>2</v>
      </c>
      <c r="E52" s="7">
        <f>POWER(D52,2)</f>
        <v>4</v>
      </c>
    </row>
    <row r="53" spans="1:5">
      <c r="A53" t="str">
        <f t="shared" ref="A53:A61" si="8">A39</f>
        <v>Finance, real estate and business services</v>
      </c>
      <c r="B53" s="7">
        <f t="shared" ref="B53:B61" si="9">C39</f>
        <v>2</v>
      </c>
      <c r="C53" s="7">
        <f>F44</f>
        <v>7</v>
      </c>
      <c r="D53" s="7">
        <f t="shared" ref="D53:D61" si="10">C53-B53</f>
        <v>5</v>
      </c>
      <c r="E53" s="7">
        <f t="shared" ref="E53:E61" si="11">POWER(D53,2)</f>
        <v>25</v>
      </c>
    </row>
    <row r="54" spans="1:5">
      <c r="A54" t="str">
        <f t="shared" si="8"/>
        <v>Wholesale &amp; retail trade; hotels &amp; restaurants</v>
      </c>
      <c r="B54" s="7">
        <f t="shared" si="9"/>
        <v>3</v>
      </c>
      <c r="C54" s="7">
        <f>F41</f>
        <v>4</v>
      </c>
      <c r="D54" s="7">
        <f t="shared" si="10"/>
        <v>1</v>
      </c>
      <c r="E54" s="7">
        <f t="shared" si="11"/>
        <v>1</v>
      </c>
    </row>
    <row r="55" spans="1:5">
      <c r="A55" t="str">
        <f t="shared" si="8"/>
        <v>Transport , storage and communication</v>
      </c>
      <c r="B55" s="7">
        <f t="shared" si="9"/>
        <v>4</v>
      </c>
      <c r="C55" s="7">
        <f>F39</f>
        <v>2</v>
      </c>
      <c r="D55" s="7">
        <f t="shared" si="10"/>
        <v>-2</v>
      </c>
      <c r="E55" s="7">
        <f t="shared" si="11"/>
        <v>4</v>
      </c>
    </row>
    <row r="56" spans="1:5">
      <c r="A56" t="str">
        <f t="shared" si="8"/>
        <v>General government services</v>
      </c>
      <c r="B56" s="7">
        <f t="shared" si="9"/>
        <v>5</v>
      </c>
      <c r="C56" s="7">
        <f>F45</f>
        <v>8</v>
      </c>
      <c r="D56" s="7">
        <f t="shared" si="10"/>
        <v>3</v>
      </c>
      <c r="E56" s="7">
        <f t="shared" si="11"/>
        <v>9</v>
      </c>
    </row>
    <row r="57" spans="1:5">
      <c r="A57" t="str">
        <f t="shared" si="8"/>
        <v>Personal services</v>
      </c>
      <c r="B57" s="7">
        <f t="shared" si="9"/>
        <v>6</v>
      </c>
      <c r="C57" s="7">
        <f>F43</f>
        <v>6</v>
      </c>
      <c r="D57" s="7">
        <f t="shared" si="10"/>
        <v>0</v>
      </c>
      <c r="E57" s="7">
        <f t="shared" si="11"/>
        <v>0</v>
      </c>
    </row>
    <row r="58" spans="1:5">
      <c r="A58" t="str">
        <f t="shared" si="8"/>
        <v>Agriculture, forestry and fishing</v>
      </c>
      <c r="B58" s="7">
        <f t="shared" si="9"/>
        <v>7</v>
      </c>
      <c r="C58" s="7">
        <f>F38</f>
        <v>1</v>
      </c>
      <c r="D58" s="7">
        <f t="shared" si="10"/>
        <v>-6</v>
      </c>
      <c r="E58" s="7">
        <f t="shared" si="11"/>
        <v>36</v>
      </c>
    </row>
    <row r="59" spans="1:5">
      <c r="A59" t="str">
        <f t="shared" si="8"/>
        <v>Construction</v>
      </c>
      <c r="B59" s="7">
        <f t="shared" si="9"/>
        <v>8</v>
      </c>
      <c r="C59" s="7">
        <f>F46</f>
        <v>9</v>
      </c>
      <c r="D59" s="7">
        <f t="shared" si="10"/>
        <v>1</v>
      </c>
      <c r="E59" s="7">
        <f t="shared" si="11"/>
        <v>1</v>
      </c>
    </row>
    <row r="60" spans="1:5">
      <c r="A60" t="str">
        <f t="shared" si="8"/>
        <v>Electricity, gas and water</v>
      </c>
      <c r="B60" s="7">
        <f t="shared" si="9"/>
        <v>9</v>
      </c>
      <c r="C60" s="7">
        <f>F42</f>
        <v>5</v>
      </c>
      <c r="D60" s="7">
        <f t="shared" si="10"/>
        <v>-4</v>
      </c>
      <c r="E60" s="7">
        <f t="shared" si="11"/>
        <v>16</v>
      </c>
    </row>
    <row r="61" spans="1:5">
      <c r="A61" t="str">
        <f t="shared" si="8"/>
        <v>Mining and quarrying</v>
      </c>
      <c r="B61" s="7">
        <f t="shared" si="9"/>
        <v>10</v>
      </c>
      <c r="C61" s="7">
        <f>F47</f>
        <v>10</v>
      </c>
      <c r="D61" s="7">
        <f t="shared" si="10"/>
        <v>0</v>
      </c>
      <c r="E61" s="7">
        <f t="shared" si="11"/>
        <v>0</v>
      </c>
    </row>
    <row r="63" spans="1:5">
      <c r="B63" s="92"/>
      <c r="D63" t="s">
        <v>165</v>
      </c>
      <c r="E63" s="7">
        <f>SUM(E52:E62)</f>
        <v>96</v>
      </c>
    </row>
    <row r="64" spans="1:5" ht="13.5" thickBot="1"/>
    <row r="65" spans="3:4" ht="13.5" thickBot="1">
      <c r="C65" s="281" t="s">
        <v>343</v>
      </c>
      <c r="D65" s="92">
        <f>1-((6*E63)/(10*(100-1)))</f>
        <v>0.41818181818181821</v>
      </c>
    </row>
  </sheetData>
  <mergeCells count="3">
    <mergeCell ref="A1:F1"/>
    <mergeCell ref="A3:F3"/>
    <mergeCell ref="A34:F34"/>
  </mergeCells>
  <phoneticPr fontId="8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E387"/>
  <sheetViews>
    <sheetView zoomScale="90" zoomScaleNormal="90" workbookViewId="0">
      <selection sqref="A1:L1"/>
    </sheetView>
  </sheetViews>
  <sheetFormatPr defaultRowHeight="12.75"/>
  <cols>
    <col min="1" max="1" width="30.125" style="292" customWidth="1"/>
    <col min="2" max="2" width="12.375" style="292" bestFit="1" customWidth="1"/>
    <col min="3" max="3" width="10.375" style="292" customWidth="1"/>
    <col min="4" max="4" width="10.5" style="292" bestFit="1" customWidth="1"/>
    <col min="5" max="5" width="11.125" style="292" bestFit="1" customWidth="1"/>
    <col min="6" max="6" width="10.5" style="292" bestFit="1" customWidth="1"/>
    <col min="7" max="7" width="10.25" style="292" bestFit="1" customWidth="1"/>
    <col min="8" max="8" width="10.5" style="292" customWidth="1"/>
    <col min="9" max="9" width="13.5" style="292" bestFit="1" customWidth="1"/>
    <col min="10" max="10" width="10.5" style="292" customWidth="1"/>
    <col min="11" max="11" width="11.125" style="292" bestFit="1" customWidth="1"/>
    <col min="12" max="12" width="10.875" style="292" customWidth="1"/>
    <col min="13" max="13" width="11.125" style="292" bestFit="1" customWidth="1"/>
    <col min="14" max="14" width="10.5" style="292" bestFit="1" customWidth="1"/>
    <col min="15" max="15" width="11" style="292" customWidth="1"/>
    <col min="16" max="16" width="10.5" style="292" bestFit="1" customWidth="1"/>
    <col min="17" max="17" width="11.125" style="292" bestFit="1" customWidth="1"/>
    <col min="18" max="18" width="10.5" style="292" bestFit="1" customWidth="1"/>
    <col min="19" max="19" width="12" style="292" customWidth="1"/>
    <col min="20" max="20" width="9.25" style="292" customWidth="1"/>
    <col min="21" max="21" width="10.625" style="292" customWidth="1"/>
    <col min="22" max="22" width="12.125" style="292" bestFit="1" customWidth="1"/>
    <col min="23" max="23" width="10.5" style="292" bestFit="1" customWidth="1"/>
    <col min="24" max="26" width="11.25" style="292" customWidth="1"/>
    <col min="27" max="27" width="9" style="292"/>
    <col min="28" max="28" width="12.5" style="292" customWidth="1"/>
    <col min="29" max="29" width="13.875" style="292" customWidth="1"/>
    <col min="30" max="30" width="10.75" style="292" customWidth="1"/>
    <col min="31" max="31" width="11.875" style="292" customWidth="1"/>
    <col min="32" max="256" width="9" style="292"/>
    <col min="257" max="257" width="16" style="292" customWidth="1"/>
    <col min="258" max="258" width="12.375" style="292" bestFit="1" customWidth="1"/>
    <col min="259" max="259" width="10.375" style="292" customWidth="1"/>
    <col min="260" max="260" width="10.5" style="292" bestFit="1" customWidth="1"/>
    <col min="261" max="261" width="11.125" style="292" bestFit="1" customWidth="1"/>
    <col min="262" max="262" width="10" style="292" bestFit="1" customWidth="1"/>
    <col min="263" max="263" width="10.25" style="292" bestFit="1" customWidth="1"/>
    <col min="264" max="264" width="10.5" style="292" customWidth="1"/>
    <col min="265" max="265" width="13.5" style="292" bestFit="1" customWidth="1"/>
    <col min="266" max="266" width="10.5" style="292" customWidth="1"/>
    <col min="267" max="267" width="11.125" style="292" bestFit="1" customWidth="1"/>
    <col min="268" max="268" width="10.875" style="292" customWidth="1"/>
    <col min="269" max="269" width="11.125" style="292" bestFit="1" customWidth="1"/>
    <col min="270" max="270" width="10" style="292" bestFit="1" customWidth="1"/>
    <col min="271" max="271" width="11" style="292" customWidth="1"/>
    <col min="272" max="272" width="10" style="292" bestFit="1" customWidth="1"/>
    <col min="273" max="273" width="11.125" style="292" bestFit="1" customWidth="1"/>
    <col min="274" max="274" width="10" style="292" bestFit="1" customWidth="1"/>
    <col min="275" max="275" width="12" style="292" customWidth="1"/>
    <col min="276" max="276" width="9.25" style="292" customWidth="1"/>
    <col min="277" max="277" width="10.625" style="292" customWidth="1"/>
    <col min="278" max="278" width="12.125" style="292" bestFit="1" customWidth="1"/>
    <col min="279" max="279" width="9.75" style="292" bestFit="1" customWidth="1"/>
    <col min="280" max="282" width="11.25" style="292" customWidth="1"/>
    <col min="283" max="283" width="9" style="292"/>
    <col min="284" max="284" width="12.5" style="292" customWidth="1"/>
    <col min="285" max="285" width="13.875" style="292" customWidth="1"/>
    <col min="286" max="286" width="10.75" style="292" customWidth="1"/>
    <col min="287" max="287" width="11.875" style="292" customWidth="1"/>
    <col min="288" max="512" width="9" style="292"/>
    <col min="513" max="513" width="16" style="292" customWidth="1"/>
    <col min="514" max="514" width="12.375" style="292" bestFit="1" customWidth="1"/>
    <col min="515" max="515" width="10.375" style="292" customWidth="1"/>
    <col min="516" max="516" width="10.5" style="292" bestFit="1" customWidth="1"/>
    <col min="517" max="517" width="11.125" style="292" bestFit="1" customWidth="1"/>
    <col min="518" max="518" width="10" style="292" bestFit="1" customWidth="1"/>
    <col min="519" max="519" width="10.25" style="292" bestFit="1" customWidth="1"/>
    <col min="520" max="520" width="10.5" style="292" customWidth="1"/>
    <col min="521" max="521" width="13.5" style="292" bestFit="1" customWidth="1"/>
    <col min="522" max="522" width="10.5" style="292" customWidth="1"/>
    <col min="523" max="523" width="11.125" style="292" bestFit="1" customWidth="1"/>
    <col min="524" max="524" width="10.875" style="292" customWidth="1"/>
    <col min="525" max="525" width="11.125" style="292" bestFit="1" customWidth="1"/>
    <col min="526" max="526" width="10" style="292" bestFit="1" customWidth="1"/>
    <col min="527" max="527" width="11" style="292" customWidth="1"/>
    <col min="528" max="528" width="10" style="292" bestFit="1" customWidth="1"/>
    <col min="529" max="529" width="11.125" style="292" bestFit="1" customWidth="1"/>
    <col min="530" max="530" width="10" style="292" bestFit="1" customWidth="1"/>
    <col min="531" max="531" width="12" style="292" customWidth="1"/>
    <col min="532" max="532" width="9.25" style="292" customWidth="1"/>
    <col min="533" max="533" width="10.625" style="292" customWidth="1"/>
    <col min="534" max="534" width="12.125" style="292" bestFit="1" customWidth="1"/>
    <col min="535" max="535" width="9.75" style="292" bestFit="1" customWidth="1"/>
    <col min="536" max="538" width="11.25" style="292" customWidth="1"/>
    <col min="539" max="539" width="9" style="292"/>
    <col min="540" max="540" width="12.5" style="292" customWidth="1"/>
    <col min="541" max="541" width="13.875" style="292" customWidth="1"/>
    <col min="542" max="542" width="10.75" style="292" customWidth="1"/>
    <col min="543" max="543" width="11.875" style="292" customWidth="1"/>
    <col min="544" max="768" width="9" style="292"/>
    <col min="769" max="769" width="16" style="292" customWidth="1"/>
    <col min="770" max="770" width="12.375" style="292" bestFit="1" customWidth="1"/>
    <col min="771" max="771" width="10.375" style="292" customWidth="1"/>
    <col min="772" max="772" width="10.5" style="292" bestFit="1" customWidth="1"/>
    <col min="773" max="773" width="11.125" style="292" bestFit="1" customWidth="1"/>
    <col min="774" max="774" width="10" style="292" bestFit="1" customWidth="1"/>
    <col min="775" max="775" width="10.25" style="292" bestFit="1" customWidth="1"/>
    <col min="776" max="776" width="10.5" style="292" customWidth="1"/>
    <col min="777" max="777" width="13.5" style="292" bestFit="1" customWidth="1"/>
    <col min="778" max="778" width="10.5" style="292" customWidth="1"/>
    <col min="779" max="779" width="11.125" style="292" bestFit="1" customWidth="1"/>
    <col min="780" max="780" width="10.875" style="292" customWidth="1"/>
    <col min="781" max="781" width="11.125" style="292" bestFit="1" customWidth="1"/>
    <col min="782" max="782" width="10" style="292" bestFit="1" customWidth="1"/>
    <col min="783" max="783" width="11" style="292" customWidth="1"/>
    <col min="784" max="784" width="10" style="292" bestFit="1" customWidth="1"/>
    <col min="785" max="785" width="11.125" style="292" bestFit="1" customWidth="1"/>
    <col min="786" max="786" width="10" style="292" bestFit="1" customWidth="1"/>
    <col min="787" max="787" width="12" style="292" customWidth="1"/>
    <col min="788" max="788" width="9.25" style="292" customWidth="1"/>
    <col min="789" max="789" width="10.625" style="292" customWidth="1"/>
    <col min="790" max="790" width="12.125" style="292" bestFit="1" customWidth="1"/>
    <col min="791" max="791" width="9.75" style="292" bestFit="1" customWidth="1"/>
    <col min="792" max="794" width="11.25" style="292" customWidth="1"/>
    <col min="795" max="795" width="9" style="292"/>
    <col min="796" max="796" width="12.5" style="292" customWidth="1"/>
    <col min="797" max="797" width="13.875" style="292" customWidth="1"/>
    <col min="798" max="798" width="10.75" style="292" customWidth="1"/>
    <col min="799" max="799" width="11.875" style="292" customWidth="1"/>
    <col min="800" max="1024" width="9" style="292"/>
    <col min="1025" max="1025" width="16" style="292" customWidth="1"/>
    <col min="1026" max="1026" width="12.375" style="292" bestFit="1" customWidth="1"/>
    <col min="1027" max="1027" width="10.375" style="292" customWidth="1"/>
    <col min="1028" max="1028" width="10.5" style="292" bestFit="1" customWidth="1"/>
    <col min="1029" max="1029" width="11.125" style="292" bestFit="1" customWidth="1"/>
    <col min="1030" max="1030" width="10" style="292" bestFit="1" customWidth="1"/>
    <col min="1031" max="1031" width="10.25" style="292" bestFit="1" customWidth="1"/>
    <col min="1032" max="1032" width="10.5" style="292" customWidth="1"/>
    <col min="1033" max="1033" width="13.5" style="292" bestFit="1" customWidth="1"/>
    <col min="1034" max="1034" width="10.5" style="292" customWidth="1"/>
    <col min="1035" max="1035" width="11.125" style="292" bestFit="1" customWidth="1"/>
    <col min="1036" max="1036" width="10.875" style="292" customWidth="1"/>
    <col min="1037" max="1037" width="11.125" style="292" bestFit="1" customWidth="1"/>
    <col min="1038" max="1038" width="10" style="292" bestFit="1" customWidth="1"/>
    <col min="1039" max="1039" width="11" style="292" customWidth="1"/>
    <col min="1040" max="1040" width="10" style="292" bestFit="1" customWidth="1"/>
    <col min="1041" max="1041" width="11.125" style="292" bestFit="1" customWidth="1"/>
    <col min="1042" max="1042" width="10" style="292" bestFit="1" customWidth="1"/>
    <col min="1043" max="1043" width="12" style="292" customWidth="1"/>
    <col min="1044" max="1044" width="9.25" style="292" customWidth="1"/>
    <col min="1045" max="1045" width="10.625" style="292" customWidth="1"/>
    <col min="1046" max="1046" width="12.125" style="292" bestFit="1" customWidth="1"/>
    <col min="1047" max="1047" width="9.75" style="292" bestFit="1" customWidth="1"/>
    <col min="1048" max="1050" width="11.25" style="292" customWidth="1"/>
    <col min="1051" max="1051" width="9" style="292"/>
    <col min="1052" max="1052" width="12.5" style="292" customWidth="1"/>
    <col min="1053" max="1053" width="13.875" style="292" customWidth="1"/>
    <col min="1054" max="1054" width="10.75" style="292" customWidth="1"/>
    <col min="1055" max="1055" width="11.875" style="292" customWidth="1"/>
    <col min="1056" max="1280" width="9" style="292"/>
    <col min="1281" max="1281" width="16" style="292" customWidth="1"/>
    <col min="1282" max="1282" width="12.375" style="292" bestFit="1" customWidth="1"/>
    <col min="1283" max="1283" width="10.375" style="292" customWidth="1"/>
    <col min="1284" max="1284" width="10.5" style="292" bestFit="1" customWidth="1"/>
    <col min="1285" max="1285" width="11.125" style="292" bestFit="1" customWidth="1"/>
    <col min="1286" max="1286" width="10" style="292" bestFit="1" customWidth="1"/>
    <col min="1287" max="1287" width="10.25" style="292" bestFit="1" customWidth="1"/>
    <col min="1288" max="1288" width="10.5" style="292" customWidth="1"/>
    <col min="1289" max="1289" width="13.5" style="292" bestFit="1" customWidth="1"/>
    <col min="1290" max="1290" width="10.5" style="292" customWidth="1"/>
    <col min="1291" max="1291" width="11.125" style="292" bestFit="1" customWidth="1"/>
    <col min="1292" max="1292" width="10.875" style="292" customWidth="1"/>
    <col min="1293" max="1293" width="11.125" style="292" bestFit="1" customWidth="1"/>
    <col min="1294" max="1294" width="10" style="292" bestFit="1" customWidth="1"/>
    <col min="1295" max="1295" width="11" style="292" customWidth="1"/>
    <col min="1296" max="1296" width="10" style="292" bestFit="1" customWidth="1"/>
    <col min="1297" max="1297" width="11.125" style="292" bestFit="1" customWidth="1"/>
    <col min="1298" max="1298" width="10" style="292" bestFit="1" customWidth="1"/>
    <col min="1299" max="1299" width="12" style="292" customWidth="1"/>
    <col min="1300" max="1300" width="9.25" style="292" customWidth="1"/>
    <col min="1301" max="1301" width="10.625" style="292" customWidth="1"/>
    <col min="1302" max="1302" width="12.125" style="292" bestFit="1" customWidth="1"/>
    <col min="1303" max="1303" width="9.75" style="292" bestFit="1" customWidth="1"/>
    <col min="1304" max="1306" width="11.25" style="292" customWidth="1"/>
    <col min="1307" max="1307" width="9" style="292"/>
    <col min="1308" max="1308" width="12.5" style="292" customWidth="1"/>
    <col min="1309" max="1309" width="13.875" style="292" customWidth="1"/>
    <col min="1310" max="1310" width="10.75" style="292" customWidth="1"/>
    <col min="1311" max="1311" width="11.875" style="292" customWidth="1"/>
    <col min="1312" max="1536" width="9" style="292"/>
    <col min="1537" max="1537" width="16" style="292" customWidth="1"/>
    <col min="1538" max="1538" width="12.375" style="292" bestFit="1" customWidth="1"/>
    <col min="1539" max="1539" width="10.375" style="292" customWidth="1"/>
    <col min="1540" max="1540" width="10.5" style="292" bestFit="1" customWidth="1"/>
    <col min="1541" max="1541" width="11.125" style="292" bestFit="1" customWidth="1"/>
    <col min="1542" max="1542" width="10" style="292" bestFit="1" customWidth="1"/>
    <col min="1543" max="1543" width="10.25" style="292" bestFit="1" customWidth="1"/>
    <col min="1544" max="1544" width="10.5" style="292" customWidth="1"/>
    <col min="1545" max="1545" width="13.5" style="292" bestFit="1" customWidth="1"/>
    <col min="1546" max="1546" width="10.5" style="292" customWidth="1"/>
    <col min="1547" max="1547" width="11.125" style="292" bestFit="1" customWidth="1"/>
    <col min="1548" max="1548" width="10.875" style="292" customWidth="1"/>
    <col min="1549" max="1549" width="11.125" style="292" bestFit="1" customWidth="1"/>
    <col min="1550" max="1550" width="10" style="292" bestFit="1" customWidth="1"/>
    <col min="1551" max="1551" width="11" style="292" customWidth="1"/>
    <col min="1552" max="1552" width="10" style="292" bestFit="1" customWidth="1"/>
    <col min="1553" max="1553" width="11.125" style="292" bestFit="1" customWidth="1"/>
    <col min="1554" max="1554" width="10" style="292" bestFit="1" customWidth="1"/>
    <col min="1555" max="1555" width="12" style="292" customWidth="1"/>
    <col min="1556" max="1556" width="9.25" style="292" customWidth="1"/>
    <col min="1557" max="1557" width="10.625" style="292" customWidth="1"/>
    <col min="1558" max="1558" width="12.125" style="292" bestFit="1" customWidth="1"/>
    <col min="1559" max="1559" width="9.75" style="292" bestFit="1" customWidth="1"/>
    <col min="1560" max="1562" width="11.25" style="292" customWidth="1"/>
    <col min="1563" max="1563" width="9" style="292"/>
    <col min="1564" max="1564" width="12.5" style="292" customWidth="1"/>
    <col min="1565" max="1565" width="13.875" style="292" customWidth="1"/>
    <col min="1566" max="1566" width="10.75" style="292" customWidth="1"/>
    <col min="1567" max="1567" width="11.875" style="292" customWidth="1"/>
    <col min="1568" max="1792" width="9" style="292"/>
    <col min="1793" max="1793" width="16" style="292" customWidth="1"/>
    <col min="1794" max="1794" width="12.375" style="292" bestFit="1" customWidth="1"/>
    <col min="1795" max="1795" width="10.375" style="292" customWidth="1"/>
    <col min="1796" max="1796" width="10.5" style="292" bestFit="1" customWidth="1"/>
    <col min="1797" max="1797" width="11.125" style="292" bestFit="1" customWidth="1"/>
    <col min="1798" max="1798" width="10" style="292" bestFit="1" customWidth="1"/>
    <col min="1799" max="1799" width="10.25" style="292" bestFit="1" customWidth="1"/>
    <col min="1800" max="1800" width="10.5" style="292" customWidth="1"/>
    <col min="1801" max="1801" width="13.5" style="292" bestFit="1" customWidth="1"/>
    <col min="1802" max="1802" width="10.5" style="292" customWidth="1"/>
    <col min="1803" max="1803" width="11.125" style="292" bestFit="1" customWidth="1"/>
    <col min="1804" max="1804" width="10.875" style="292" customWidth="1"/>
    <col min="1805" max="1805" width="11.125" style="292" bestFit="1" customWidth="1"/>
    <col min="1806" max="1806" width="10" style="292" bestFit="1" customWidth="1"/>
    <col min="1807" max="1807" width="11" style="292" customWidth="1"/>
    <col min="1808" max="1808" width="10" style="292" bestFit="1" customWidth="1"/>
    <col min="1809" max="1809" width="11.125" style="292" bestFit="1" customWidth="1"/>
    <col min="1810" max="1810" width="10" style="292" bestFit="1" customWidth="1"/>
    <col min="1811" max="1811" width="12" style="292" customWidth="1"/>
    <col min="1812" max="1812" width="9.25" style="292" customWidth="1"/>
    <col min="1813" max="1813" width="10.625" style="292" customWidth="1"/>
    <col min="1814" max="1814" width="12.125" style="292" bestFit="1" customWidth="1"/>
    <col min="1815" max="1815" width="9.75" style="292" bestFit="1" customWidth="1"/>
    <col min="1816" max="1818" width="11.25" style="292" customWidth="1"/>
    <col min="1819" max="1819" width="9" style="292"/>
    <col min="1820" max="1820" width="12.5" style="292" customWidth="1"/>
    <col min="1821" max="1821" width="13.875" style="292" customWidth="1"/>
    <col min="1822" max="1822" width="10.75" style="292" customWidth="1"/>
    <col min="1823" max="1823" width="11.875" style="292" customWidth="1"/>
    <col min="1824" max="2048" width="9" style="292"/>
    <col min="2049" max="2049" width="16" style="292" customWidth="1"/>
    <col min="2050" max="2050" width="12.375" style="292" bestFit="1" customWidth="1"/>
    <col min="2051" max="2051" width="10.375" style="292" customWidth="1"/>
    <col min="2052" max="2052" width="10.5" style="292" bestFit="1" customWidth="1"/>
    <col min="2053" max="2053" width="11.125" style="292" bestFit="1" customWidth="1"/>
    <col min="2054" max="2054" width="10" style="292" bestFit="1" customWidth="1"/>
    <col min="2055" max="2055" width="10.25" style="292" bestFit="1" customWidth="1"/>
    <col min="2056" max="2056" width="10.5" style="292" customWidth="1"/>
    <col min="2057" max="2057" width="13.5" style="292" bestFit="1" customWidth="1"/>
    <col min="2058" max="2058" width="10.5" style="292" customWidth="1"/>
    <col min="2059" max="2059" width="11.125" style="292" bestFit="1" customWidth="1"/>
    <col min="2060" max="2060" width="10.875" style="292" customWidth="1"/>
    <col min="2061" max="2061" width="11.125" style="292" bestFit="1" customWidth="1"/>
    <col min="2062" max="2062" width="10" style="292" bestFit="1" customWidth="1"/>
    <col min="2063" max="2063" width="11" style="292" customWidth="1"/>
    <col min="2064" max="2064" width="10" style="292" bestFit="1" customWidth="1"/>
    <col min="2065" max="2065" width="11.125" style="292" bestFit="1" customWidth="1"/>
    <col min="2066" max="2066" width="10" style="292" bestFit="1" customWidth="1"/>
    <col min="2067" max="2067" width="12" style="292" customWidth="1"/>
    <col min="2068" max="2068" width="9.25" style="292" customWidth="1"/>
    <col min="2069" max="2069" width="10.625" style="292" customWidth="1"/>
    <col min="2070" max="2070" width="12.125" style="292" bestFit="1" customWidth="1"/>
    <col min="2071" max="2071" width="9.75" style="292" bestFit="1" customWidth="1"/>
    <col min="2072" max="2074" width="11.25" style="292" customWidth="1"/>
    <col min="2075" max="2075" width="9" style="292"/>
    <col min="2076" max="2076" width="12.5" style="292" customWidth="1"/>
    <col min="2077" max="2077" width="13.875" style="292" customWidth="1"/>
    <col min="2078" max="2078" width="10.75" style="292" customWidth="1"/>
    <col min="2079" max="2079" width="11.875" style="292" customWidth="1"/>
    <col min="2080" max="2304" width="9" style="292"/>
    <col min="2305" max="2305" width="16" style="292" customWidth="1"/>
    <col min="2306" max="2306" width="12.375" style="292" bestFit="1" customWidth="1"/>
    <col min="2307" max="2307" width="10.375" style="292" customWidth="1"/>
    <col min="2308" max="2308" width="10.5" style="292" bestFit="1" customWidth="1"/>
    <col min="2309" max="2309" width="11.125" style="292" bestFit="1" customWidth="1"/>
    <col min="2310" max="2310" width="10" style="292" bestFit="1" customWidth="1"/>
    <col min="2311" max="2311" width="10.25" style="292" bestFit="1" customWidth="1"/>
    <col min="2312" max="2312" width="10.5" style="292" customWidth="1"/>
    <col min="2313" max="2313" width="13.5" style="292" bestFit="1" customWidth="1"/>
    <col min="2314" max="2314" width="10.5" style="292" customWidth="1"/>
    <col min="2315" max="2315" width="11.125" style="292" bestFit="1" customWidth="1"/>
    <col min="2316" max="2316" width="10.875" style="292" customWidth="1"/>
    <col min="2317" max="2317" width="11.125" style="292" bestFit="1" customWidth="1"/>
    <col min="2318" max="2318" width="10" style="292" bestFit="1" customWidth="1"/>
    <col min="2319" max="2319" width="11" style="292" customWidth="1"/>
    <col min="2320" max="2320" width="10" style="292" bestFit="1" customWidth="1"/>
    <col min="2321" max="2321" width="11.125" style="292" bestFit="1" customWidth="1"/>
    <col min="2322" max="2322" width="10" style="292" bestFit="1" customWidth="1"/>
    <col min="2323" max="2323" width="12" style="292" customWidth="1"/>
    <col min="2324" max="2324" width="9.25" style="292" customWidth="1"/>
    <col min="2325" max="2325" width="10.625" style="292" customWidth="1"/>
    <col min="2326" max="2326" width="12.125" style="292" bestFit="1" customWidth="1"/>
    <col min="2327" max="2327" width="9.75" style="292" bestFit="1" customWidth="1"/>
    <col min="2328" max="2330" width="11.25" style="292" customWidth="1"/>
    <col min="2331" max="2331" width="9" style="292"/>
    <col min="2332" max="2332" width="12.5" style="292" customWidth="1"/>
    <col min="2333" max="2333" width="13.875" style="292" customWidth="1"/>
    <col min="2334" max="2334" width="10.75" style="292" customWidth="1"/>
    <col min="2335" max="2335" width="11.875" style="292" customWidth="1"/>
    <col min="2336" max="2560" width="9" style="292"/>
    <col min="2561" max="2561" width="16" style="292" customWidth="1"/>
    <col min="2562" max="2562" width="12.375" style="292" bestFit="1" customWidth="1"/>
    <col min="2563" max="2563" width="10.375" style="292" customWidth="1"/>
    <col min="2564" max="2564" width="10.5" style="292" bestFit="1" customWidth="1"/>
    <col min="2565" max="2565" width="11.125" style="292" bestFit="1" customWidth="1"/>
    <col min="2566" max="2566" width="10" style="292" bestFit="1" customWidth="1"/>
    <col min="2567" max="2567" width="10.25" style="292" bestFit="1" customWidth="1"/>
    <col min="2568" max="2568" width="10.5" style="292" customWidth="1"/>
    <col min="2569" max="2569" width="13.5" style="292" bestFit="1" customWidth="1"/>
    <col min="2570" max="2570" width="10.5" style="292" customWidth="1"/>
    <col min="2571" max="2571" width="11.125" style="292" bestFit="1" customWidth="1"/>
    <col min="2572" max="2572" width="10.875" style="292" customWidth="1"/>
    <col min="2573" max="2573" width="11.125" style="292" bestFit="1" customWidth="1"/>
    <col min="2574" max="2574" width="10" style="292" bestFit="1" customWidth="1"/>
    <col min="2575" max="2575" width="11" style="292" customWidth="1"/>
    <col min="2576" max="2576" width="10" style="292" bestFit="1" customWidth="1"/>
    <col min="2577" max="2577" width="11.125" style="292" bestFit="1" customWidth="1"/>
    <col min="2578" max="2578" width="10" style="292" bestFit="1" customWidth="1"/>
    <col min="2579" max="2579" width="12" style="292" customWidth="1"/>
    <col min="2580" max="2580" width="9.25" style="292" customWidth="1"/>
    <col min="2581" max="2581" width="10.625" style="292" customWidth="1"/>
    <col min="2582" max="2582" width="12.125" style="292" bestFit="1" customWidth="1"/>
    <col min="2583" max="2583" width="9.75" style="292" bestFit="1" customWidth="1"/>
    <col min="2584" max="2586" width="11.25" style="292" customWidth="1"/>
    <col min="2587" max="2587" width="9" style="292"/>
    <col min="2588" max="2588" width="12.5" style="292" customWidth="1"/>
    <col min="2589" max="2589" width="13.875" style="292" customWidth="1"/>
    <col min="2590" max="2590" width="10.75" style="292" customWidth="1"/>
    <col min="2591" max="2591" width="11.875" style="292" customWidth="1"/>
    <col min="2592" max="2816" width="9" style="292"/>
    <col min="2817" max="2817" width="16" style="292" customWidth="1"/>
    <col min="2818" max="2818" width="12.375" style="292" bestFit="1" customWidth="1"/>
    <col min="2819" max="2819" width="10.375" style="292" customWidth="1"/>
    <col min="2820" max="2820" width="10.5" style="292" bestFit="1" customWidth="1"/>
    <col min="2821" max="2821" width="11.125" style="292" bestFit="1" customWidth="1"/>
    <col min="2822" max="2822" width="10" style="292" bestFit="1" customWidth="1"/>
    <col min="2823" max="2823" width="10.25" style="292" bestFit="1" customWidth="1"/>
    <col min="2824" max="2824" width="10.5" style="292" customWidth="1"/>
    <col min="2825" max="2825" width="13.5" style="292" bestFit="1" customWidth="1"/>
    <col min="2826" max="2826" width="10.5" style="292" customWidth="1"/>
    <col min="2827" max="2827" width="11.125" style="292" bestFit="1" customWidth="1"/>
    <col min="2828" max="2828" width="10.875" style="292" customWidth="1"/>
    <col min="2829" max="2829" width="11.125" style="292" bestFit="1" customWidth="1"/>
    <col min="2830" max="2830" width="10" style="292" bestFit="1" customWidth="1"/>
    <col min="2831" max="2831" width="11" style="292" customWidth="1"/>
    <col min="2832" max="2832" width="10" style="292" bestFit="1" customWidth="1"/>
    <col min="2833" max="2833" width="11.125" style="292" bestFit="1" customWidth="1"/>
    <col min="2834" max="2834" width="10" style="292" bestFit="1" customWidth="1"/>
    <col min="2835" max="2835" width="12" style="292" customWidth="1"/>
    <col min="2836" max="2836" width="9.25" style="292" customWidth="1"/>
    <col min="2837" max="2837" width="10.625" style="292" customWidth="1"/>
    <col min="2838" max="2838" width="12.125" style="292" bestFit="1" customWidth="1"/>
    <col min="2839" max="2839" width="9.75" style="292" bestFit="1" customWidth="1"/>
    <col min="2840" max="2842" width="11.25" style="292" customWidth="1"/>
    <col min="2843" max="2843" width="9" style="292"/>
    <col min="2844" max="2844" width="12.5" style="292" customWidth="1"/>
    <col min="2845" max="2845" width="13.875" style="292" customWidth="1"/>
    <col min="2846" max="2846" width="10.75" style="292" customWidth="1"/>
    <col min="2847" max="2847" width="11.875" style="292" customWidth="1"/>
    <col min="2848" max="3072" width="9" style="292"/>
    <col min="3073" max="3073" width="16" style="292" customWidth="1"/>
    <col min="3074" max="3074" width="12.375" style="292" bestFit="1" customWidth="1"/>
    <col min="3075" max="3075" width="10.375" style="292" customWidth="1"/>
    <col min="3076" max="3076" width="10.5" style="292" bestFit="1" customWidth="1"/>
    <col min="3077" max="3077" width="11.125" style="292" bestFit="1" customWidth="1"/>
    <col min="3078" max="3078" width="10" style="292" bestFit="1" customWidth="1"/>
    <col min="3079" max="3079" width="10.25" style="292" bestFit="1" customWidth="1"/>
    <col min="3080" max="3080" width="10.5" style="292" customWidth="1"/>
    <col min="3081" max="3081" width="13.5" style="292" bestFit="1" customWidth="1"/>
    <col min="3082" max="3082" width="10.5" style="292" customWidth="1"/>
    <col min="3083" max="3083" width="11.125" style="292" bestFit="1" customWidth="1"/>
    <col min="3084" max="3084" width="10.875" style="292" customWidth="1"/>
    <col min="3085" max="3085" width="11.125" style="292" bestFit="1" customWidth="1"/>
    <col min="3086" max="3086" width="10" style="292" bestFit="1" customWidth="1"/>
    <col min="3087" max="3087" width="11" style="292" customWidth="1"/>
    <col min="3088" max="3088" width="10" style="292" bestFit="1" customWidth="1"/>
    <col min="3089" max="3089" width="11.125" style="292" bestFit="1" customWidth="1"/>
    <col min="3090" max="3090" width="10" style="292" bestFit="1" customWidth="1"/>
    <col min="3091" max="3091" width="12" style="292" customWidth="1"/>
    <col min="3092" max="3092" width="9.25" style="292" customWidth="1"/>
    <col min="3093" max="3093" width="10.625" style="292" customWidth="1"/>
    <col min="3094" max="3094" width="12.125" style="292" bestFit="1" customWidth="1"/>
    <col min="3095" max="3095" width="9.75" style="292" bestFit="1" customWidth="1"/>
    <col min="3096" max="3098" width="11.25" style="292" customWidth="1"/>
    <col min="3099" max="3099" width="9" style="292"/>
    <col min="3100" max="3100" width="12.5" style="292" customWidth="1"/>
    <col min="3101" max="3101" width="13.875" style="292" customWidth="1"/>
    <col min="3102" max="3102" width="10.75" style="292" customWidth="1"/>
    <col min="3103" max="3103" width="11.875" style="292" customWidth="1"/>
    <col min="3104" max="3328" width="9" style="292"/>
    <col min="3329" max="3329" width="16" style="292" customWidth="1"/>
    <col min="3330" max="3330" width="12.375" style="292" bestFit="1" customWidth="1"/>
    <col min="3331" max="3331" width="10.375" style="292" customWidth="1"/>
    <col min="3332" max="3332" width="10.5" style="292" bestFit="1" customWidth="1"/>
    <col min="3333" max="3333" width="11.125" style="292" bestFit="1" customWidth="1"/>
    <col min="3334" max="3334" width="10" style="292" bestFit="1" customWidth="1"/>
    <col min="3335" max="3335" width="10.25" style="292" bestFit="1" customWidth="1"/>
    <col min="3336" max="3336" width="10.5" style="292" customWidth="1"/>
    <col min="3337" max="3337" width="13.5" style="292" bestFit="1" customWidth="1"/>
    <col min="3338" max="3338" width="10.5" style="292" customWidth="1"/>
    <col min="3339" max="3339" width="11.125" style="292" bestFit="1" customWidth="1"/>
    <col min="3340" max="3340" width="10.875" style="292" customWidth="1"/>
    <col min="3341" max="3341" width="11.125" style="292" bestFit="1" customWidth="1"/>
    <col min="3342" max="3342" width="10" style="292" bestFit="1" customWidth="1"/>
    <col min="3343" max="3343" width="11" style="292" customWidth="1"/>
    <col min="3344" max="3344" width="10" style="292" bestFit="1" customWidth="1"/>
    <col min="3345" max="3345" width="11.125" style="292" bestFit="1" customWidth="1"/>
    <col min="3346" max="3346" width="10" style="292" bestFit="1" customWidth="1"/>
    <col min="3347" max="3347" width="12" style="292" customWidth="1"/>
    <col min="3348" max="3348" width="9.25" style="292" customWidth="1"/>
    <col min="3349" max="3349" width="10.625" style="292" customWidth="1"/>
    <col min="3350" max="3350" width="12.125" style="292" bestFit="1" customWidth="1"/>
    <col min="3351" max="3351" width="9.75" style="292" bestFit="1" customWidth="1"/>
    <col min="3352" max="3354" width="11.25" style="292" customWidth="1"/>
    <col min="3355" max="3355" width="9" style="292"/>
    <col min="3356" max="3356" width="12.5" style="292" customWidth="1"/>
    <col min="3357" max="3357" width="13.875" style="292" customWidth="1"/>
    <col min="3358" max="3358" width="10.75" style="292" customWidth="1"/>
    <col min="3359" max="3359" width="11.875" style="292" customWidth="1"/>
    <col min="3360" max="3584" width="9" style="292"/>
    <col min="3585" max="3585" width="16" style="292" customWidth="1"/>
    <col min="3586" max="3586" width="12.375" style="292" bestFit="1" customWidth="1"/>
    <col min="3587" max="3587" width="10.375" style="292" customWidth="1"/>
    <col min="3588" max="3588" width="10.5" style="292" bestFit="1" customWidth="1"/>
    <col min="3589" max="3589" width="11.125" style="292" bestFit="1" customWidth="1"/>
    <col min="3590" max="3590" width="10" style="292" bestFit="1" customWidth="1"/>
    <col min="3591" max="3591" width="10.25" style="292" bestFit="1" customWidth="1"/>
    <col min="3592" max="3592" width="10.5" style="292" customWidth="1"/>
    <col min="3593" max="3593" width="13.5" style="292" bestFit="1" customWidth="1"/>
    <col min="3594" max="3594" width="10.5" style="292" customWidth="1"/>
    <col min="3595" max="3595" width="11.125" style="292" bestFit="1" customWidth="1"/>
    <col min="3596" max="3596" width="10.875" style="292" customWidth="1"/>
    <col min="3597" max="3597" width="11.125" style="292" bestFit="1" customWidth="1"/>
    <col min="3598" max="3598" width="10" style="292" bestFit="1" customWidth="1"/>
    <col min="3599" max="3599" width="11" style="292" customWidth="1"/>
    <col min="3600" max="3600" width="10" style="292" bestFit="1" customWidth="1"/>
    <col min="3601" max="3601" width="11.125" style="292" bestFit="1" customWidth="1"/>
    <col min="3602" max="3602" width="10" style="292" bestFit="1" customWidth="1"/>
    <col min="3603" max="3603" width="12" style="292" customWidth="1"/>
    <col min="3604" max="3604" width="9.25" style="292" customWidth="1"/>
    <col min="3605" max="3605" width="10.625" style="292" customWidth="1"/>
    <col min="3606" max="3606" width="12.125" style="292" bestFit="1" customWidth="1"/>
    <col min="3607" max="3607" width="9.75" style="292" bestFit="1" customWidth="1"/>
    <col min="3608" max="3610" width="11.25" style="292" customWidth="1"/>
    <col min="3611" max="3611" width="9" style="292"/>
    <col min="3612" max="3612" width="12.5" style="292" customWidth="1"/>
    <col min="3613" max="3613" width="13.875" style="292" customWidth="1"/>
    <col min="3614" max="3614" width="10.75" style="292" customWidth="1"/>
    <col min="3615" max="3615" width="11.875" style="292" customWidth="1"/>
    <col min="3616" max="3840" width="9" style="292"/>
    <col min="3841" max="3841" width="16" style="292" customWidth="1"/>
    <col min="3842" max="3842" width="12.375" style="292" bestFit="1" customWidth="1"/>
    <col min="3843" max="3843" width="10.375" style="292" customWidth="1"/>
    <col min="3844" max="3844" width="10.5" style="292" bestFit="1" customWidth="1"/>
    <col min="3845" max="3845" width="11.125" style="292" bestFit="1" customWidth="1"/>
    <col min="3846" max="3846" width="10" style="292" bestFit="1" customWidth="1"/>
    <col min="3847" max="3847" width="10.25" style="292" bestFit="1" customWidth="1"/>
    <col min="3848" max="3848" width="10.5" style="292" customWidth="1"/>
    <col min="3849" max="3849" width="13.5" style="292" bestFit="1" customWidth="1"/>
    <col min="3850" max="3850" width="10.5" style="292" customWidth="1"/>
    <col min="3851" max="3851" width="11.125" style="292" bestFit="1" customWidth="1"/>
    <col min="3852" max="3852" width="10.875" style="292" customWidth="1"/>
    <col min="3853" max="3853" width="11.125" style="292" bestFit="1" customWidth="1"/>
    <col min="3854" max="3854" width="10" style="292" bestFit="1" customWidth="1"/>
    <col min="3855" max="3855" width="11" style="292" customWidth="1"/>
    <col min="3856" max="3856" width="10" style="292" bestFit="1" customWidth="1"/>
    <col min="3857" max="3857" width="11.125" style="292" bestFit="1" customWidth="1"/>
    <col min="3858" max="3858" width="10" style="292" bestFit="1" customWidth="1"/>
    <col min="3859" max="3859" width="12" style="292" customWidth="1"/>
    <col min="3860" max="3860" width="9.25" style="292" customWidth="1"/>
    <col min="3861" max="3861" width="10.625" style="292" customWidth="1"/>
    <col min="3862" max="3862" width="12.125" style="292" bestFit="1" customWidth="1"/>
    <col min="3863" max="3863" width="9.75" style="292" bestFit="1" customWidth="1"/>
    <col min="3864" max="3866" width="11.25" style="292" customWidth="1"/>
    <col min="3867" max="3867" width="9" style="292"/>
    <col min="3868" max="3868" width="12.5" style="292" customWidth="1"/>
    <col min="3869" max="3869" width="13.875" style="292" customWidth="1"/>
    <col min="3870" max="3870" width="10.75" style="292" customWidth="1"/>
    <col min="3871" max="3871" width="11.875" style="292" customWidth="1"/>
    <col min="3872" max="4096" width="9" style="292"/>
    <col min="4097" max="4097" width="16" style="292" customWidth="1"/>
    <col min="4098" max="4098" width="12.375" style="292" bestFit="1" customWidth="1"/>
    <col min="4099" max="4099" width="10.375" style="292" customWidth="1"/>
    <col min="4100" max="4100" width="10.5" style="292" bestFit="1" customWidth="1"/>
    <col min="4101" max="4101" width="11.125" style="292" bestFit="1" customWidth="1"/>
    <col min="4102" max="4102" width="10" style="292" bestFit="1" customWidth="1"/>
    <col min="4103" max="4103" width="10.25" style="292" bestFit="1" customWidth="1"/>
    <col min="4104" max="4104" width="10.5" style="292" customWidth="1"/>
    <col min="4105" max="4105" width="13.5" style="292" bestFit="1" customWidth="1"/>
    <col min="4106" max="4106" width="10.5" style="292" customWidth="1"/>
    <col min="4107" max="4107" width="11.125" style="292" bestFit="1" customWidth="1"/>
    <col min="4108" max="4108" width="10.875" style="292" customWidth="1"/>
    <col min="4109" max="4109" width="11.125" style="292" bestFit="1" customWidth="1"/>
    <col min="4110" max="4110" width="10" style="292" bestFit="1" customWidth="1"/>
    <col min="4111" max="4111" width="11" style="292" customWidth="1"/>
    <col min="4112" max="4112" width="10" style="292" bestFit="1" customWidth="1"/>
    <col min="4113" max="4113" width="11.125" style="292" bestFit="1" customWidth="1"/>
    <col min="4114" max="4114" width="10" style="292" bestFit="1" customWidth="1"/>
    <col min="4115" max="4115" width="12" style="292" customWidth="1"/>
    <col min="4116" max="4116" width="9.25" style="292" customWidth="1"/>
    <col min="4117" max="4117" width="10.625" style="292" customWidth="1"/>
    <col min="4118" max="4118" width="12.125" style="292" bestFit="1" customWidth="1"/>
    <col min="4119" max="4119" width="9.75" style="292" bestFit="1" customWidth="1"/>
    <col min="4120" max="4122" width="11.25" style="292" customWidth="1"/>
    <col min="4123" max="4123" width="9" style="292"/>
    <col min="4124" max="4124" width="12.5" style="292" customWidth="1"/>
    <col min="4125" max="4125" width="13.875" style="292" customWidth="1"/>
    <col min="4126" max="4126" width="10.75" style="292" customWidth="1"/>
    <col min="4127" max="4127" width="11.875" style="292" customWidth="1"/>
    <col min="4128" max="4352" width="9" style="292"/>
    <col min="4353" max="4353" width="16" style="292" customWidth="1"/>
    <col min="4354" max="4354" width="12.375" style="292" bestFit="1" customWidth="1"/>
    <col min="4355" max="4355" width="10.375" style="292" customWidth="1"/>
    <col min="4356" max="4356" width="10.5" style="292" bestFit="1" customWidth="1"/>
    <col min="4357" max="4357" width="11.125" style="292" bestFit="1" customWidth="1"/>
    <col min="4358" max="4358" width="10" style="292" bestFit="1" customWidth="1"/>
    <col min="4359" max="4359" width="10.25" style="292" bestFit="1" customWidth="1"/>
    <col min="4360" max="4360" width="10.5" style="292" customWidth="1"/>
    <col min="4361" max="4361" width="13.5" style="292" bestFit="1" customWidth="1"/>
    <col min="4362" max="4362" width="10.5" style="292" customWidth="1"/>
    <col min="4363" max="4363" width="11.125" style="292" bestFit="1" customWidth="1"/>
    <col min="4364" max="4364" width="10.875" style="292" customWidth="1"/>
    <col min="4365" max="4365" width="11.125" style="292" bestFit="1" customWidth="1"/>
    <col min="4366" max="4366" width="10" style="292" bestFit="1" customWidth="1"/>
    <col min="4367" max="4367" width="11" style="292" customWidth="1"/>
    <col min="4368" max="4368" width="10" style="292" bestFit="1" customWidth="1"/>
    <col min="4369" max="4369" width="11.125" style="292" bestFit="1" customWidth="1"/>
    <col min="4370" max="4370" width="10" style="292" bestFit="1" customWidth="1"/>
    <col min="4371" max="4371" width="12" style="292" customWidth="1"/>
    <col min="4372" max="4372" width="9.25" style="292" customWidth="1"/>
    <col min="4373" max="4373" width="10.625" style="292" customWidth="1"/>
    <col min="4374" max="4374" width="12.125" style="292" bestFit="1" customWidth="1"/>
    <col min="4375" max="4375" width="9.75" style="292" bestFit="1" customWidth="1"/>
    <col min="4376" max="4378" width="11.25" style="292" customWidth="1"/>
    <col min="4379" max="4379" width="9" style="292"/>
    <col min="4380" max="4380" width="12.5" style="292" customWidth="1"/>
    <col min="4381" max="4381" width="13.875" style="292" customWidth="1"/>
    <col min="4382" max="4382" width="10.75" style="292" customWidth="1"/>
    <col min="4383" max="4383" width="11.875" style="292" customWidth="1"/>
    <col min="4384" max="4608" width="9" style="292"/>
    <col min="4609" max="4609" width="16" style="292" customWidth="1"/>
    <col min="4610" max="4610" width="12.375" style="292" bestFit="1" customWidth="1"/>
    <col min="4611" max="4611" width="10.375" style="292" customWidth="1"/>
    <col min="4612" max="4612" width="10.5" style="292" bestFit="1" customWidth="1"/>
    <col min="4613" max="4613" width="11.125" style="292" bestFit="1" customWidth="1"/>
    <col min="4614" max="4614" width="10" style="292" bestFit="1" customWidth="1"/>
    <col min="4615" max="4615" width="10.25" style="292" bestFit="1" customWidth="1"/>
    <col min="4616" max="4616" width="10.5" style="292" customWidth="1"/>
    <col min="4617" max="4617" width="13.5" style="292" bestFit="1" customWidth="1"/>
    <col min="4618" max="4618" width="10.5" style="292" customWidth="1"/>
    <col min="4619" max="4619" width="11.125" style="292" bestFit="1" customWidth="1"/>
    <col min="4620" max="4620" width="10.875" style="292" customWidth="1"/>
    <col min="4621" max="4621" width="11.125" style="292" bestFit="1" customWidth="1"/>
    <col min="4622" max="4622" width="10" style="292" bestFit="1" customWidth="1"/>
    <col min="4623" max="4623" width="11" style="292" customWidth="1"/>
    <col min="4624" max="4624" width="10" style="292" bestFit="1" customWidth="1"/>
    <col min="4625" max="4625" width="11.125" style="292" bestFit="1" customWidth="1"/>
    <col min="4626" max="4626" width="10" style="292" bestFit="1" customWidth="1"/>
    <col min="4627" max="4627" width="12" style="292" customWidth="1"/>
    <col min="4628" max="4628" width="9.25" style="292" customWidth="1"/>
    <col min="4629" max="4629" width="10.625" style="292" customWidth="1"/>
    <col min="4630" max="4630" width="12.125" style="292" bestFit="1" customWidth="1"/>
    <col min="4631" max="4631" width="9.75" style="292" bestFit="1" customWidth="1"/>
    <col min="4632" max="4634" width="11.25" style="292" customWidth="1"/>
    <col min="4635" max="4635" width="9" style="292"/>
    <col min="4636" max="4636" width="12.5" style="292" customWidth="1"/>
    <col min="4637" max="4637" width="13.875" style="292" customWidth="1"/>
    <col min="4638" max="4638" width="10.75" style="292" customWidth="1"/>
    <col min="4639" max="4639" width="11.875" style="292" customWidth="1"/>
    <col min="4640" max="4864" width="9" style="292"/>
    <col min="4865" max="4865" width="16" style="292" customWidth="1"/>
    <col min="4866" max="4866" width="12.375" style="292" bestFit="1" customWidth="1"/>
    <col min="4867" max="4867" width="10.375" style="292" customWidth="1"/>
    <col min="4868" max="4868" width="10.5" style="292" bestFit="1" customWidth="1"/>
    <col min="4869" max="4869" width="11.125" style="292" bestFit="1" customWidth="1"/>
    <col min="4870" max="4870" width="10" style="292" bestFit="1" customWidth="1"/>
    <col min="4871" max="4871" width="10.25" style="292" bestFit="1" customWidth="1"/>
    <col min="4872" max="4872" width="10.5" style="292" customWidth="1"/>
    <col min="4873" max="4873" width="13.5" style="292" bestFit="1" customWidth="1"/>
    <col min="4874" max="4874" width="10.5" style="292" customWidth="1"/>
    <col min="4875" max="4875" width="11.125" style="292" bestFit="1" customWidth="1"/>
    <col min="4876" max="4876" width="10.875" style="292" customWidth="1"/>
    <col min="4877" max="4877" width="11.125" style="292" bestFit="1" customWidth="1"/>
    <col min="4878" max="4878" width="10" style="292" bestFit="1" customWidth="1"/>
    <col min="4879" max="4879" width="11" style="292" customWidth="1"/>
    <col min="4880" max="4880" width="10" style="292" bestFit="1" customWidth="1"/>
    <col min="4881" max="4881" width="11.125" style="292" bestFit="1" customWidth="1"/>
    <col min="4882" max="4882" width="10" style="292" bestFit="1" customWidth="1"/>
    <col min="4883" max="4883" width="12" style="292" customWidth="1"/>
    <col min="4884" max="4884" width="9.25" style="292" customWidth="1"/>
    <col min="4885" max="4885" width="10.625" style="292" customWidth="1"/>
    <col min="4886" max="4886" width="12.125" style="292" bestFit="1" customWidth="1"/>
    <col min="4887" max="4887" width="9.75" style="292" bestFit="1" customWidth="1"/>
    <col min="4888" max="4890" width="11.25" style="292" customWidth="1"/>
    <col min="4891" max="4891" width="9" style="292"/>
    <col min="4892" max="4892" width="12.5" style="292" customWidth="1"/>
    <col min="4893" max="4893" width="13.875" style="292" customWidth="1"/>
    <col min="4894" max="4894" width="10.75" style="292" customWidth="1"/>
    <col min="4895" max="4895" width="11.875" style="292" customWidth="1"/>
    <col min="4896" max="5120" width="9" style="292"/>
    <col min="5121" max="5121" width="16" style="292" customWidth="1"/>
    <col min="5122" max="5122" width="12.375" style="292" bestFit="1" customWidth="1"/>
    <col min="5123" max="5123" width="10.375" style="292" customWidth="1"/>
    <col min="5124" max="5124" width="10.5" style="292" bestFit="1" customWidth="1"/>
    <col min="5125" max="5125" width="11.125" style="292" bestFit="1" customWidth="1"/>
    <col min="5126" max="5126" width="10" style="292" bestFit="1" customWidth="1"/>
    <col min="5127" max="5127" width="10.25" style="292" bestFit="1" customWidth="1"/>
    <col min="5128" max="5128" width="10.5" style="292" customWidth="1"/>
    <col min="5129" max="5129" width="13.5" style="292" bestFit="1" customWidth="1"/>
    <col min="5130" max="5130" width="10.5" style="292" customWidth="1"/>
    <col min="5131" max="5131" width="11.125" style="292" bestFit="1" customWidth="1"/>
    <col min="5132" max="5132" width="10.875" style="292" customWidth="1"/>
    <col min="5133" max="5133" width="11.125" style="292" bestFit="1" customWidth="1"/>
    <col min="5134" max="5134" width="10" style="292" bestFit="1" customWidth="1"/>
    <col min="5135" max="5135" width="11" style="292" customWidth="1"/>
    <col min="5136" max="5136" width="10" style="292" bestFit="1" customWidth="1"/>
    <col min="5137" max="5137" width="11.125" style="292" bestFit="1" customWidth="1"/>
    <col min="5138" max="5138" width="10" style="292" bestFit="1" customWidth="1"/>
    <col min="5139" max="5139" width="12" style="292" customWidth="1"/>
    <col min="5140" max="5140" width="9.25" style="292" customWidth="1"/>
    <col min="5141" max="5141" width="10.625" style="292" customWidth="1"/>
    <col min="5142" max="5142" width="12.125" style="292" bestFit="1" customWidth="1"/>
    <col min="5143" max="5143" width="9.75" style="292" bestFit="1" customWidth="1"/>
    <col min="5144" max="5146" width="11.25" style="292" customWidth="1"/>
    <col min="5147" max="5147" width="9" style="292"/>
    <col min="5148" max="5148" width="12.5" style="292" customWidth="1"/>
    <col min="5149" max="5149" width="13.875" style="292" customWidth="1"/>
    <col min="5150" max="5150" width="10.75" style="292" customWidth="1"/>
    <col min="5151" max="5151" width="11.875" style="292" customWidth="1"/>
    <col min="5152" max="5376" width="9" style="292"/>
    <col min="5377" max="5377" width="16" style="292" customWidth="1"/>
    <col min="5378" max="5378" width="12.375" style="292" bestFit="1" customWidth="1"/>
    <col min="5379" max="5379" width="10.375" style="292" customWidth="1"/>
    <col min="5380" max="5380" width="10.5" style="292" bestFit="1" customWidth="1"/>
    <col min="5381" max="5381" width="11.125" style="292" bestFit="1" customWidth="1"/>
    <col min="5382" max="5382" width="10" style="292" bestFit="1" customWidth="1"/>
    <col min="5383" max="5383" width="10.25" style="292" bestFit="1" customWidth="1"/>
    <col min="5384" max="5384" width="10.5" style="292" customWidth="1"/>
    <col min="5385" max="5385" width="13.5" style="292" bestFit="1" customWidth="1"/>
    <col min="5386" max="5386" width="10.5" style="292" customWidth="1"/>
    <col min="5387" max="5387" width="11.125" style="292" bestFit="1" customWidth="1"/>
    <col min="5388" max="5388" width="10.875" style="292" customWidth="1"/>
    <col min="5389" max="5389" width="11.125" style="292" bestFit="1" customWidth="1"/>
    <col min="5390" max="5390" width="10" style="292" bestFit="1" customWidth="1"/>
    <col min="5391" max="5391" width="11" style="292" customWidth="1"/>
    <col min="5392" max="5392" width="10" style="292" bestFit="1" customWidth="1"/>
    <col min="5393" max="5393" width="11.125" style="292" bestFit="1" customWidth="1"/>
    <col min="5394" max="5394" width="10" style="292" bestFit="1" customWidth="1"/>
    <col min="5395" max="5395" width="12" style="292" customWidth="1"/>
    <col min="5396" max="5396" width="9.25" style="292" customWidth="1"/>
    <col min="5397" max="5397" width="10.625" style="292" customWidth="1"/>
    <col min="5398" max="5398" width="12.125" style="292" bestFit="1" customWidth="1"/>
    <col min="5399" max="5399" width="9.75" style="292" bestFit="1" customWidth="1"/>
    <col min="5400" max="5402" width="11.25" style="292" customWidth="1"/>
    <col min="5403" max="5403" width="9" style="292"/>
    <col min="5404" max="5404" width="12.5" style="292" customWidth="1"/>
    <col min="5405" max="5405" width="13.875" style="292" customWidth="1"/>
    <col min="5406" max="5406" width="10.75" style="292" customWidth="1"/>
    <col min="5407" max="5407" width="11.875" style="292" customWidth="1"/>
    <col min="5408" max="5632" width="9" style="292"/>
    <col min="5633" max="5633" width="16" style="292" customWidth="1"/>
    <col min="5634" max="5634" width="12.375" style="292" bestFit="1" customWidth="1"/>
    <col min="5635" max="5635" width="10.375" style="292" customWidth="1"/>
    <col min="5636" max="5636" width="10.5" style="292" bestFit="1" customWidth="1"/>
    <col min="5637" max="5637" width="11.125" style="292" bestFit="1" customWidth="1"/>
    <col min="5638" max="5638" width="10" style="292" bestFit="1" customWidth="1"/>
    <col min="5639" max="5639" width="10.25" style="292" bestFit="1" customWidth="1"/>
    <col min="5640" max="5640" width="10.5" style="292" customWidth="1"/>
    <col min="5641" max="5641" width="13.5" style="292" bestFit="1" customWidth="1"/>
    <col min="5642" max="5642" width="10.5" style="292" customWidth="1"/>
    <col min="5643" max="5643" width="11.125" style="292" bestFit="1" customWidth="1"/>
    <col min="5644" max="5644" width="10.875" style="292" customWidth="1"/>
    <col min="5645" max="5645" width="11.125" style="292" bestFit="1" customWidth="1"/>
    <col min="5646" max="5646" width="10" style="292" bestFit="1" customWidth="1"/>
    <col min="5647" max="5647" width="11" style="292" customWidth="1"/>
    <col min="5648" max="5648" width="10" style="292" bestFit="1" customWidth="1"/>
    <col min="5649" max="5649" width="11.125" style="292" bestFit="1" customWidth="1"/>
    <col min="5650" max="5650" width="10" style="292" bestFit="1" customWidth="1"/>
    <col min="5651" max="5651" width="12" style="292" customWidth="1"/>
    <col min="5652" max="5652" width="9.25" style="292" customWidth="1"/>
    <col min="5653" max="5653" width="10.625" style="292" customWidth="1"/>
    <col min="5654" max="5654" width="12.125" style="292" bestFit="1" customWidth="1"/>
    <col min="5655" max="5655" width="9.75" style="292" bestFit="1" customWidth="1"/>
    <col min="5656" max="5658" width="11.25" style="292" customWidth="1"/>
    <col min="5659" max="5659" width="9" style="292"/>
    <col min="5660" max="5660" width="12.5" style="292" customWidth="1"/>
    <col min="5661" max="5661" width="13.875" style="292" customWidth="1"/>
    <col min="5662" max="5662" width="10.75" style="292" customWidth="1"/>
    <col min="5663" max="5663" width="11.875" style="292" customWidth="1"/>
    <col min="5664" max="5888" width="9" style="292"/>
    <col min="5889" max="5889" width="16" style="292" customWidth="1"/>
    <col min="5890" max="5890" width="12.375" style="292" bestFit="1" customWidth="1"/>
    <col min="5891" max="5891" width="10.375" style="292" customWidth="1"/>
    <col min="5892" max="5892" width="10.5" style="292" bestFit="1" customWidth="1"/>
    <col min="5893" max="5893" width="11.125" style="292" bestFit="1" customWidth="1"/>
    <col min="5894" max="5894" width="10" style="292" bestFit="1" customWidth="1"/>
    <col min="5895" max="5895" width="10.25" style="292" bestFit="1" customWidth="1"/>
    <col min="5896" max="5896" width="10.5" style="292" customWidth="1"/>
    <col min="5897" max="5897" width="13.5" style="292" bestFit="1" customWidth="1"/>
    <col min="5898" max="5898" width="10.5" style="292" customWidth="1"/>
    <col min="5899" max="5899" width="11.125" style="292" bestFit="1" customWidth="1"/>
    <col min="5900" max="5900" width="10.875" style="292" customWidth="1"/>
    <col min="5901" max="5901" width="11.125" style="292" bestFit="1" customWidth="1"/>
    <col min="5902" max="5902" width="10" style="292" bestFit="1" customWidth="1"/>
    <col min="5903" max="5903" width="11" style="292" customWidth="1"/>
    <col min="5904" max="5904" width="10" style="292" bestFit="1" customWidth="1"/>
    <col min="5905" max="5905" width="11.125" style="292" bestFit="1" customWidth="1"/>
    <col min="5906" max="5906" width="10" style="292" bestFit="1" customWidth="1"/>
    <col min="5907" max="5907" width="12" style="292" customWidth="1"/>
    <col min="5908" max="5908" width="9.25" style="292" customWidth="1"/>
    <col min="5909" max="5909" width="10.625" style="292" customWidth="1"/>
    <col min="5910" max="5910" width="12.125" style="292" bestFit="1" customWidth="1"/>
    <col min="5911" max="5911" width="9.75" style="292" bestFit="1" customWidth="1"/>
    <col min="5912" max="5914" width="11.25" style="292" customWidth="1"/>
    <col min="5915" max="5915" width="9" style="292"/>
    <col min="5916" max="5916" width="12.5" style="292" customWidth="1"/>
    <col min="5917" max="5917" width="13.875" style="292" customWidth="1"/>
    <col min="5918" max="5918" width="10.75" style="292" customWidth="1"/>
    <col min="5919" max="5919" width="11.875" style="292" customWidth="1"/>
    <col min="5920" max="6144" width="9" style="292"/>
    <col min="6145" max="6145" width="16" style="292" customWidth="1"/>
    <col min="6146" max="6146" width="12.375" style="292" bestFit="1" customWidth="1"/>
    <col min="6147" max="6147" width="10.375" style="292" customWidth="1"/>
    <col min="6148" max="6148" width="10.5" style="292" bestFit="1" customWidth="1"/>
    <col min="6149" max="6149" width="11.125" style="292" bestFit="1" customWidth="1"/>
    <col min="6150" max="6150" width="10" style="292" bestFit="1" customWidth="1"/>
    <col min="6151" max="6151" width="10.25" style="292" bestFit="1" customWidth="1"/>
    <col min="6152" max="6152" width="10.5" style="292" customWidth="1"/>
    <col min="6153" max="6153" width="13.5" style="292" bestFit="1" customWidth="1"/>
    <col min="6154" max="6154" width="10.5" style="292" customWidth="1"/>
    <col min="6155" max="6155" width="11.125" style="292" bestFit="1" customWidth="1"/>
    <col min="6156" max="6156" width="10.875" style="292" customWidth="1"/>
    <col min="6157" max="6157" width="11.125" style="292" bestFit="1" customWidth="1"/>
    <col min="6158" max="6158" width="10" style="292" bestFit="1" customWidth="1"/>
    <col min="6159" max="6159" width="11" style="292" customWidth="1"/>
    <col min="6160" max="6160" width="10" style="292" bestFit="1" customWidth="1"/>
    <col min="6161" max="6161" width="11.125" style="292" bestFit="1" customWidth="1"/>
    <col min="6162" max="6162" width="10" style="292" bestFit="1" customWidth="1"/>
    <col min="6163" max="6163" width="12" style="292" customWidth="1"/>
    <col min="6164" max="6164" width="9.25" style="292" customWidth="1"/>
    <col min="6165" max="6165" width="10.625" style="292" customWidth="1"/>
    <col min="6166" max="6166" width="12.125" style="292" bestFit="1" customWidth="1"/>
    <col min="6167" max="6167" width="9.75" style="292" bestFit="1" customWidth="1"/>
    <col min="6168" max="6170" width="11.25" style="292" customWidth="1"/>
    <col min="6171" max="6171" width="9" style="292"/>
    <col min="6172" max="6172" width="12.5" style="292" customWidth="1"/>
    <col min="6173" max="6173" width="13.875" style="292" customWidth="1"/>
    <col min="6174" max="6174" width="10.75" style="292" customWidth="1"/>
    <col min="6175" max="6175" width="11.875" style="292" customWidth="1"/>
    <col min="6176" max="6400" width="9" style="292"/>
    <col min="6401" max="6401" width="16" style="292" customWidth="1"/>
    <col min="6402" max="6402" width="12.375" style="292" bestFit="1" customWidth="1"/>
    <col min="6403" max="6403" width="10.375" style="292" customWidth="1"/>
    <col min="6404" max="6404" width="10.5" style="292" bestFit="1" customWidth="1"/>
    <col min="6405" max="6405" width="11.125" style="292" bestFit="1" customWidth="1"/>
    <col min="6406" max="6406" width="10" style="292" bestFit="1" customWidth="1"/>
    <col min="6407" max="6407" width="10.25" style="292" bestFit="1" customWidth="1"/>
    <col min="6408" max="6408" width="10.5" style="292" customWidth="1"/>
    <col min="6409" max="6409" width="13.5" style="292" bestFit="1" customWidth="1"/>
    <col min="6410" max="6410" width="10.5" style="292" customWidth="1"/>
    <col min="6411" max="6411" width="11.125" style="292" bestFit="1" customWidth="1"/>
    <col min="6412" max="6412" width="10.875" style="292" customWidth="1"/>
    <col min="6413" max="6413" width="11.125" style="292" bestFit="1" customWidth="1"/>
    <col min="6414" max="6414" width="10" style="292" bestFit="1" customWidth="1"/>
    <col min="6415" max="6415" width="11" style="292" customWidth="1"/>
    <col min="6416" max="6416" width="10" style="292" bestFit="1" customWidth="1"/>
    <col min="6417" max="6417" width="11.125" style="292" bestFit="1" customWidth="1"/>
    <col min="6418" max="6418" width="10" style="292" bestFit="1" customWidth="1"/>
    <col min="6419" max="6419" width="12" style="292" customWidth="1"/>
    <col min="6420" max="6420" width="9.25" style="292" customWidth="1"/>
    <col min="6421" max="6421" width="10.625" style="292" customWidth="1"/>
    <col min="6422" max="6422" width="12.125" style="292" bestFit="1" customWidth="1"/>
    <col min="6423" max="6423" width="9.75" style="292" bestFit="1" customWidth="1"/>
    <col min="6424" max="6426" width="11.25" style="292" customWidth="1"/>
    <col min="6427" max="6427" width="9" style="292"/>
    <col min="6428" max="6428" width="12.5" style="292" customWidth="1"/>
    <col min="6429" max="6429" width="13.875" style="292" customWidth="1"/>
    <col min="6430" max="6430" width="10.75" style="292" customWidth="1"/>
    <col min="6431" max="6431" width="11.875" style="292" customWidth="1"/>
    <col min="6432" max="6656" width="9" style="292"/>
    <col min="6657" max="6657" width="16" style="292" customWidth="1"/>
    <col min="6658" max="6658" width="12.375" style="292" bestFit="1" customWidth="1"/>
    <col min="6659" max="6659" width="10.375" style="292" customWidth="1"/>
    <col min="6660" max="6660" width="10.5" style="292" bestFit="1" customWidth="1"/>
    <col min="6661" max="6661" width="11.125" style="292" bestFit="1" customWidth="1"/>
    <col min="6662" max="6662" width="10" style="292" bestFit="1" customWidth="1"/>
    <col min="6663" max="6663" width="10.25" style="292" bestFit="1" customWidth="1"/>
    <col min="6664" max="6664" width="10.5" style="292" customWidth="1"/>
    <col min="6665" max="6665" width="13.5" style="292" bestFit="1" customWidth="1"/>
    <col min="6666" max="6666" width="10.5" style="292" customWidth="1"/>
    <col min="6667" max="6667" width="11.125" style="292" bestFit="1" customWidth="1"/>
    <col min="6668" max="6668" width="10.875" style="292" customWidth="1"/>
    <col min="6669" max="6669" width="11.125" style="292" bestFit="1" customWidth="1"/>
    <col min="6670" max="6670" width="10" style="292" bestFit="1" customWidth="1"/>
    <col min="6671" max="6671" width="11" style="292" customWidth="1"/>
    <col min="6672" max="6672" width="10" style="292" bestFit="1" customWidth="1"/>
    <col min="6673" max="6673" width="11.125" style="292" bestFit="1" customWidth="1"/>
    <col min="6674" max="6674" width="10" style="292" bestFit="1" customWidth="1"/>
    <col min="6675" max="6675" width="12" style="292" customWidth="1"/>
    <col min="6676" max="6676" width="9.25" style="292" customWidth="1"/>
    <col min="6677" max="6677" width="10.625" style="292" customWidth="1"/>
    <col min="6678" max="6678" width="12.125" style="292" bestFit="1" customWidth="1"/>
    <col min="6679" max="6679" width="9.75" style="292" bestFit="1" customWidth="1"/>
    <col min="6680" max="6682" width="11.25" style="292" customWidth="1"/>
    <col min="6683" max="6683" width="9" style="292"/>
    <col min="6684" max="6684" width="12.5" style="292" customWidth="1"/>
    <col min="6685" max="6685" width="13.875" style="292" customWidth="1"/>
    <col min="6686" max="6686" width="10.75" style="292" customWidth="1"/>
    <col min="6687" max="6687" width="11.875" style="292" customWidth="1"/>
    <col min="6688" max="6912" width="9" style="292"/>
    <col min="6913" max="6913" width="16" style="292" customWidth="1"/>
    <col min="6914" max="6914" width="12.375" style="292" bestFit="1" customWidth="1"/>
    <col min="6915" max="6915" width="10.375" style="292" customWidth="1"/>
    <col min="6916" max="6916" width="10.5" style="292" bestFit="1" customWidth="1"/>
    <col min="6917" max="6917" width="11.125" style="292" bestFit="1" customWidth="1"/>
    <col min="6918" max="6918" width="10" style="292" bestFit="1" customWidth="1"/>
    <col min="6919" max="6919" width="10.25" style="292" bestFit="1" customWidth="1"/>
    <col min="6920" max="6920" width="10.5" style="292" customWidth="1"/>
    <col min="6921" max="6921" width="13.5" style="292" bestFit="1" customWidth="1"/>
    <col min="6922" max="6922" width="10.5" style="292" customWidth="1"/>
    <col min="6923" max="6923" width="11.125" style="292" bestFit="1" customWidth="1"/>
    <col min="6924" max="6924" width="10.875" style="292" customWidth="1"/>
    <col min="6925" max="6925" width="11.125" style="292" bestFit="1" customWidth="1"/>
    <col min="6926" max="6926" width="10" style="292" bestFit="1" customWidth="1"/>
    <col min="6927" max="6927" width="11" style="292" customWidth="1"/>
    <col min="6928" max="6928" width="10" style="292" bestFit="1" customWidth="1"/>
    <col min="6929" max="6929" width="11.125" style="292" bestFit="1" customWidth="1"/>
    <col min="6930" max="6930" width="10" style="292" bestFit="1" customWidth="1"/>
    <col min="6931" max="6931" width="12" style="292" customWidth="1"/>
    <col min="6932" max="6932" width="9.25" style="292" customWidth="1"/>
    <col min="6933" max="6933" width="10.625" style="292" customWidth="1"/>
    <col min="6934" max="6934" width="12.125" style="292" bestFit="1" customWidth="1"/>
    <col min="6935" max="6935" width="9.75" style="292" bestFit="1" customWidth="1"/>
    <col min="6936" max="6938" width="11.25" style="292" customWidth="1"/>
    <col min="6939" max="6939" width="9" style="292"/>
    <col min="6940" max="6940" width="12.5" style="292" customWidth="1"/>
    <col min="6941" max="6941" width="13.875" style="292" customWidth="1"/>
    <col min="6942" max="6942" width="10.75" style="292" customWidth="1"/>
    <col min="6943" max="6943" width="11.875" style="292" customWidth="1"/>
    <col min="6944" max="7168" width="9" style="292"/>
    <col min="7169" max="7169" width="16" style="292" customWidth="1"/>
    <col min="7170" max="7170" width="12.375" style="292" bestFit="1" customWidth="1"/>
    <col min="7171" max="7171" width="10.375" style="292" customWidth="1"/>
    <col min="7172" max="7172" width="10.5" style="292" bestFit="1" customWidth="1"/>
    <col min="7173" max="7173" width="11.125" style="292" bestFit="1" customWidth="1"/>
    <col min="7174" max="7174" width="10" style="292" bestFit="1" customWidth="1"/>
    <col min="7175" max="7175" width="10.25" style="292" bestFit="1" customWidth="1"/>
    <col min="7176" max="7176" width="10.5" style="292" customWidth="1"/>
    <col min="7177" max="7177" width="13.5" style="292" bestFit="1" customWidth="1"/>
    <col min="7178" max="7178" width="10.5" style="292" customWidth="1"/>
    <col min="7179" max="7179" width="11.125" style="292" bestFit="1" customWidth="1"/>
    <col min="7180" max="7180" width="10.875" style="292" customWidth="1"/>
    <col min="7181" max="7181" width="11.125" style="292" bestFit="1" customWidth="1"/>
    <col min="7182" max="7182" width="10" style="292" bestFit="1" customWidth="1"/>
    <col min="7183" max="7183" width="11" style="292" customWidth="1"/>
    <col min="7184" max="7184" width="10" style="292" bestFit="1" customWidth="1"/>
    <col min="7185" max="7185" width="11.125" style="292" bestFit="1" customWidth="1"/>
    <col min="7186" max="7186" width="10" style="292" bestFit="1" customWidth="1"/>
    <col min="7187" max="7187" width="12" style="292" customWidth="1"/>
    <col min="7188" max="7188" width="9.25" style="292" customWidth="1"/>
    <col min="7189" max="7189" width="10.625" style="292" customWidth="1"/>
    <col min="7190" max="7190" width="12.125" style="292" bestFit="1" customWidth="1"/>
    <col min="7191" max="7191" width="9.75" style="292" bestFit="1" customWidth="1"/>
    <col min="7192" max="7194" width="11.25" style="292" customWidth="1"/>
    <col min="7195" max="7195" width="9" style="292"/>
    <col min="7196" max="7196" width="12.5" style="292" customWidth="1"/>
    <col min="7197" max="7197" width="13.875" style="292" customWidth="1"/>
    <col min="7198" max="7198" width="10.75" style="292" customWidth="1"/>
    <col min="7199" max="7199" width="11.875" style="292" customWidth="1"/>
    <col min="7200" max="7424" width="9" style="292"/>
    <col min="7425" max="7425" width="16" style="292" customWidth="1"/>
    <col min="7426" max="7426" width="12.375" style="292" bestFit="1" customWidth="1"/>
    <col min="7427" max="7427" width="10.375" style="292" customWidth="1"/>
    <col min="7428" max="7428" width="10.5" style="292" bestFit="1" customWidth="1"/>
    <col min="7429" max="7429" width="11.125" style="292" bestFit="1" customWidth="1"/>
    <col min="7430" max="7430" width="10" style="292" bestFit="1" customWidth="1"/>
    <col min="7431" max="7431" width="10.25" style="292" bestFit="1" customWidth="1"/>
    <col min="7432" max="7432" width="10.5" style="292" customWidth="1"/>
    <col min="7433" max="7433" width="13.5" style="292" bestFit="1" customWidth="1"/>
    <col min="7434" max="7434" width="10.5" style="292" customWidth="1"/>
    <col min="7435" max="7435" width="11.125" style="292" bestFit="1" customWidth="1"/>
    <col min="7436" max="7436" width="10.875" style="292" customWidth="1"/>
    <col min="7437" max="7437" width="11.125" style="292" bestFit="1" customWidth="1"/>
    <col min="7438" max="7438" width="10" style="292" bestFit="1" customWidth="1"/>
    <col min="7439" max="7439" width="11" style="292" customWidth="1"/>
    <col min="7440" max="7440" width="10" style="292" bestFit="1" customWidth="1"/>
    <col min="7441" max="7441" width="11.125" style="292" bestFit="1" customWidth="1"/>
    <col min="7442" max="7442" width="10" style="292" bestFit="1" customWidth="1"/>
    <col min="7443" max="7443" width="12" style="292" customWidth="1"/>
    <col min="7444" max="7444" width="9.25" style="292" customWidth="1"/>
    <col min="7445" max="7445" width="10.625" style="292" customWidth="1"/>
    <col min="7446" max="7446" width="12.125" style="292" bestFit="1" customWidth="1"/>
    <col min="7447" max="7447" width="9.75" style="292" bestFit="1" customWidth="1"/>
    <col min="7448" max="7450" width="11.25" style="292" customWidth="1"/>
    <col min="7451" max="7451" width="9" style="292"/>
    <col min="7452" max="7452" width="12.5" style="292" customWidth="1"/>
    <col min="7453" max="7453" width="13.875" style="292" customWidth="1"/>
    <col min="7454" max="7454" width="10.75" style="292" customWidth="1"/>
    <col min="7455" max="7455" width="11.875" style="292" customWidth="1"/>
    <col min="7456" max="7680" width="9" style="292"/>
    <col min="7681" max="7681" width="16" style="292" customWidth="1"/>
    <col min="7682" max="7682" width="12.375" style="292" bestFit="1" customWidth="1"/>
    <col min="7683" max="7683" width="10.375" style="292" customWidth="1"/>
    <col min="7684" max="7684" width="10.5" style="292" bestFit="1" customWidth="1"/>
    <col min="7685" max="7685" width="11.125" style="292" bestFit="1" customWidth="1"/>
    <col min="7686" max="7686" width="10" style="292" bestFit="1" customWidth="1"/>
    <col min="7687" max="7687" width="10.25" style="292" bestFit="1" customWidth="1"/>
    <col min="7688" max="7688" width="10.5" style="292" customWidth="1"/>
    <col min="7689" max="7689" width="13.5" style="292" bestFit="1" customWidth="1"/>
    <col min="7690" max="7690" width="10.5" style="292" customWidth="1"/>
    <col min="7691" max="7691" width="11.125" style="292" bestFit="1" customWidth="1"/>
    <col min="7692" max="7692" width="10.875" style="292" customWidth="1"/>
    <col min="7693" max="7693" width="11.125" style="292" bestFit="1" customWidth="1"/>
    <col min="7694" max="7694" width="10" style="292" bestFit="1" customWidth="1"/>
    <col min="7695" max="7695" width="11" style="292" customWidth="1"/>
    <col min="7696" max="7696" width="10" style="292" bestFit="1" customWidth="1"/>
    <col min="7697" max="7697" width="11.125" style="292" bestFit="1" customWidth="1"/>
    <col min="7698" max="7698" width="10" style="292" bestFit="1" customWidth="1"/>
    <col min="7699" max="7699" width="12" style="292" customWidth="1"/>
    <col min="7700" max="7700" width="9.25" style="292" customWidth="1"/>
    <col min="7701" max="7701" width="10.625" style="292" customWidth="1"/>
    <col min="7702" max="7702" width="12.125" style="292" bestFit="1" customWidth="1"/>
    <col min="7703" max="7703" width="9.75" style="292" bestFit="1" customWidth="1"/>
    <col min="7704" max="7706" width="11.25" style="292" customWidth="1"/>
    <col min="7707" max="7707" width="9" style="292"/>
    <col min="7708" max="7708" width="12.5" style="292" customWidth="1"/>
    <col min="7709" max="7709" width="13.875" style="292" customWidth="1"/>
    <col min="7710" max="7710" width="10.75" style="292" customWidth="1"/>
    <col min="7711" max="7711" width="11.875" style="292" customWidth="1"/>
    <col min="7712" max="7936" width="9" style="292"/>
    <col min="7937" max="7937" width="16" style="292" customWidth="1"/>
    <col min="7938" max="7938" width="12.375" style="292" bestFit="1" customWidth="1"/>
    <col min="7939" max="7939" width="10.375" style="292" customWidth="1"/>
    <col min="7940" max="7940" width="10.5" style="292" bestFit="1" customWidth="1"/>
    <col min="7941" max="7941" width="11.125" style="292" bestFit="1" customWidth="1"/>
    <col min="7942" max="7942" width="10" style="292" bestFit="1" customWidth="1"/>
    <col min="7943" max="7943" width="10.25" style="292" bestFit="1" customWidth="1"/>
    <col min="7944" max="7944" width="10.5" style="292" customWidth="1"/>
    <col min="7945" max="7945" width="13.5" style="292" bestFit="1" customWidth="1"/>
    <col min="7946" max="7946" width="10.5" style="292" customWidth="1"/>
    <col min="7947" max="7947" width="11.125" style="292" bestFit="1" customWidth="1"/>
    <col min="7948" max="7948" width="10.875" style="292" customWidth="1"/>
    <col min="7949" max="7949" width="11.125" style="292" bestFit="1" customWidth="1"/>
    <col min="7950" max="7950" width="10" style="292" bestFit="1" customWidth="1"/>
    <col min="7951" max="7951" width="11" style="292" customWidth="1"/>
    <col min="7952" max="7952" width="10" style="292" bestFit="1" customWidth="1"/>
    <col min="7953" max="7953" width="11.125" style="292" bestFit="1" customWidth="1"/>
    <col min="7954" max="7954" width="10" style="292" bestFit="1" customWidth="1"/>
    <col min="7955" max="7955" width="12" style="292" customWidth="1"/>
    <col min="7956" max="7956" width="9.25" style="292" customWidth="1"/>
    <col min="7957" max="7957" width="10.625" style="292" customWidth="1"/>
    <col min="7958" max="7958" width="12.125" style="292" bestFit="1" customWidth="1"/>
    <col min="7959" max="7959" width="9.75" style="292" bestFit="1" customWidth="1"/>
    <col min="7960" max="7962" width="11.25" style="292" customWidth="1"/>
    <col min="7963" max="7963" width="9" style="292"/>
    <col min="7964" max="7964" width="12.5" style="292" customWidth="1"/>
    <col min="7965" max="7965" width="13.875" style="292" customWidth="1"/>
    <col min="7966" max="7966" width="10.75" style="292" customWidth="1"/>
    <col min="7967" max="7967" width="11.875" style="292" customWidth="1"/>
    <col min="7968" max="8192" width="9" style="292"/>
    <col min="8193" max="8193" width="16" style="292" customWidth="1"/>
    <col min="8194" max="8194" width="12.375" style="292" bestFit="1" customWidth="1"/>
    <col min="8195" max="8195" width="10.375" style="292" customWidth="1"/>
    <col min="8196" max="8196" width="10.5" style="292" bestFit="1" customWidth="1"/>
    <col min="8197" max="8197" width="11.125" style="292" bestFit="1" customWidth="1"/>
    <col min="8198" max="8198" width="10" style="292" bestFit="1" customWidth="1"/>
    <col min="8199" max="8199" width="10.25" style="292" bestFit="1" customWidth="1"/>
    <col min="8200" max="8200" width="10.5" style="292" customWidth="1"/>
    <col min="8201" max="8201" width="13.5" style="292" bestFit="1" customWidth="1"/>
    <col min="8202" max="8202" width="10.5" style="292" customWidth="1"/>
    <col min="8203" max="8203" width="11.125" style="292" bestFit="1" customWidth="1"/>
    <col min="8204" max="8204" width="10.875" style="292" customWidth="1"/>
    <col min="8205" max="8205" width="11.125" style="292" bestFit="1" customWidth="1"/>
    <col min="8206" max="8206" width="10" style="292" bestFit="1" customWidth="1"/>
    <col min="8207" max="8207" width="11" style="292" customWidth="1"/>
    <col min="8208" max="8208" width="10" style="292" bestFit="1" customWidth="1"/>
    <col min="8209" max="8209" width="11.125" style="292" bestFit="1" customWidth="1"/>
    <col min="8210" max="8210" width="10" style="292" bestFit="1" customWidth="1"/>
    <col min="8211" max="8211" width="12" style="292" customWidth="1"/>
    <col min="8212" max="8212" width="9.25" style="292" customWidth="1"/>
    <col min="8213" max="8213" width="10.625" style="292" customWidth="1"/>
    <col min="8214" max="8214" width="12.125" style="292" bestFit="1" customWidth="1"/>
    <col min="8215" max="8215" width="9.75" style="292" bestFit="1" customWidth="1"/>
    <col min="8216" max="8218" width="11.25" style="292" customWidth="1"/>
    <col min="8219" max="8219" width="9" style="292"/>
    <col min="8220" max="8220" width="12.5" style="292" customWidth="1"/>
    <col min="8221" max="8221" width="13.875" style="292" customWidth="1"/>
    <col min="8222" max="8222" width="10.75" style="292" customWidth="1"/>
    <col min="8223" max="8223" width="11.875" style="292" customWidth="1"/>
    <col min="8224" max="8448" width="9" style="292"/>
    <col min="8449" max="8449" width="16" style="292" customWidth="1"/>
    <col min="8450" max="8450" width="12.375" style="292" bestFit="1" customWidth="1"/>
    <col min="8451" max="8451" width="10.375" style="292" customWidth="1"/>
    <col min="8452" max="8452" width="10.5" style="292" bestFit="1" customWidth="1"/>
    <col min="8453" max="8453" width="11.125" style="292" bestFit="1" customWidth="1"/>
    <col min="8454" max="8454" width="10" style="292" bestFit="1" customWidth="1"/>
    <col min="8455" max="8455" width="10.25" style="292" bestFit="1" customWidth="1"/>
    <col min="8456" max="8456" width="10.5" style="292" customWidth="1"/>
    <col min="8457" max="8457" width="13.5" style="292" bestFit="1" customWidth="1"/>
    <col min="8458" max="8458" width="10.5" style="292" customWidth="1"/>
    <col min="8459" max="8459" width="11.125" style="292" bestFit="1" customWidth="1"/>
    <col min="8460" max="8460" width="10.875" style="292" customWidth="1"/>
    <col min="8461" max="8461" width="11.125" style="292" bestFit="1" customWidth="1"/>
    <col min="8462" max="8462" width="10" style="292" bestFit="1" customWidth="1"/>
    <col min="8463" max="8463" width="11" style="292" customWidth="1"/>
    <col min="8464" max="8464" width="10" style="292" bestFit="1" customWidth="1"/>
    <col min="8465" max="8465" width="11.125" style="292" bestFit="1" customWidth="1"/>
    <col min="8466" max="8466" width="10" style="292" bestFit="1" customWidth="1"/>
    <col min="8467" max="8467" width="12" style="292" customWidth="1"/>
    <col min="8468" max="8468" width="9.25" style="292" customWidth="1"/>
    <col min="8469" max="8469" width="10.625" style="292" customWidth="1"/>
    <col min="8470" max="8470" width="12.125" style="292" bestFit="1" customWidth="1"/>
    <col min="8471" max="8471" width="9.75" style="292" bestFit="1" customWidth="1"/>
    <col min="8472" max="8474" width="11.25" style="292" customWidth="1"/>
    <col min="8475" max="8475" width="9" style="292"/>
    <col min="8476" max="8476" width="12.5" style="292" customWidth="1"/>
    <col min="8477" max="8477" width="13.875" style="292" customWidth="1"/>
    <col min="8478" max="8478" width="10.75" style="292" customWidth="1"/>
    <col min="8479" max="8479" width="11.875" style="292" customWidth="1"/>
    <col min="8480" max="8704" width="9" style="292"/>
    <col min="8705" max="8705" width="16" style="292" customWidth="1"/>
    <col min="8706" max="8706" width="12.375" style="292" bestFit="1" customWidth="1"/>
    <col min="8707" max="8707" width="10.375" style="292" customWidth="1"/>
    <col min="8708" max="8708" width="10.5" style="292" bestFit="1" customWidth="1"/>
    <col min="8709" max="8709" width="11.125" style="292" bestFit="1" customWidth="1"/>
    <col min="8710" max="8710" width="10" style="292" bestFit="1" customWidth="1"/>
    <col min="8711" max="8711" width="10.25" style="292" bestFit="1" customWidth="1"/>
    <col min="8712" max="8712" width="10.5" style="292" customWidth="1"/>
    <col min="8713" max="8713" width="13.5" style="292" bestFit="1" customWidth="1"/>
    <col min="8714" max="8714" width="10.5" style="292" customWidth="1"/>
    <col min="8715" max="8715" width="11.125" style="292" bestFit="1" customWidth="1"/>
    <col min="8716" max="8716" width="10.875" style="292" customWidth="1"/>
    <col min="8717" max="8717" width="11.125" style="292" bestFit="1" customWidth="1"/>
    <col min="8718" max="8718" width="10" style="292" bestFit="1" customWidth="1"/>
    <col min="8719" max="8719" width="11" style="292" customWidth="1"/>
    <col min="8720" max="8720" width="10" style="292" bestFit="1" customWidth="1"/>
    <col min="8721" max="8721" width="11.125" style="292" bestFit="1" customWidth="1"/>
    <col min="8722" max="8722" width="10" style="292" bestFit="1" customWidth="1"/>
    <col min="8723" max="8723" width="12" style="292" customWidth="1"/>
    <col min="8724" max="8724" width="9.25" style="292" customWidth="1"/>
    <col min="8725" max="8725" width="10.625" style="292" customWidth="1"/>
    <col min="8726" max="8726" width="12.125" style="292" bestFit="1" customWidth="1"/>
    <col min="8727" max="8727" width="9.75" style="292" bestFit="1" customWidth="1"/>
    <col min="8728" max="8730" width="11.25" style="292" customWidth="1"/>
    <col min="8731" max="8731" width="9" style="292"/>
    <col min="8732" max="8732" width="12.5" style="292" customWidth="1"/>
    <col min="8733" max="8733" width="13.875" style="292" customWidth="1"/>
    <col min="8734" max="8734" width="10.75" style="292" customWidth="1"/>
    <col min="8735" max="8735" width="11.875" style="292" customWidth="1"/>
    <col min="8736" max="8960" width="9" style="292"/>
    <col min="8961" max="8961" width="16" style="292" customWidth="1"/>
    <col min="8962" max="8962" width="12.375" style="292" bestFit="1" customWidth="1"/>
    <col min="8963" max="8963" width="10.375" style="292" customWidth="1"/>
    <col min="8964" max="8964" width="10.5" style="292" bestFit="1" customWidth="1"/>
    <col min="8965" max="8965" width="11.125" style="292" bestFit="1" customWidth="1"/>
    <col min="8966" max="8966" width="10" style="292" bestFit="1" customWidth="1"/>
    <col min="8967" max="8967" width="10.25" style="292" bestFit="1" customWidth="1"/>
    <col min="8968" max="8968" width="10.5" style="292" customWidth="1"/>
    <col min="8969" max="8969" width="13.5" style="292" bestFit="1" customWidth="1"/>
    <col min="8970" max="8970" width="10.5" style="292" customWidth="1"/>
    <col min="8971" max="8971" width="11.125" style="292" bestFit="1" customWidth="1"/>
    <col min="8972" max="8972" width="10.875" style="292" customWidth="1"/>
    <col min="8973" max="8973" width="11.125" style="292" bestFit="1" customWidth="1"/>
    <col min="8974" max="8974" width="10" style="292" bestFit="1" customWidth="1"/>
    <col min="8975" max="8975" width="11" style="292" customWidth="1"/>
    <col min="8976" max="8976" width="10" style="292" bestFit="1" customWidth="1"/>
    <col min="8977" max="8977" width="11.125" style="292" bestFit="1" customWidth="1"/>
    <col min="8978" max="8978" width="10" style="292" bestFit="1" customWidth="1"/>
    <col min="8979" max="8979" width="12" style="292" customWidth="1"/>
    <col min="8980" max="8980" width="9.25" style="292" customWidth="1"/>
    <col min="8981" max="8981" width="10.625" style="292" customWidth="1"/>
    <col min="8982" max="8982" width="12.125" style="292" bestFit="1" customWidth="1"/>
    <col min="8983" max="8983" width="9.75" style="292" bestFit="1" customWidth="1"/>
    <col min="8984" max="8986" width="11.25" style="292" customWidth="1"/>
    <col min="8987" max="8987" width="9" style="292"/>
    <col min="8988" max="8988" width="12.5" style="292" customWidth="1"/>
    <col min="8989" max="8989" width="13.875" style="292" customWidth="1"/>
    <col min="8990" max="8990" width="10.75" style="292" customWidth="1"/>
    <col min="8991" max="8991" width="11.875" style="292" customWidth="1"/>
    <col min="8992" max="9216" width="9" style="292"/>
    <col min="9217" max="9217" width="16" style="292" customWidth="1"/>
    <col min="9218" max="9218" width="12.375" style="292" bestFit="1" customWidth="1"/>
    <col min="9219" max="9219" width="10.375" style="292" customWidth="1"/>
    <col min="9220" max="9220" width="10.5" style="292" bestFit="1" customWidth="1"/>
    <col min="9221" max="9221" width="11.125" style="292" bestFit="1" customWidth="1"/>
    <col min="9222" max="9222" width="10" style="292" bestFit="1" customWidth="1"/>
    <col min="9223" max="9223" width="10.25" style="292" bestFit="1" customWidth="1"/>
    <col min="9224" max="9224" width="10.5" style="292" customWidth="1"/>
    <col min="9225" max="9225" width="13.5" style="292" bestFit="1" customWidth="1"/>
    <col min="9226" max="9226" width="10.5" style="292" customWidth="1"/>
    <col min="9227" max="9227" width="11.125" style="292" bestFit="1" customWidth="1"/>
    <col min="9228" max="9228" width="10.875" style="292" customWidth="1"/>
    <col min="9229" max="9229" width="11.125" style="292" bestFit="1" customWidth="1"/>
    <col min="9230" max="9230" width="10" style="292" bestFit="1" customWidth="1"/>
    <col min="9231" max="9231" width="11" style="292" customWidth="1"/>
    <col min="9232" max="9232" width="10" style="292" bestFit="1" customWidth="1"/>
    <col min="9233" max="9233" width="11.125" style="292" bestFit="1" customWidth="1"/>
    <col min="9234" max="9234" width="10" style="292" bestFit="1" customWidth="1"/>
    <col min="9235" max="9235" width="12" style="292" customWidth="1"/>
    <col min="9236" max="9236" width="9.25" style="292" customWidth="1"/>
    <col min="9237" max="9237" width="10.625" style="292" customWidth="1"/>
    <col min="9238" max="9238" width="12.125" style="292" bestFit="1" customWidth="1"/>
    <col min="9239" max="9239" width="9.75" style="292" bestFit="1" customWidth="1"/>
    <col min="9240" max="9242" width="11.25" style="292" customWidth="1"/>
    <col min="9243" max="9243" width="9" style="292"/>
    <col min="9244" max="9244" width="12.5" style="292" customWidth="1"/>
    <col min="9245" max="9245" width="13.875" style="292" customWidth="1"/>
    <col min="9246" max="9246" width="10.75" style="292" customWidth="1"/>
    <col min="9247" max="9247" width="11.875" style="292" customWidth="1"/>
    <col min="9248" max="9472" width="9" style="292"/>
    <col min="9473" max="9473" width="16" style="292" customWidth="1"/>
    <col min="9474" max="9474" width="12.375" style="292" bestFit="1" customWidth="1"/>
    <col min="9475" max="9475" width="10.375" style="292" customWidth="1"/>
    <col min="9476" max="9476" width="10.5" style="292" bestFit="1" customWidth="1"/>
    <col min="9477" max="9477" width="11.125" style="292" bestFit="1" customWidth="1"/>
    <col min="9478" max="9478" width="10" style="292" bestFit="1" customWidth="1"/>
    <col min="9479" max="9479" width="10.25" style="292" bestFit="1" customWidth="1"/>
    <col min="9480" max="9480" width="10.5" style="292" customWidth="1"/>
    <col min="9481" max="9481" width="13.5" style="292" bestFit="1" customWidth="1"/>
    <col min="9482" max="9482" width="10.5" style="292" customWidth="1"/>
    <col min="9483" max="9483" width="11.125" style="292" bestFit="1" customWidth="1"/>
    <col min="9484" max="9484" width="10.875" style="292" customWidth="1"/>
    <col min="9485" max="9485" width="11.125" style="292" bestFit="1" customWidth="1"/>
    <col min="9486" max="9486" width="10" style="292" bestFit="1" customWidth="1"/>
    <col min="9487" max="9487" width="11" style="292" customWidth="1"/>
    <col min="9488" max="9488" width="10" style="292" bestFit="1" customWidth="1"/>
    <col min="9489" max="9489" width="11.125" style="292" bestFit="1" customWidth="1"/>
    <col min="9490" max="9490" width="10" style="292" bestFit="1" customWidth="1"/>
    <col min="9491" max="9491" width="12" style="292" customWidth="1"/>
    <col min="9492" max="9492" width="9.25" style="292" customWidth="1"/>
    <col min="9493" max="9493" width="10.625" style="292" customWidth="1"/>
    <col min="9494" max="9494" width="12.125" style="292" bestFit="1" customWidth="1"/>
    <col min="9495" max="9495" width="9.75" style="292" bestFit="1" customWidth="1"/>
    <col min="9496" max="9498" width="11.25" style="292" customWidth="1"/>
    <col min="9499" max="9499" width="9" style="292"/>
    <col min="9500" max="9500" width="12.5" style="292" customWidth="1"/>
    <col min="9501" max="9501" width="13.875" style="292" customWidth="1"/>
    <col min="9502" max="9502" width="10.75" style="292" customWidth="1"/>
    <col min="9503" max="9503" width="11.875" style="292" customWidth="1"/>
    <col min="9504" max="9728" width="9" style="292"/>
    <col min="9729" max="9729" width="16" style="292" customWidth="1"/>
    <col min="9730" max="9730" width="12.375" style="292" bestFit="1" customWidth="1"/>
    <col min="9731" max="9731" width="10.375" style="292" customWidth="1"/>
    <col min="9732" max="9732" width="10.5" style="292" bestFit="1" customWidth="1"/>
    <col min="9733" max="9733" width="11.125" style="292" bestFit="1" customWidth="1"/>
    <col min="9734" max="9734" width="10" style="292" bestFit="1" customWidth="1"/>
    <col min="9735" max="9735" width="10.25" style="292" bestFit="1" customWidth="1"/>
    <col min="9736" max="9736" width="10.5" style="292" customWidth="1"/>
    <col min="9737" max="9737" width="13.5" style="292" bestFit="1" customWidth="1"/>
    <col min="9738" max="9738" width="10.5" style="292" customWidth="1"/>
    <col min="9739" max="9739" width="11.125" style="292" bestFit="1" customWidth="1"/>
    <col min="9740" max="9740" width="10.875" style="292" customWidth="1"/>
    <col min="9741" max="9741" width="11.125" style="292" bestFit="1" customWidth="1"/>
    <col min="9742" max="9742" width="10" style="292" bestFit="1" customWidth="1"/>
    <col min="9743" max="9743" width="11" style="292" customWidth="1"/>
    <col min="9744" max="9744" width="10" style="292" bestFit="1" customWidth="1"/>
    <col min="9745" max="9745" width="11.125" style="292" bestFit="1" customWidth="1"/>
    <col min="9746" max="9746" width="10" style="292" bestFit="1" customWidth="1"/>
    <col min="9747" max="9747" width="12" style="292" customWidth="1"/>
    <col min="9748" max="9748" width="9.25" style="292" customWidth="1"/>
    <col min="9749" max="9749" width="10.625" style="292" customWidth="1"/>
    <col min="9750" max="9750" width="12.125" style="292" bestFit="1" customWidth="1"/>
    <col min="9751" max="9751" width="9.75" style="292" bestFit="1" customWidth="1"/>
    <col min="9752" max="9754" width="11.25" style="292" customWidth="1"/>
    <col min="9755" max="9755" width="9" style="292"/>
    <col min="9756" max="9756" width="12.5" style="292" customWidth="1"/>
    <col min="9757" max="9757" width="13.875" style="292" customWidth="1"/>
    <col min="9758" max="9758" width="10.75" style="292" customWidth="1"/>
    <col min="9759" max="9759" width="11.875" style="292" customWidth="1"/>
    <col min="9760" max="9984" width="9" style="292"/>
    <col min="9985" max="9985" width="16" style="292" customWidth="1"/>
    <col min="9986" max="9986" width="12.375" style="292" bestFit="1" customWidth="1"/>
    <col min="9987" max="9987" width="10.375" style="292" customWidth="1"/>
    <col min="9988" max="9988" width="10.5" style="292" bestFit="1" customWidth="1"/>
    <col min="9989" max="9989" width="11.125" style="292" bestFit="1" customWidth="1"/>
    <col min="9990" max="9990" width="10" style="292" bestFit="1" customWidth="1"/>
    <col min="9991" max="9991" width="10.25" style="292" bestFit="1" customWidth="1"/>
    <col min="9992" max="9992" width="10.5" style="292" customWidth="1"/>
    <col min="9993" max="9993" width="13.5" style="292" bestFit="1" customWidth="1"/>
    <col min="9994" max="9994" width="10.5" style="292" customWidth="1"/>
    <col min="9995" max="9995" width="11.125" style="292" bestFit="1" customWidth="1"/>
    <col min="9996" max="9996" width="10.875" style="292" customWidth="1"/>
    <col min="9997" max="9997" width="11.125" style="292" bestFit="1" customWidth="1"/>
    <col min="9998" max="9998" width="10" style="292" bestFit="1" customWidth="1"/>
    <col min="9999" max="9999" width="11" style="292" customWidth="1"/>
    <col min="10000" max="10000" width="10" style="292" bestFit="1" customWidth="1"/>
    <col min="10001" max="10001" width="11.125" style="292" bestFit="1" customWidth="1"/>
    <col min="10002" max="10002" width="10" style="292" bestFit="1" customWidth="1"/>
    <col min="10003" max="10003" width="12" style="292" customWidth="1"/>
    <col min="10004" max="10004" width="9.25" style="292" customWidth="1"/>
    <col min="10005" max="10005" width="10.625" style="292" customWidth="1"/>
    <col min="10006" max="10006" width="12.125" style="292" bestFit="1" customWidth="1"/>
    <col min="10007" max="10007" width="9.75" style="292" bestFit="1" customWidth="1"/>
    <col min="10008" max="10010" width="11.25" style="292" customWidth="1"/>
    <col min="10011" max="10011" width="9" style="292"/>
    <col min="10012" max="10012" width="12.5" style="292" customWidth="1"/>
    <col min="10013" max="10013" width="13.875" style="292" customWidth="1"/>
    <col min="10014" max="10014" width="10.75" style="292" customWidth="1"/>
    <col min="10015" max="10015" width="11.875" style="292" customWidth="1"/>
    <col min="10016" max="10240" width="9" style="292"/>
    <col min="10241" max="10241" width="16" style="292" customWidth="1"/>
    <col min="10242" max="10242" width="12.375" style="292" bestFit="1" customWidth="1"/>
    <col min="10243" max="10243" width="10.375" style="292" customWidth="1"/>
    <col min="10244" max="10244" width="10.5" style="292" bestFit="1" customWidth="1"/>
    <col min="10245" max="10245" width="11.125" style="292" bestFit="1" customWidth="1"/>
    <col min="10246" max="10246" width="10" style="292" bestFit="1" customWidth="1"/>
    <col min="10247" max="10247" width="10.25" style="292" bestFit="1" customWidth="1"/>
    <col min="10248" max="10248" width="10.5" style="292" customWidth="1"/>
    <col min="10249" max="10249" width="13.5" style="292" bestFit="1" customWidth="1"/>
    <col min="10250" max="10250" width="10.5" style="292" customWidth="1"/>
    <col min="10251" max="10251" width="11.125" style="292" bestFit="1" customWidth="1"/>
    <col min="10252" max="10252" width="10.875" style="292" customWidth="1"/>
    <col min="10253" max="10253" width="11.125" style="292" bestFit="1" customWidth="1"/>
    <col min="10254" max="10254" width="10" style="292" bestFit="1" customWidth="1"/>
    <col min="10255" max="10255" width="11" style="292" customWidth="1"/>
    <col min="10256" max="10256" width="10" style="292" bestFit="1" customWidth="1"/>
    <col min="10257" max="10257" width="11.125" style="292" bestFit="1" customWidth="1"/>
    <col min="10258" max="10258" width="10" style="292" bestFit="1" customWidth="1"/>
    <col min="10259" max="10259" width="12" style="292" customWidth="1"/>
    <col min="10260" max="10260" width="9.25" style="292" customWidth="1"/>
    <col min="10261" max="10261" width="10.625" style="292" customWidth="1"/>
    <col min="10262" max="10262" width="12.125" style="292" bestFit="1" customWidth="1"/>
    <col min="10263" max="10263" width="9.75" style="292" bestFit="1" customWidth="1"/>
    <col min="10264" max="10266" width="11.25" style="292" customWidth="1"/>
    <col min="10267" max="10267" width="9" style="292"/>
    <col min="10268" max="10268" width="12.5" style="292" customWidth="1"/>
    <col min="10269" max="10269" width="13.875" style="292" customWidth="1"/>
    <col min="10270" max="10270" width="10.75" style="292" customWidth="1"/>
    <col min="10271" max="10271" width="11.875" style="292" customWidth="1"/>
    <col min="10272" max="10496" width="9" style="292"/>
    <col min="10497" max="10497" width="16" style="292" customWidth="1"/>
    <col min="10498" max="10498" width="12.375" style="292" bestFit="1" customWidth="1"/>
    <col min="10499" max="10499" width="10.375" style="292" customWidth="1"/>
    <col min="10500" max="10500" width="10.5" style="292" bestFit="1" customWidth="1"/>
    <col min="10501" max="10501" width="11.125" style="292" bestFit="1" customWidth="1"/>
    <col min="10502" max="10502" width="10" style="292" bestFit="1" customWidth="1"/>
    <col min="10503" max="10503" width="10.25" style="292" bestFit="1" customWidth="1"/>
    <col min="10504" max="10504" width="10.5" style="292" customWidth="1"/>
    <col min="10505" max="10505" width="13.5" style="292" bestFit="1" customWidth="1"/>
    <col min="10506" max="10506" width="10.5" style="292" customWidth="1"/>
    <col min="10507" max="10507" width="11.125" style="292" bestFit="1" customWidth="1"/>
    <col min="10508" max="10508" width="10.875" style="292" customWidth="1"/>
    <col min="10509" max="10509" width="11.125" style="292" bestFit="1" customWidth="1"/>
    <col min="10510" max="10510" width="10" style="292" bestFit="1" customWidth="1"/>
    <col min="10511" max="10511" width="11" style="292" customWidth="1"/>
    <col min="10512" max="10512" width="10" style="292" bestFit="1" customWidth="1"/>
    <col min="10513" max="10513" width="11.125" style="292" bestFit="1" customWidth="1"/>
    <col min="10514" max="10514" width="10" style="292" bestFit="1" customWidth="1"/>
    <col min="10515" max="10515" width="12" style="292" customWidth="1"/>
    <col min="10516" max="10516" width="9.25" style="292" customWidth="1"/>
    <col min="10517" max="10517" width="10.625" style="292" customWidth="1"/>
    <col min="10518" max="10518" width="12.125" style="292" bestFit="1" customWidth="1"/>
    <col min="10519" max="10519" width="9.75" style="292" bestFit="1" customWidth="1"/>
    <col min="10520" max="10522" width="11.25" style="292" customWidth="1"/>
    <col min="10523" max="10523" width="9" style="292"/>
    <col min="10524" max="10524" width="12.5" style="292" customWidth="1"/>
    <col min="10525" max="10525" width="13.875" style="292" customWidth="1"/>
    <col min="10526" max="10526" width="10.75" style="292" customWidth="1"/>
    <col min="10527" max="10527" width="11.875" style="292" customWidth="1"/>
    <col min="10528" max="10752" width="9" style="292"/>
    <col min="10753" max="10753" width="16" style="292" customWidth="1"/>
    <col min="10754" max="10754" width="12.375" style="292" bestFit="1" customWidth="1"/>
    <col min="10755" max="10755" width="10.375" style="292" customWidth="1"/>
    <col min="10756" max="10756" width="10.5" style="292" bestFit="1" customWidth="1"/>
    <col min="10757" max="10757" width="11.125" style="292" bestFit="1" customWidth="1"/>
    <col min="10758" max="10758" width="10" style="292" bestFit="1" customWidth="1"/>
    <col min="10759" max="10759" width="10.25" style="292" bestFit="1" customWidth="1"/>
    <col min="10760" max="10760" width="10.5" style="292" customWidth="1"/>
    <col min="10761" max="10761" width="13.5" style="292" bestFit="1" customWidth="1"/>
    <col min="10762" max="10762" width="10.5" style="292" customWidth="1"/>
    <col min="10763" max="10763" width="11.125" style="292" bestFit="1" customWidth="1"/>
    <col min="10764" max="10764" width="10.875" style="292" customWidth="1"/>
    <col min="10765" max="10765" width="11.125" style="292" bestFit="1" customWidth="1"/>
    <col min="10766" max="10766" width="10" style="292" bestFit="1" customWidth="1"/>
    <col min="10767" max="10767" width="11" style="292" customWidth="1"/>
    <col min="10768" max="10768" width="10" style="292" bestFit="1" customWidth="1"/>
    <col min="10769" max="10769" width="11.125" style="292" bestFit="1" customWidth="1"/>
    <col min="10770" max="10770" width="10" style="292" bestFit="1" customWidth="1"/>
    <col min="10771" max="10771" width="12" style="292" customWidth="1"/>
    <col min="10772" max="10772" width="9.25" style="292" customWidth="1"/>
    <col min="10773" max="10773" width="10.625" style="292" customWidth="1"/>
    <col min="10774" max="10774" width="12.125" style="292" bestFit="1" customWidth="1"/>
    <col min="10775" max="10775" width="9.75" style="292" bestFit="1" customWidth="1"/>
    <col min="10776" max="10778" width="11.25" style="292" customWidth="1"/>
    <col min="10779" max="10779" width="9" style="292"/>
    <col min="10780" max="10780" width="12.5" style="292" customWidth="1"/>
    <col min="10781" max="10781" width="13.875" style="292" customWidth="1"/>
    <col min="10782" max="10782" width="10.75" style="292" customWidth="1"/>
    <col min="10783" max="10783" width="11.875" style="292" customWidth="1"/>
    <col min="10784" max="11008" width="9" style="292"/>
    <col min="11009" max="11009" width="16" style="292" customWidth="1"/>
    <col min="11010" max="11010" width="12.375" style="292" bestFit="1" customWidth="1"/>
    <col min="11011" max="11011" width="10.375" style="292" customWidth="1"/>
    <col min="11012" max="11012" width="10.5" style="292" bestFit="1" customWidth="1"/>
    <col min="11013" max="11013" width="11.125" style="292" bestFit="1" customWidth="1"/>
    <col min="11014" max="11014" width="10" style="292" bestFit="1" customWidth="1"/>
    <col min="11015" max="11015" width="10.25" style="292" bestFit="1" customWidth="1"/>
    <col min="11016" max="11016" width="10.5" style="292" customWidth="1"/>
    <col min="11017" max="11017" width="13.5" style="292" bestFit="1" customWidth="1"/>
    <col min="11018" max="11018" width="10.5" style="292" customWidth="1"/>
    <col min="11019" max="11019" width="11.125" style="292" bestFit="1" customWidth="1"/>
    <col min="11020" max="11020" width="10.875" style="292" customWidth="1"/>
    <col min="11021" max="11021" width="11.125" style="292" bestFit="1" customWidth="1"/>
    <col min="11022" max="11022" width="10" style="292" bestFit="1" customWidth="1"/>
    <col min="11023" max="11023" width="11" style="292" customWidth="1"/>
    <col min="11024" max="11024" width="10" style="292" bestFit="1" customWidth="1"/>
    <col min="11025" max="11025" width="11.125" style="292" bestFit="1" customWidth="1"/>
    <col min="11026" max="11026" width="10" style="292" bestFit="1" customWidth="1"/>
    <col min="11027" max="11027" width="12" style="292" customWidth="1"/>
    <col min="11028" max="11028" width="9.25" style="292" customWidth="1"/>
    <col min="11029" max="11029" width="10.625" style="292" customWidth="1"/>
    <col min="11030" max="11030" width="12.125" style="292" bestFit="1" customWidth="1"/>
    <col min="11031" max="11031" width="9.75" style="292" bestFit="1" customWidth="1"/>
    <col min="11032" max="11034" width="11.25" style="292" customWidth="1"/>
    <col min="11035" max="11035" width="9" style="292"/>
    <col min="11036" max="11036" width="12.5" style="292" customWidth="1"/>
    <col min="11037" max="11037" width="13.875" style="292" customWidth="1"/>
    <col min="11038" max="11038" width="10.75" style="292" customWidth="1"/>
    <col min="11039" max="11039" width="11.875" style="292" customWidth="1"/>
    <col min="11040" max="11264" width="9" style="292"/>
    <col min="11265" max="11265" width="16" style="292" customWidth="1"/>
    <col min="11266" max="11266" width="12.375" style="292" bestFit="1" customWidth="1"/>
    <col min="11267" max="11267" width="10.375" style="292" customWidth="1"/>
    <col min="11268" max="11268" width="10.5" style="292" bestFit="1" customWidth="1"/>
    <col min="11269" max="11269" width="11.125" style="292" bestFit="1" customWidth="1"/>
    <col min="11270" max="11270" width="10" style="292" bestFit="1" customWidth="1"/>
    <col min="11271" max="11271" width="10.25" style="292" bestFit="1" customWidth="1"/>
    <col min="11272" max="11272" width="10.5" style="292" customWidth="1"/>
    <col min="11273" max="11273" width="13.5" style="292" bestFit="1" customWidth="1"/>
    <col min="11274" max="11274" width="10.5" style="292" customWidth="1"/>
    <col min="11275" max="11275" width="11.125" style="292" bestFit="1" customWidth="1"/>
    <col min="11276" max="11276" width="10.875" style="292" customWidth="1"/>
    <col min="11277" max="11277" width="11.125" style="292" bestFit="1" customWidth="1"/>
    <col min="11278" max="11278" width="10" style="292" bestFit="1" customWidth="1"/>
    <col min="11279" max="11279" width="11" style="292" customWidth="1"/>
    <col min="11280" max="11280" width="10" style="292" bestFit="1" customWidth="1"/>
    <col min="11281" max="11281" width="11.125" style="292" bestFit="1" customWidth="1"/>
    <col min="11282" max="11282" width="10" style="292" bestFit="1" customWidth="1"/>
    <col min="11283" max="11283" width="12" style="292" customWidth="1"/>
    <col min="11284" max="11284" width="9.25" style="292" customWidth="1"/>
    <col min="11285" max="11285" width="10.625" style="292" customWidth="1"/>
    <col min="11286" max="11286" width="12.125" style="292" bestFit="1" customWidth="1"/>
    <col min="11287" max="11287" width="9.75" style="292" bestFit="1" customWidth="1"/>
    <col min="11288" max="11290" width="11.25" style="292" customWidth="1"/>
    <col min="11291" max="11291" width="9" style="292"/>
    <col min="11292" max="11292" width="12.5" style="292" customWidth="1"/>
    <col min="11293" max="11293" width="13.875" style="292" customWidth="1"/>
    <col min="11294" max="11294" width="10.75" style="292" customWidth="1"/>
    <col min="11295" max="11295" width="11.875" style="292" customWidth="1"/>
    <col min="11296" max="11520" width="9" style="292"/>
    <col min="11521" max="11521" width="16" style="292" customWidth="1"/>
    <col min="11522" max="11522" width="12.375" style="292" bestFit="1" customWidth="1"/>
    <col min="11523" max="11523" width="10.375" style="292" customWidth="1"/>
    <col min="11524" max="11524" width="10.5" style="292" bestFit="1" customWidth="1"/>
    <col min="11525" max="11525" width="11.125" style="292" bestFit="1" customWidth="1"/>
    <col min="11526" max="11526" width="10" style="292" bestFit="1" customWidth="1"/>
    <col min="11527" max="11527" width="10.25" style="292" bestFit="1" customWidth="1"/>
    <col min="11528" max="11528" width="10.5" style="292" customWidth="1"/>
    <col min="11529" max="11529" width="13.5" style="292" bestFit="1" customWidth="1"/>
    <col min="11530" max="11530" width="10.5" style="292" customWidth="1"/>
    <col min="11531" max="11531" width="11.125" style="292" bestFit="1" customWidth="1"/>
    <col min="11532" max="11532" width="10.875" style="292" customWidth="1"/>
    <col min="11533" max="11533" width="11.125" style="292" bestFit="1" customWidth="1"/>
    <col min="11534" max="11534" width="10" style="292" bestFit="1" customWidth="1"/>
    <col min="11535" max="11535" width="11" style="292" customWidth="1"/>
    <col min="11536" max="11536" width="10" style="292" bestFit="1" customWidth="1"/>
    <col min="11537" max="11537" width="11.125" style="292" bestFit="1" customWidth="1"/>
    <col min="11538" max="11538" width="10" style="292" bestFit="1" customWidth="1"/>
    <col min="11539" max="11539" width="12" style="292" customWidth="1"/>
    <col min="11540" max="11540" width="9.25" style="292" customWidth="1"/>
    <col min="11541" max="11541" width="10.625" style="292" customWidth="1"/>
    <col min="11542" max="11542" width="12.125" style="292" bestFit="1" customWidth="1"/>
    <col min="11543" max="11543" width="9.75" style="292" bestFit="1" customWidth="1"/>
    <col min="11544" max="11546" width="11.25" style="292" customWidth="1"/>
    <col min="11547" max="11547" width="9" style="292"/>
    <col min="11548" max="11548" width="12.5" style="292" customWidth="1"/>
    <col min="11549" max="11549" width="13.875" style="292" customWidth="1"/>
    <col min="11550" max="11550" width="10.75" style="292" customWidth="1"/>
    <col min="11551" max="11551" width="11.875" style="292" customWidth="1"/>
    <col min="11552" max="11776" width="9" style="292"/>
    <col min="11777" max="11777" width="16" style="292" customWidth="1"/>
    <col min="11778" max="11778" width="12.375" style="292" bestFit="1" customWidth="1"/>
    <col min="11779" max="11779" width="10.375" style="292" customWidth="1"/>
    <col min="11780" max="11780" width="10.5" style="292" bestFit="1" customWidth="1"/>
    <col min="11781" max="11781" width="11.125" style="292" bestFit="1" customWidth="1"/>
    <col min="11782" max="11782" width="10" style="292" bestFit="1" customWidth="1"/>
    <col min="11783" max="11783" width="10.25" style="292" bestFit="1" customWidth="1"/>
    <col min="11784" max="11784" width="10.5" style="292" customWidth="1"/>
    <col min="11785" max="11785" width="13.5" style="292" bestFit="1" customWidth="1"/>
    <col min="11786" max="11786" width="10.5" style="292" customWidth="1"/>
    <col min="11787" max="11787" width="11.125" style="292" bestFit="1" customWidth="1"/>
    <col min="11788" max="11788" width="10.875" style="292" customWidth="1"/>
    <col min="11789" max="11789" width="11.125" style="292" bestFit="1" customWidth="1"/>
    <col min="11790" max="11790" width="10" style="292" bestFit="1" customWidth="1"/>
    <col min="11791" max="11791" width="11" style="292" customWidth="1"/>
    <col min="11792" max="11792" width="10" style="292" bestFit="1" customWidth="1"/>
    <col min="11793" max="11793" width="11.125" style="292" bestFit="1" customWidth="1"/>
    <col min="11794" max="11794" width="10" style="292" bestFit="1" customWidth="1"/>
    <col min="11795" max="11795" width="12" style="292" customWidth="1"/>
    <col min="11796" max="11796" width="9.25" style="292" customWidth="1"/>
    <col min="11797" max="11797" width="10.625" style="292" customWidth="1"/>
    <col min="11798" max="11798" width="12.125" style="292" bestFit="1" customWidth="1"/>
    <col min="11799" max="11799" width="9.75" style="292" bestFit="1" customWidth="1"/>
    <col min="11800" max="11802" width="11.25" style="292" customWidth="1"/>
    <col min="11803" max="11803" width="9" style="292"/>
    <col min="11804" max="11804" width="12.5" style="292" customWidth="1"/>
    <col min="11805" max="11805" width="13.875" style="292" customWidth="1"/>
    <col min="11806" max="11806" width="10.75" style="292" customWidth="1"/>
    <col min="11807" max="11807" width="11.875" style="292" customWidth="1"/>
    <col min="11808" max="12032" width="9" style="292"/>
    <col min="12033" max="12033" width="16" style="292" customWidth="1"/>
    <col min="12034" max="12034" width="12.375" style="292" bestFit="1" customWidth="1"/>
    <col min="12035" max="12035" width="10.375" style="292" customWidth="1"/>
    <col min="12036" max="12036" width="10.5" style="292" bestFit="1" customWidth="1"/>
    <col min="12037" max="12037" width="11.125" style="292" bestFit="1" customWidth="1"/>
    <col min="12038" max="12038" width="10" style="292" bestFit="1" customWidth="1"/>
    <col min="12039" max="12039" width="10.25" style="292" bestFit="1" customWidth="1"/>
    <col min="12040" max="12040" width="10.5" style="292" customWidth="1"/>
    <col min="12041" max="12041" width="13.5" style="292" bestFit="1" customWidth="1"/>
    <col min="12042" max="12042" width="10.5" style="292" customWidth="1"/>
    <col min="12043" max="12043" width="11.125" style="292" bestFit="1" customWidth="1"/>
    <col min="12044" max="12044" width="10.875" style="292" customWidth="1"/>
    <col min="12045" max="12045" width="11.125" style="292" bestFit="1" customWidth="1"/>
    <col min="12046" max="12046" width="10" style="292" bestFit="1" customWidth="1"/>
    <col min="12047" max="12047" width="11" style="292" customWidth="1"/>
    <col min="12048" max="12048" width="10" style="292" bestFit="1" customWidth="1"/>
    <col min="12049" max="12049" width="11.125" style="292" bestFit="1" customWidth="1"/>
    <col min="12050" max="12050" width="10" style="292" bestFit="1" customWidth="1"/>
    <col min="12051" max="12051" width="12" style="292" customWidth="1"/>
    <col min="12052" max="12052" width="9.25" style="292" customWidth="1"/>
    <col min="12053" max="12053" width="10.625" style="292" customWidth="1"/>
    <col min="12054" max="12054" width="12.125" style="292" bestFit="1" customWidth="1"/>
    <col min="12055" max="12055" width="9.75" style="292" bestFit="1" customWidth="1"/>
    <col min="12056" max="12058" width="11.25" style="292" customWidth="1"/>
    <col min="12059" max="12059" width="9" style="292"/>
    <col min="12060" max="12060" width="12.5" style="292" customWidth="1"/>
    <col min="12061" max="12061" width="13.875" style="292" customWidth="1"/>
    <col min="12062" max="12062" width="10.75" style="292" customWidth="1"/>
    <col min="12063" max="12063" width="11.875" style="292" customWidth="1"/>
    <col min="12064" max="12288" width="9" style="292"/>
    <col min="12289" max="12289" width="16" style="292" customWidth="1"/>
    <col min="12290" max="12290" width="12.375" style="292" bestFit="1" customWidth="1"/>
    <col min="12291" max="12291" width="10.375" style="292" customWidth="1"/>
    <col min="12292" max="12292" width="10.5" style="292" bestFit="1" customWidth="1"/>
    <col min="12293" max="12293" width="11.125" style="292" bestFit="1" customWidth="1"/>
    <col min="12294" max="12294" width="10" style="292" bestFit="1" customWidth="1"/>
    <col min="12295" max="12295" width="10.25" style="292" bestFit="1" customWidth="1"/>
    <col min="12296" max="12296" width="10.5" style="292" customWidth="1"/>
    <col min="12297" max="12297" width="13.5" style="292" bestFit="1" customWidth="1"/>
    <col min="12298" max="12298" width="10.5" style="292" customWidth="1"/>
    <col min="12299" max="12299" width="11.125" style="292" bestFit="1" customWidth="1"/>
    <col min="12300" max="12300" width="10.875" style="292" customWidth="1"/>
    <col min="12301" max="12301" width="11.125" style="292" bestFit="1" customWidth="1"/>
    <col min="12302" max="12302" width="10" style="292" bestFit="1" customWidth="1"/>
    <col min="12303" max="12303" width="11" style="292" customWidth="1"/>
    <col min="12304" max="12304" width="10" style="292" bestFit="1" customWidth="1"/>
    <col min="12305" max="12305" width="11.125" style="292" bestFit="1" customWidth="1"/>
    <col min="12306" max="12306" width="10" style="292" bestFit="1" customWidth="1"/>
    <col min="12307" max="12307" width="12" style="292" customWidth="1"/>
    <col min="12308" max="12308" width="9.25" style="292" customWidth="1"/>
    <col min="12309" max="12309" width="10.625" style="292" customWidth="1"/>
    <col min="12310" max="12310" width="12.125" style="292" bestFit="1" customWidth="1"/>
    <col min="12311" max="12311" width="9.75" style="292" bestFit="1" customWidth="1"/>
    <col min="12312" max="12314" width="11.25" style="292" customWidth="1"/>
    <col min="12315" max="12315" width="9" style="292"/>
    <col min="12316" max="12316" width="12.5" style="292" customWidth="1"/>
    <col min="12317" max="12317" width="13.875" style="292" customWidth="1"/>
    <col min="12318" max="12318" width="10.75" style="292" customWidth="1"/>
    <col min="12319" max="12319" width="11.875" style="292" customWidth="1"/>
    <col min="12320" max="12544" width="9" style="292"/>
    <col min="12545" max="12545" width="16" style="292" customWidth="1"/>
    <col min="12546" max="12546" width="12.375" style="292" bestFit="1" customWidth="1"/>
    <col min="12547" max="12547" width="10.375" style="292" customWidth="1"/>
    <col min="12548" max="12548" width="10.5" style="292" bestFit="1" customWidth="1"/>
    <col min="12549" max="12549" width="11.125" style="292" bestFit="1" customWidth="1"/>
    <col min="12550" max="12550" width="10" style="292" bestFit="1" customWidth="1"/>
    <col min="12551" max="12551" width="10.25" style="292" bestFit="1" customWidth="1"/>
    <col min="12552" max="12552" width="10.5" style="292" customWidth="1"/>
    <col min="12553" max="12553" width="13.5" style="292" bestFit="1" customWidth="1"/>
    <col min="12554" max="12554" width="10.5" style="292" customWidth="1"/>
    <col min="12555" max="12555" width="11.125" style="292" bestFit="1" customWidth="1"/>
    <col min="12556" max="12556" width="10.875" style="292" customWidth="1"/>
    <col min="12557" max="12557" width="11.125" style="292" bestFit="1" customWidth="1"/>
    <col min="12558" max="12558" width="10" style="292" bestFit="1" customWidth="1"/>
    <col min="12559" max="12559" width="11" style="292" customWidth="1"/>
    <col min="12560" max="12560" width="10" style="292" bestFit="1" customWidth="1"/>
    <col min="12561" max="12561" width="11.125" style="292" bestFit="1" customWidth="1"/>
    <col min="12562" max="12562" width="10" style="292" bestFit="1" customWidth="1"/>
    <col min="12563" max="12563" width="12" style="292" customWidth="1"/>
    <col min="12564" max="12564" width="9.25" style="292" customWidth="1"/>
    <col min="12565" max="12565" width="10.625" style="292" customWidth="1"/>
    <col min="12566" max="12566" width="12.125" style="292" bestFit="1" customWidth="1"/>
    <col min="12567" max="12567" width="9.75" style="292" bestFit="1" customWidth="1"/>
    <col min="12568" max="12570" width="11.25" style="292" customWidth="1"/>
    <col min="12571" max="12571" width="9" style="292"/>
    <col min="12572" max="12572" width="12.5" style="292" customWidth="1"/>
    <col min="12573" max="12573" width="13.875" style="292" customWidth="1"/>
    <col min="12574" max="12574" width="10.75" style="292" customWidth="1"/>
    <col min="12575" max="12575" width="11.875" style="292" customWidth="1"/>
    <col min="12576" max="12800" width="9" style="292"/>
    <col min="12801" max="12801" width="16" style="292" customWidth="1"/>
    <col min="12802" max="12802" width="12.375" style="292" bestFit="1" customWidth="1"/>
    <col min="12803" max="12803" width="10.375" style="292" customWidth="1"/>
    <col min="12804" max="12804" width="10.5" style="292" bestFit="1" customWidth="1"/>
    <col min="12805" max="12805" width="11.125" style="292" bestFit="1" customWidth="1"/>
    <col min="12806" max="12806" width="10" style="292" bestFit="1" customWidth="1"/>
    <col min="12807" max="12807" width="10.25" style="292" bestFit="1" customWidth="1"/>
    <col min="12808" max="12808" width="10.5" style="292" customWidth="1"/>
    <col min="12809" max="12809" width="13.5" style="292" bestFit="1" customWidth="1"/>
    <col min="12810" max="12810" width="10.5" style="292" customWidth="1"/>
    <col min="12811" max="12811" width="11.125" style="292" bestFit="1" customWidth="1"/>
    <col min="12812" max="12812" width="10.875" style="292" customWidth="1"/>
    <col min="12813" max="12813" width="11.125" style="292" bestFit="1" customWidth="1"/>
    <col min="12814" max="12814" width="10" style="292" bestFit="1" customWidth="1"/>
    <col min="12815" max="12815" width="11" style="292" customWidth="1"/>
    <col min="12816" max="12816" width="10" style="292" bestFit="1" customWidth="1"/>
    <col min="12817" max="12817" width="11.125" style="292" bestFit="1" customWidth="1"/>
    <col min="12818" max="12818" width="10" style="292" bestFit="1" customWidth="1"/>
    <col min="12819" max="12819" width="12" style="292" customWidth="1"/>
    <col min="12820" max="12820" width="9.25" style="292" customWidth="1"/>
    <col min="12821" max="12821" width="10.625" style="292" customWidth="1"/>
    <col min="12822" max="12822" width="12.125" style="292" bestFit="1" customWidth="1"/>
    <col min="12823" max="12823" width="9.75" style="292" bestFit="1" customWidth="1"/>
    <col min="12824" max="12826" width="11.25" style="292" customWidth="1"/>
    <col min="12827" max="12827" width="9" style="292"/>
    <col min="12828" max="12828" width="12.5" style="292" customWidth="1"/>
    <col min="12829" max="12829" width="13.875" style="292" customWidth="1"/>
    <col min="12830" max="12830" width="10.75" style="292" customWidth="1"/>
    <col min="12831" max="12831" width="11.875" style="292" customWidth="1"/>
    <col min="12832" max="13056" width="9" style="292"/>
    <col min="13057" max="13057" width="16" style="292" customWidth="1"/>
    <col min="13058" max="13058" width="12.375" style="292" bestFit="1" customWidth="1"/>
    <col min="13059" max="13059" width="10.375" style="292" customWidth="1"/>
    <col min="13060" max="13060" width="10.5" style="292" bestFit="1" customWidth="1"/>
    <col min="13061" max="13061" width="11.125" style="292" bestFit="1" customWidth="1"/>
    <col min="13062" max="13062" width="10" style="292" bestFit="1" customWidth="1"/>
    <col min="13063" max="13063" width="10.25" style="292" bestFit="1" customWidth="1"/>
    <col min="13064" max="13064" width="10.5" style="292" customWidth="1"/>
    <col min="13065" max="13065" width="13.5" style="292" bestFit="1" customWidth="1"/>
    <col min="13066" max="13066" width="10.5" style="292" customWidth="1"/>
    <col min="13067" max="13067" width="11.125" style="292" bestFit="1" customWidth="1"/>
    <col min="13068" max="13068" width="10.875" style="292" customWidth="1"/>
    <col min="13069" max="13069" width="11.125" style="292" bestFit="1" customWidth="1"/>
    <col min="13070" max="13070" width="10" style="292" bestFit="1" customWidth="1"/>
    <col min="13071" max="13071" width="11" style="292" customWidth="1"/>
    <col min="13072" max="13072" width="10" style="292" bestFit="1" customWidth="1"/>
    <col min="13073" max="13073" width="11.125" style="292" bestFit="1" customWidth="1"/>
    <col min="13074" max="13074" width="10" style="292" bestFit="1" customWidth="1"/>
    <col min="13075" max="13075" width="12" style="292" customWidth="1"/>
    <col min="13076" max="13076" width="9.25" style="292" customWidth="1"/>
    <col min="13077" max="13077" width="10.625" style="292" customWidth="1"/>
    <col min="13078" max="13078" width="12.125" style="292" bestFit="1" customWidth="1"/>
    <col min="13079" max="13079" width="9.75" style="292" bestFit="1" customWidth="1"/>
    <col min="13080" max="13082" width="11.25" style="292" customWidth="1"/>
    <col min="13083" max="13083" width="9" style="292"/>
    <col min="13084" max="13084" width="12.5" style="292" customWidth="1"/>
    <col min="13085" max="13085" width="13.875" style="292" customWidth="1"/>
    <col min="13086" max="13086" width="10.75" style="292" customWidth="1"/>
    <col min="13087" max="13087" width="11.875" style="292" customWidth="1"/>
    <col min="13088" max="13312" width="9" style="292"/>
    <col min="13313" max="13313" width="16" style="292" customWidth="1"/>
    <col min="13314" max="13314" width="12.375" style="292" bestFit="1" customWidth="1"/>
    <col min="13315" max="13315" width="10.375" style="292" customWidth="1"/>
    <col min="13316" max="13316" width="10.5" style="292" bestFit="1" customWidth="1"/>
    <col min="13317" max="13317" width="11.125" style="292" bestFit="1" customWidth="1"/>
    <col min="13318" max="13318" width="10" style="292" bestFit="1" customWidth="1"/>
    <col min="13319" max="13319" width="10.25" style="292" bestFit="1" customWidth="1"/>
    <col min="13320" max="13320" width="10.5" style="292" customWidth="1"/>
    <col min="13321" max="13321" width="13.5" style="292" bestFit="1" customWidth="1"/>
    <col min="13322" max="13322" width="10.5" style="292" customWidth="1"/>
    <col min="13323" max="13323" width="11.125" style="292" bestFit="1" customWidth="1"/>
    <col min="13324" max="13324" width="10.875" style="292" customWidth="1"/>
    <col min="13325" max="13325" width="11.125" style="292" bestFit="1" customWidth="1"/>
    <col min="13326" max="13326" width="10" style="292" bestFit="1" customWidth="1"/>
    <col min="13327" max="13327" width="11" style="292" customWidth="1"/>
    <col min="13328" max="13328" width="10" style="292" bestFit="1" customWidth="1"/>
    <col min="13329" max="13329" width="11.125" style="292" bestFit="1" customWidth="1"/>
    <col min="13330" max="13330" width="10" style="292" bestFit="1" customWidth="1"/>
    <col min="13331" max="13331" width="12" style="292" customWidth="1"/>
    <col min="13332" max="13332" width="9.25" style="292" customWidth="1"/>
    <col min="13333" max="13333" width="10.625" style="292" customWidth="1"/>
    <col min="13334" max="13334" width="12.125" style="292" bestFit="1" customWidth="1"/>
    <col min="13335" max="13335" width="9.75" style="292" bestFit="1" customWidth="1"/>
    <col min="13336" max="13338" width="11.25" style="292" customWidth="1"/>
    <col min="13339" max="13339" width="9" style="292"/>
    <col min="13340" max="13340" width="12.5" style="292" customWidth="1"/>
    <col min="13341" max="13341" width="13.875" style="292" customWidth="1"/>
    <col min="13342" max="13342" width="10.75" style="292" customWidth="1"/>
    <col min="13343" max="13343" width="11.875" style="292" customWidth="1"/>
    <col min="13344" max="13568" width="9" style="292"/>
    <col min="13569" max="13569" width="16" style="292" customWidth="1"/>
    <col min="13570" max="13570" width="12.375" style="292" bestFit="1" customWidth="1"/>
    <col min="13571" max="13571" width="10.375" style="292" customWidth="1"/>
    <col min="13572" max="13572" width="10.5" style="292" bestFit="1" customWidth="1"/>
    <col min="13573" max="13573" width="11.125" style="292" bestFit="1" customWidth="1"/>
    <col min="13574" max="13574" width="10" style="292" bestFit="1" customWidth="1"/>
    <col min="13575" max="13575" width="10.25" style="292" bestFit="1" customWidth="1"/>
    <col min="13576" max="13576" width="10.5" style="292" customWidth="1"/>
    <col min="13577" max="13577" width="13.5" style="292" bestFit="1" customWidth="1"/>
    <col min="13578" max="13578" width="10.5" style="292" customWidth="1"/>
    <col min="13579" max="13579" width="11.125" style="292" bestFit="1" customWidth="1"/>
    <col min="13580" max="13580" width="10.875" style="292" customWidth="1"/>
    <col min="13581" max="13581" width="11.125" style="292" bestFit="1" customWidth="1"/>
    <col min="13582" max="13582" width="10" style="292" bestFit="1" customWidth="1"/>
    <col min="13583" max="13583" width="11" style="292" customWidth="1"/>
    <col min="13584" max="13584" width="10" style="292" bestFit="1" customWidth="1"/>
    <col min="13585" max="13585" width="11.125" style="292" bestFit="1" customWidth="1"/>
    <col min="13586" max="13586" width="10" style="292" bestFit="1" customWidth="1"/>
    <col min="13587" max="13587" width="12" style="292" customWidth="1"/>
    <col min="13588" max="13588" width="9.25" style="292" customWidth="1"/>
    <col min="13589" max="13589" width="10.625" style="292" customWidth="1"/>
    <col min="13590" max="13590" width="12.125" style="292" bestFit="1" customWidth="1"/>
    <col min="13591" max="13591" width="9.75" style="292" bestFit="1" customWidth="1"/>
    <col min="13592" max="13594" width="11.25" style="292" customWidth="1"/>
    <col min="13595" max="13595" width="9" style="292"/>
    <col min="13596" max="13596" width="12.5" style="292" customWidth="1"/>
    <col min="13597" max="13597" width="13.875" style="292" customWidth="1"/>
    <col min="13598" max="13598" width="10.75" style="292" customWidth="1"/>
    <col min="13599" max="13599" width="11.875" style="292" customWidth="1"/>
    <col min="13600" max="13824" width="9" style="292"/>
    <col min="13825" max="13825" width="16" style="292" customWidth="1"/>
    <col min="13826" max="13826" width="12.375" style="292" bestFit="1" customWidth="1"/>
    <col min="13827" max="13827" width="10.375" style="292" customWidth="1"/>
    <col min="13828" max="13828" width="10.5" style="292" bestFit="1" customWidth="1"/>
    <col min="13829" max="13829" width="11.125" style="292" bestFit="1" customWidth="1"/>
    <col min="13830" max="13830" width="10" style="292" bestFit="1" customWidth="1"/>
    <col min="13831" max="13831" width="10.25" style="292" bestFit="1" customWidth="1"/>
    <col min="13832" max="13832" width="10.5" style="292" customWidth="1"/>
    <col min="13833" max="13833" width="13.5" style="292" bestFit="1" customWidth="1"/>
    <col min="13834" max="13834" width="10.5" style="292" customWidth="1"/>
    <col min="13835" max="13835" width="11.125" style="292" bestFit="1" customWidth="1"/>
    <col min="13836" max="13836" width="10.875" style="292" customWidth="1"/>
    <col min="13837" max="13837" width="11.125" style="292" bestFit="1" customWidth="1"/>
    <col min="13838" max="13838" width="10" style="292" bestFit="1" customWidth="1"/>
    <col min="13839" max="13839" width="11" style="292" customWidth="1"/>
    <col min="13840" max="13840" width="10" style="292" bestFit="1" customWidth="1"/>
    <col min="13841" max="13841" width="11.125" style="292" bestFit="1" customWidth="1"/>
    <col min="13842" max="13842" width="10" style="292" bestFit="1" customWidth="1"/>
    <col min="13843" max="13843" width="12" style="292" customWidth="1"/>
    <col min="13844" max="13844" width="9.25" style="292" customWidth="1"/>
    <col min="13845" max="13845" width="10.625" style="292" customWidth="1"/>
    <col min="13846" max="13846" width="12.125" style="292" bestFit="1" customWidth="1"/>
    <col min="13847" max="13847" width="9.75" style="292" bestFit="1" customWidth="1"/>
    <col min="13848" max="13850" width="11.25" style="292" customWidth="1"/>
    <col min="13851" max="13851" width="9" style="292"/>
    <col min="13852" max="13852" width="12.5" style="292" customWidth="1"/>
    <col min="13853" max="13853" width="13.875" style="292" customWidth="1"/>
    <col min="13854" max="13854" width="10.75" style="292" customWidth="1"/>
    <col min="13855" max="13855" width="11.875" style="292" customWidth="1"/>
    <col min="13856" max="14080" width="9" style="292"/>
    <col min="14081" max="14081" width="16" style="292" customWidth="1"/>
    <col min="14082" max="14082" width="12.375" style="292" bestFit="1" customWidth="1"/>
    <col min="14083" max="14083" width="10.375" style="292" customWidth="1"/>
    <col min="14084" max="14084" width="10.5" style="292" bestFit="1" customWidth="1"/>
    <col min="14085" max="14085" width="11.125" style="292" bestFit="1" customWidth="1"/>
    <col min="14086" max="14086" width="10" style="292" bestFit="1" customWidth="1"/>
    <col min="14087" max="14087" width="10.25" style="292" bestFit="1" customWidth="1"/>
    <col min="14088" max="14088" width="10.5" style="292" customWidth="1"/>
    <col min="14089" max="14089" width="13.5" style="292" bestFit="1" customWidth="1"/>
    <col min="14090" max="14090" width="10.5" style="292" customWidth="1"/>
    <col min="14091" max="14091" width="11.125" style="292" bestFit="1" customWidth="1"/>
    <col min="14092" max="14092" width="10.875" style="292" customWidth="1"/>
    <col min="14093" max="14093" width="11.125" style="292" bestFit="1" customWidth="1"/>
    <col min="14094" max="14094" width="10" style="292" bestFit="1" customWidth="1"/>
    <col min="14095" max="14095" width="11" style="292" customWidth="1"/>
    <col min="14096" max="14096" width="10" style="292" bestFit="1" customWidth="1"/>
    <col min="14097" max="14097" width="11.125" style="292" bestFit="1" customWidth="1"/>
    <col min="14098" max="14098" width="10" style="292" bestFit="1" customWidth="1"/>
    <col min="14099" max="14099" width="12" style="292" customWidth="1"/>
    <col min="14100" max="14100" width="9.25" style="292" customWidth="1"/>
    <col min="14101" max="14101" width="10.625" style="292" customWidth="1"/>
    <col min="14102" max="14102" width="12.125" style="292" bestFit="1" customWidth="1"/>
    <col min="14103" max="14103" width="9.75" style="292" bestFit="1" customWidth="1"/>
    <col min="14104" max="14106" width="11.25" style="292" customWidth="1"/>
    <col min="14107" max="14107" width="9" style="292"/>
    <col min="14108" max="14108" width="12.5" style="292" customWidth="1"/>
    <col min="14109" max="14109" width="13.875" style="292" customWidth="1"/>
    <col min="14110" max="14110" width="10.75" style="292" customWidth="1"/>
    <col min="14111" max="14111" width="11.875" style="292" customWidth="1"/>
    <col min="14112" max="14336" width="9" style="292"/>
    <col min="14337" max="14337" width="16" style="292" customWidth="1"/>
    <col min="14338" max="14338" width="12.375" style="292" bestFit="1" customWidth="1"/>
    <col min="14339" max="14339" width="10.375" style="292" customWidth="1"/>
    <col min="14340" max="14340" width="10.5" style="292" bestFit="1" customWidth="1"/>
    <col min="14341" max="14341" width="11.125" style="292" bestFit="1" customWidth="1"/>
    <col min="14342" max="14342" width="10" style="292" bestFit="1" customWidth="1"/>
    <col min="14343" max="14343" width="10.25" style="292" bestFit="1" customWidth="1"/>
    <col min="14344" max="14344" width="10.5" style="292" customWidth="1"/>
    <col min="14345" max="14345" width="13.5" style="292" bestFit="1" customWidth="1"/>
    <col min="14346" max="14346" width="10.5" style="292" customWidth="1"/>
    <col min="14347" max="14347" width="11.125" style="292" bestFit="1" customWidth="1"/>
    <col min="14348" max="14348" width="10.875" style="292" customWidth="1"/>
    <col min="14349" max="14349" width="11.125" style="292" bestFit="1" customWidth="1"/>
    <col min="14350" max="14350" width="10" style="292" bestFit="1" customWidth="1"/>
    <col min="14351" max="14351" width="11" style="292" customWidth="1"/>
    <col min="14352" max="14352" width="10" style="292" bestFit="1" customWidth="1"/>
    <col min="14353" max="14353" width="11.125" style="292" bestFit="1" customWidth="1"/>
    <col min="14354" max="14354" width="10" style="292" bestFit="1" customWidth="1"/>
    <col min="14355" max="14355" width="12" style="292" customWidth="1"/>
    <col min="14356" max="14356" width="9.25" style="292" customWidth="1"/>
    <col min="14357" max="14357" width="10.625" style="292" customWidth="1"/>
    <col min="14358" max="14358" width="12.125" style="292" bestFit="1" customWidth="1"/>
    <col min="14359" max="14359" width="9.75" style="292" bestFit="1" customWidth="1"/>
    <col min="14360" max="14362" width="11.25" style="292" customWidth="1"/>
    <col min="14363" max="14363" width="9" style="292"/>
    <col min="14364" max="14364" width="12.5" style="292" customWidth="1"/>
    <col min="14365" max="14365" width="13.875" style="292" customWidth="1"/>
    <col min="14366" max="14366" width="10.75" style="292" customWidth="1"/>
    <col min="14367" max="14367" width="11.875" style="292" customWidth="1"/>
    <col min="14368" max="14592" width="9" style="292"/>
    <col min="14593" max="14593" width="16" style="292" customWidth="1"/>
    <col min="14594" max="14594" width="12.375" style="292" bestFit="1" customWidth="1"/>
    <col min="14595" max="14595" width="10.375" style="292" customWidth="1"/>
    <col min="14596" max="14596" width="10.5" style="292" bestFit="1" customWidth="1"/>
    <col min="14597" max="14597" width="11.125" style="292" bestFit="1" customWidth="1"/>
    <col min="14598" max="14598" width="10" style="292" bestFit="1" customWidth="1"/>
    <col min="14599" max="14599" width="10.25" style="292" bestFit="1" customWidth="1"/>
    <col min="14600" max="14600" width="10.5" style="292" customWidth="1"/>
    <col min="14601" max="14601" width="13.5" style="292" bestFit="1" customWidth="1"/>
    <col min="14602" max="14602" width="10.5" style="292" customWidth="1"/>
    <col min="14603" max="14603" width="11.125" style="292" bestFit="1" customWidth="1"/>
    <col min="14604" max="14604" width="10.875" style="292" customWidth="1"/>
    <col min="14605" max="14605" width="11.125" style="292" bestFit="1" customWidth="1"/>
    <col min="14606" max="14606" width="10" style="292" bestFit="1" customWidth="1"/>
    <col min="14607" max="14607" width="11" style="292" customWidth="1"/>
    <col min="14608" max="14608" width="10" style="292" bestFit="1" customWidth="1"/>
    <col min="14609" max="14609" width="11.125" style="292" bestFit="1" customWidth="1"/>
    <col min="14610" max="14610" width="10" style="292" bestFit="1" customWidth="1"/>
    <col min="14611" max="14611" width="12" style="292" customWidth="1"/>
    <col min="14612" max="14612" width="9.25" style="292" customWidth="1"/>
    <col min="14613" max="14613" width="10.625" style="292" customWidth="1"/>
    <col min="14614" max="14614" width="12.125" style="292" bestFit="1" customWidth="1"/>
    <col min="14615" max="14615" width="9.75" style="292" bestFit="1" customWidth="1"/>
    <col min="14616" max="14618" width="11.25" style="292" customWidth="1"/>
    <col min="14619" max="14619" width="9" style="292"/>
    <col min="14620" max="14620" width="12.5" style="292" customWidth="1"/>
    <col min="14621" max="14621" width="13.875" style="292" customWidth="1"/>
    <col min="14622" max="14622" width="10.75" style="292" customWidth="1"/>
    <col min="14623" max="14623" width="11.875" style="292" customWidth="1"/>
    <col min="14624" max="14848" width="9" style="292"/>
    <col min="14849" max="14849" width="16" style="292" customWidth="1"/>
    <col min="14850" max="14850" width="12.375" style="292" bestFit="1" customWidth="1"/>
    <col min="14851" max="14851" width="10.375" style="292" customWidth="1"/>
    <col min="14852" max="14852" width="10.5" style="292" bestFit="1" customWidth="1"/>
    <col min="14853" max="14853" width="11.125" style="292" bestFit="1" customWidth="1"/>
    <col min="14854" max="14854" width="10" style="292" bestFit="1" customWidth="1"/>
    <col min="14855" max="14855" width="10.25" style="292" bestFit="1" customWidth="1"/>
    <col min="14856" max="14856" width="10.5" style="292" customWidth="1"/>
    <col min="14857" max="14857" width="13.5" style="292" bestFit="1" customWidth="1"/>
    <col min="14858" max="14858" width="10.5" style="292" customWidth="1"/>
    <col min="14859" max="14859" width="11.125" style="292" bestFit="1" customWidth="1"/>
    <col min="14860" max="14860" width="10.875" style="292" customWidth="1"/>
    <col min="14861" max="14861" width="11.125" style="292" bestFit="1" customWidth="1"/>
    <col min="14862" max="14862" width="10" style="292" bestFit="1" customWidth="1"/>
    <col min="14863" max="14863" width="11" style="292" customWidth="1"/>
    <col min="14864" max="14864" width="10" style="292" bestFit="1" customWidth="1"/>
    <col min="14865" max="14865" width="11.125" style="292" bestFit="1" customWidth="1"/>
    <col min="14866" max="14866" width="10" style="292" bestFit="1" customWidth="1"/>
    <col min="14867" max="14867" width="12" style="292" customWidth="1"/>
    <col min="14868" max="14868" width="9.25" style="292" customWidth="1"/>
    <col min="14869" max="14869" width="10.625" style="292" customWidth="1"/>
    <col min="14870" max="14870" width="12.125" style="292" bestFit="1" customWidth="1"/>
    <col min="14871" max="14871" width="9.75" style="292" bestFit="1" customWidth="1"/>
    <col min="14872" max="14874" width="11.25" style="292" customWidth="1"/>
    <col min="14875" max="14875" width="9" style="292"/>
    <col min="14876" max="14876" width="12.5" style="292" customWidth="1"/>
    <col min="14877" max="14877" width="13.875" style="292" customWidth="1"/>
    <col min="14878" max="14878" width="10.75" style="292" customWidth="1"/>
    <col min="14879" max="14879" width="11.875" style="292" customWidth="1"/>
    <col min="14880" max="15104" width="9" style="292"/>
    <col min="15105" max="15105" width="16" style="292" customWidth="1"/>
    <col min="15106" max="15106" width="12.375" style="292" bestFit="1" customWidth="1"/>
    <col min="15107" max="15107" width="10.375" style="292" customWidth="1"/>
    <col min="15108" max="15108" width="10.5" style="292" bestFit="1" customWidth="1"/>
    <col min="15109" max="15109" width="11.125" style="292" bestFit="1" customWidth="1"/>
    <col min="15110" max="15110" width="10" style="292" bestFit="1" customWidth="1"/>
    <col min="15111" max="15111" width="10.25" style="292" bestFit="1" customWidth="1"/>
    <col min="15112" max="15112" width="10.5" style="292" customWidth="1"/>
    <col min="15113" max="15113" width="13.5" style="292" bestFit="1" customWidth="1"/>
    <col min="15114" max="15114" width="10.5" style="292" customWidth="1"/>
    <col min="15115" max="15115" width="11.125" style="292" bestFit="1" customWidth="1"/>
    <col min="15116" max="15116" width="10.875" style="292" customWidth="1"/>
    <col min="15117" max="15117" width="11.125" style="292" bestFit="1" customWidth="1"/>
    <col min="15118" max="15118" width="10" style="292" bestFit="1" customWidth="1"/>
    <col min="15119" max="15119" width="11" style="292" customWidth="1"/>
    <col min="15120" max="15120" width="10" style="292" bestFit="1" customWidth="1"/>
    <col min="15121" max="15121" width="11.125" style="292" bestFit="1" customWidth="1"/>
    <col min="15122" max="15122" width="10" style="292" bestFit="1" customWidth="1"/>
    <col min="15123" max="15123" width="12" style="292" customWidth="1"/>
    <col min="15124" max="15124" width="9.25" style="292" customWidth="1"/>
    <col min="15125" max="15125" width="10.625" style="292" customWidth="1"/>
    <col min="15126" max="15126" width="12.125" style="292" bestFit="1" customWidth="1"/>
    <col min="15127" max="15127" width="9.75" style="292" bestFit="1" customWidth="1"/>
    <col min="15128" max="15130" width="11.25" style="292" customWidth="1"/>
    <col min="15131" max="15131" width="9" style="292"/>
    <col min="15132" max="15132" width="12.5" style="292" customWidth="1"/>
    <col min="15133" max="15133" width="13.875" style="292" customWidth="1"/>
    <col min="15134" max="15134" width="10.75" style="292" customWidth="1"/>
    <col min="15135" max="15135" width="11.875" style="292" customWidth="1"/>
    <col min="15136" max="15360" width="9" style="292"/>
    <col min="15361" max="15361" width="16" style="292" customWidth="1"/>
    <col min="15362" max="15362" width="12.375" style="292" bestFit="1" customWidth="1"/>
    <col min="15363" max="15363" width="10.375" style="292" customWidth="1"/>
    <col min="15364" max="15364" width="10.5" style="292" bestFit="1" customWidth="1"/>
    <col min="15365" max="15365" width="11.125" style="292" bestFit="1" customWidth="1"/>
    <col min="15366" max="15366" width="10" style="292" bestFit="1" customWidth="1"/>
    <col min="15367" max="15367" width="10.25" style="292" bestFit="1" customWidth="1"/>
    <col min="15368" max="15368" width="10.5" style="292" customWidth="1"/>
    <col min="15369" max="15369" width="13.5" style="292" bestFit="1" customWidth="1"/>
    <col min="15370" max="15370" width="10.5" style="292" customWidth="1"/>
    <col min="15371" max="15371" width="11.125" style="292" bestFit="1" customWidth="1"/>
    <col min="15372" max="15372" width="10.875" style="292" customWidth="1"/>
    <col min="15373" max="15373" width="11.125" style="292" bestFit="1" customWidth="1"/>
    <col min="15374" max="15374" width="10" style="292" bestFit="1" customWidth="1"/>
    <col min="15375" max="15375" width="11" style="292" customWidth="1"/>
    <col min="15376" max="15376" width="10" style="292" bestFit="1" customWidth="1"/>
    <col min="15377" max="15377" width="11.125" style="292" bestFit="1" customWidth="1"/>
    <col min="15378" max="15378" width="10" style="292" bestFit="1" customWidth="1"/>
    <col min="15379" max="15379" width="12" style="292" customWidth="1"/>
    <col min="15380" max="15380" width="9.25" style="292" customWidth="1"/>
    <col min="15381" max="15381" width="10.625" style="292" customWidth="1"/>
    <col min="15382" max="15382" width="12.125" style="292" bestFit="1" customWidth="1"/>
    <col min="15383" max="15383" width="9.75" style="292" bestFit="1" customWidth="1"/>
    <col min="15384" max="15386" width="11.25" style="292" customWidth="1"/>
    <col min="15387" max="15387" width="9" style="292"/>
    <col min="15388" max="15388" width="12.5" style="292" customWidth="1"/>
    <col min="15389" max="15389" width="13.875" style="292" customWidth="1"/>
    <col min="15390" max="15390" width="10.75" style="292" customWidth="1"/>
    <col min="15391" max="15391" width="11.875" style="292" customWidth="1"/>
    <col min="15392" max="15616" width="9" style="292"/>
    <col min="15617" max="15617" width="16" style="292" customWidth="1"/>
    <col min="15618" max="15618" width="12.375" style="292" bestFit="1" customWidth="1"/>
    <col min="15619" max="15619" width="10.375" style="292" customWidth="1"/>
    <col min="15620" max="15620" width="10.5" style="292" bestFit="1" customWidth="1"/>
    <col min="15621" max="15621" width="11.125" style="292" bestFit="1" customWidth="1"/>
    <col min="15622" max="15622" width="10" style="292" bestFit="1" customWidth="1"/>
    <col min="15623" max="15623" width="10.25" style="292" bestFit="1" customWidth="1"/>
    <col min="15624" max="15624" width="10.5" style="292" customWidth="1"/>
    <col min="15625" max="15625" width="13.5" style="292" bestFit="1" customWidth="1"/>
    <col min="15626" max="15626" width="10.5" style="292" customWidth="1"/>
    <col min="15627" max="15627" width="11.125" style="292" bestFit="1" customWidth="1"/>
    <col min="15628" max="15628" width="10.875" style="292" customWidth="1"/>
    <col min="15629" max="15629" width="11.125" style="292" bestFit="1" customWidth="1"/>
    <col min="15630" max="15630" width="10" style="292" bestFit="1" customWidth="1"/>
    <col min="15631" max="15631" width="11" style="292" customWidth="1"/>
    <col min="15632" max="15632" width="10" style="292" bestFit="1" customWidth="1"/>
    <col min="15633" max="15633" width="11.125" style="292" bestFit="1" customWidth="1"/>
    <col min="15634" max="15634" width="10" style="292" bestFit="1" customWidth="1"/>
    <col min="15635" max="15635" width="12" style="292" customWidth="1"/>
    <col min="15636" max="15636" width="9.25" style="292" customWidth="1"/>
    <col min="15637" max="15637" width="10.625" style="292" customWidth="1"/>
    <col min="15638" max="15638" width="12.125" style="292" bestFit="1" customWidth="1"/>
    <col min="15639" max="15639" width="9.75" style="292" bestFit="1" customWidth="1"/>
    <col min="15640" max="15642" width="11.25" style="292" customWidth="1"/>
    <col min="15643" max="15643" width="9" style="292"/>
    <col min="15644" max="15644" width="12.5" style="292" customWidth="1"/>
    <col min="15645" max="15645" width="13.875" style="292" customWidth="1"/>
    <col min="15646" max="15646" width="10.75" style="292" customWidth="1"/>
    <col min="15647" max="15647" width="11.875" style="292" customWidth="1"/>
    <col min="15648" max="15872" width="9" style="292"/>
    <col min="15873" max="15873" width="16" style="292" customWidth="1"/>
    <col min="15874" max="15874" width="12.375" style="292" bestFit="1" customWidth="1"/>
    <col min="15875" max="15875" width="10.375" style="292" customWidth="1"/>
    <col min="15876" max="15876" width="10.5" style="292" bestFit="1" customWidth="1"/>
    <col min="15877" max="15877" width="11.125" style="292" bestFit="1" customWidth="1"/>
    <col min="15878" max="15878" width="10" style="292" bestFit="1" customWidth="1"/>
    <col min="15879" max="15879" width="10.25" style="292" bestFit="1" customWidth="1"/>
    <col min="15880" max="15880" width="10.5" style="292" customWidth="1"/>
    <col min="15881" max="15881" width="13.5" style="292" bestFit="1" customWidth="1"/>
    <col min="15882" max="15882" width="10.5" style="292" customWidth="1"/>
    <col min="15883" max="15883" width="11.125" style="292" bestFit="1" customWidth="1"/>
    <col min="15884" max="15884" width="10.875" style="292" customWidth="1"/>
    <col min="15885" max="15885" width="11.125" style="292" bestFit="1" customWidth="1"/>
    <col min="15886" max="15886" width="10" style="292" bestFit="1" customWidth="1"/>
    <col min="15887" max="15887" width="11" style="292" customWidth="1"/>
    <col min="15888" max="15888" width="10" style="292" bestFit="1" customWidth="1"/>
    <col min="15889" max="15889" width="11.125" style="292" bestFit="1" customWidth="1"/>
    <col min="15890" max="15890" width="10" style="292" bestFit="1" customWidth="1"/>
    <col min="15891" max="15891" width="12" style="292" customWidth="1"/>
    <col min="15892" max="15892" width="9.25" style="292" customWidth="1"/>
    <col min="15893" max="15893" width="10.625" style="292" customWidth="1"/>
    <col min="15894" max="15894" width="12.125" style="292" bestFit="1" customWidth="1"/>
    <col min="15895" max="15895" width="9.75" style="292" bestFit="1" customWidth="1"/>
    <col min="15896" max="15898" width="11.25" style="292" customWidth="1"/>
    <col min="15899" max="15899" width="9" style="292"/>
    <col min="15900" max="15900" width="12.5" style="292" customWidth="1"/>
    <col min="15901" max="15901" width="13.875" style="292" customWidth="1"/>
    <col min="15902" max="15902" width="10.75" style="292" customWidth="1"/>
    <col min="15903" max="15903" width="11.875" style="292" customWidth="1"/>
    <col min="15904" max="16128" width="9" style="292"/>
    <col min="16129" max="16129" width="16" style="292" customWidth="1"/>
    <col min="16130" max="16130" width="12.375" style="292" bestFit="1" customWidth="1"/>
    <col min="16131" max="16131" width="10.375" style="292" customWidth="1"/>
    <col min="16132" max="16132" width="10.5" style="292" bestFit="1" customWidth="1"/>
    <col min="16133" max="16133" width="11.125" style="292" bestFit="1" customWidth="1"/>
    <col min="16134" max="16134" width="10" style="292" bestFit="1" customWidth="1"/>
    <col min="16135" max="16135" width="10.25" style="292" bestFit="1" customWidth="1"/>
    <col min="16136" max="16136" width="10.5" style="292" customWidth="1"/>
    <col min="16137" max="16137" width="13.5" style="292" bestFit="1" customWidth="1"/>
    <col min="16138" max="16138" width="10.5" style="292" customWidth="1"/>
    <col min="16139" max="16139" width="11.125" style="292" bestFit="1" customWidth="1"/>
    <col min="16140" max="16140" width="10.875" style="292" customWidth="1"/>
    <col min="16141" max="16141" width="11.125" style="292" bestFit="1" customWidth="1"/>
    <col min="16142" max="16142" width="10" style="292" bestFit="1" customWidth="1"/>
    <col min="16143" max="16143" width="11" style="292" customWidth="1"/>
    <col min="16144" max="16144" width="10" style="292" bestFit="1" customWidth="1"/>
    <col min="16145" max="16145" width="11.125" style="292" bestFit="1" customWidth="1"/>
    <col min="16146" max="16146" width="10" style="292" bestFit="1" customWidth="1"/>
    <col min="16147" max="16147" width="12" style="292" customWidth="1"/>
    <col min="16148" max="16148" width="9.25" style="292" customWidth="1"/>
    <col min="16149" max="16149" width="10.625" style="292" customWidth="1"/>
    <col min="16150" max="16150" width="12.125" style="292" bestFit="1" customWidth="1"/>
    <col min="16151" max="16151" width="9.75" style="292" bestFit="1" customWidth="1"/>
    <col min="16152" max="16154" width="11.25" style="292" customWidth="1"/>
    <col min="16155" max="16155" width="9" style="292"/>
    <col min="16156" max="16156" width="12.5" style="292" customWidth="1"/>
    <col min="16157" max="16157" width="13.875" style="292" customWidth="1"/>
    <col min="16158" max="16158" width="10.75" style="292" customWidth="1"/>
    <col min="16159" max="16159" width="11.875" style="292" customWidth="1"/>
    <col min="16160" max="16384" width="9" style="292"/>
  </cols>
  <sheetData>
    <row r="1" spans="1:31" ht="51" customHeight="1" thickBot="1">
      <c r="A1" s="443" t="s">
        <v>403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5"/>
    </row>
    <row r="2" spans="1:31" s="295" customFormat="1" ht="36" customHeight="1" thickBot="1">
      <c r="A2" s="326" t="s">
        <v>351</v>
      </c>
      <c r="B2" s="446" t="s">
        <v>352</v>
      </c>
      <c r="C2" s="446"/>
      <c r="D2" s="446" t="s">
        <v>353</v>
      </c>
      <c r="E2" s="446"/>
      <c r="F2" s="446" t="s">
        <v>4</v>
      </c>
      <c r="G2" s="446"/>
      <c r="H2" s="446" t="s">
        <v>354</v>
      </c>
      <c r="I2" s="446"/>
      <c r="J2" s="446" t="s">
        <v>355</v>
      </c>
      <c r="K2" s="446"/>
      <c r="L2" s="446" t="s">
        <v>356</v>
      </c>
      <c r="M2" s="446"/>
      <c r="N2" s="446" t="s">
        <v>357</v>
      </c>
      <c r="O2" s="446"/>
      <c r="P2" s="446" t="s">
        <v>358</v>
      </c>
      <c r="Q2" s="446"/>
      <c r="R2" s="446" t="s">
        <v>359</v>
      </c>
      <c r="S2" s="446"/>
      <c r="T2" s="446" t="s">
        <v>75</v>
      </c>
      <c r="U2" s="446"/>
      <c r="V2" s="451" t="s">
        <v>134</v>
      </c>
      <c r="W2" s="452"/>
      <c r="X2" s="294" t="s">
        <v>360</v>
      </c>
      <c r="Y2" s="447" t="s">
        <v>361</v>
      </c>
      <c r="Z2" s="446"/>
      <c r="AB2" s="294"/>
      <c r="AC2" s="294"/>
      <c r="AD2" s="294"/>
      <c r="AE2" s="294"/>
    </row>
    <row r="3" spans="1:31">
      <c r="A3" s="296"/>
      <c r="B3" s="297" t="s">
        <v>252</v>
      </c>
      <c r="C3" s="297" t="s">
        <v>362</v>
      </c>
      <c r="D3" s="297" t="s">
        <v>252</v>
      </c>
      <c r="E3" s="297" t="str">
        <f>C3</f>
        <v>MA</v>
      </c>
      <c r="F3" s="297" t="s">
        <v>252</v>
      </c>
      <c r="G3" s="297" t="str">
        <f>E3</f>
        <v>MA</v>
      </c>
      <c r="H3" s="297" t="s">
        <v>252</v>
      </c>
      <c r="I3" s="297" t="str">
        <f>G3</f>
        <v>MA</v>
      </c>
      <c r="J3" s="297" t="s">
        <v>252</v>
      </c>
      <c r="K3" s="297" t="str">
        <f>I3</f>
        <v>MA</v>
      </c>
      <c r="L3" s="297" t="s">
        <v>252</v>
      </c>
      <c r="M3" s="297" t="str">
        <f>K3</f>
        <v>MA</v>
      </c>
      <c r="N3" s="297" t="s">
        <v>252</v>
      </c>
      <c r="O3" s="297" t="str">
        <f>M3</f>
        <v>MA</v>
      </c>
      <c r="P3" s="297" t="s">
        <v>252</v>
      </c>
      <c r="Q3" s="297" t="str">
        <f>O3</f>
        <v>MA</v>
      </c>
      <c r="R3" s="297" t="s">
        <v>252</v>
      </c>
      <c r="S3" s="297" t="str">
        <f>Q3</f>
        <v>MA</v>
      </c>
      <c r="T3" s="297" t="s">
        <v>252</v>
      </c>
      <c r="U3" s="297" t="str">
        <f>S3</f>
        <v>MA</v>
      </c>
      <c r="V3" s="331" t="s">
        <v>252</v>
      </c>
      <c r="W3" s="332" t="str">
        <f>U3</f>
        <v>MA</v>
      </c>
      <c r="Y3" s="297" t="s">
        <v>252</v>
      </c>
      <c r="Z3" s="297" t="s">
        <v>362</v>
      </c>
    </row>
    <row r="4" spans="1:31">
      <c r="A4" s="296" t="s">
        <v>277</v>
      </c>
      <c r="B4" s="298">
        <v>887880</v>
      </c>
      <c r="C4" s="298">
        <v>119935.86768171797</v>
      </c>
      <c r="D4" s="298">
        <v>568517</v>
      </c>
      <c r="E4" s="298">
        <v>12742.287476200469</v>
      </c>
      <c r="F4" s="298">
        <v>1457136.5</v>
      </c>
      <c r="G4" s="298">
        <v>298396.55923561833</v>
      </c>
      <c r="H4" s="298">
        <v>76930.866666666596</v>
      </c>
      <c r="I4" s="298">
        <v>9439.4676574534205</v>
      </c>
      <c r="J4" s="298">
        <v>345823.49999999901</v>
      </c>
      <c r="K4" s="298">
        <v>37055.550354309402</v>
      </c>
      <c r="L4" s="298">
        <v>1085991.9999999991</v>
      </c>
      <c r="M4" s="298">
        <v>110834.6965412603</v>
      </c>
      <c r="N4" s="298">
        <v>479493.15790226898</v>
      </c>
      <c r="O4" s="298">
        <v>74232.95112966164</v>
      </c>
      <c r="P4" s="298">
        <v>713126.49064154876</v>
      </c>
      <c r="Q4" s="298">
        <v>92858.436469684035</v>
      </c>
      <c r="R4" s="298">
        <v>1578263.2700017761</v>
      </c>
      <c r="S4" s="298">
        <v>230694.89303093179</v>
      </c>
      <c r="T4" s="298">
        <v>1015292.5724039701</v>
      </c>
      <c r="U4" s="298">
        <v>153872.12461321699</v>
      </c>
      <c r="V4" s="333">
        <f>B4+D4+F4+H4+J4+L4+N4+P4+R4+T4</f>
        <v>8208455.3576162299</v>
      </c>
      <c r="W4" s="334">
        <f>C4+E4+G4+I4+K4+M4+O4+Q4+S4+U4</f>
        <v>1140062.8341900543</v>
      </c>
      <c r="Y4" s="299">
        <f>V4-T4</f>
        <v>7193162.7852122597</v>
      </c>
      <c r="Z4" s="299">
        <f>W4-U4</f>
        <v>986190.70957683737</v>
      </c>
      <c r="AB4" s="300"/>
    </row>
    <row r="5" spans="1:31">
      <c r="A5" s="296">
        <f>A4+1</f>
        <v>1997</v>
      </c>
      <c r="B5" s="298">
        <v>881959.66835509939</v>
      </c>
      <c r="C5" s="298">
        <v>119290.18110978509</v>
      </c>
      <c r="D5" s="298">
        <v>552238</v>
      </c>
      <c r="E5" s="298">
        <v>10731.787421222823</v>
      </c>
      <c r="F5" s="298">
        <v>1396428.75</v>
      </c>
      <c r="G5" s="298">
        <v>285072.37944149098</v>
      </c>
      <c r="H5" s="298">
        <v>77385.041563400897</v>
      </c>
      <c r="I5" s="298">
        <v>9522.6779438983594</v>
      </c>
      <c r="J5" s="298">
        <v>357720.373396435</v>
      </c>
      <c r="K5" s="298">
        <v>38356.854936669399</v>
      </c>
      <c r="L5" s="298">
        <v>1120388.752448638</v>
      </c>
      <c r="M5" s="298">
        <v>114457.70617466551</v>
      </c>
      <c r="N5" s="298">
        <v>486881.9562667124</v>
      </c>
      <c r="O5" s="298">
        <v>75572.062998369976</v>
      </c>
      <c r="P5" s="298">
        <v>747970.50304507464</v>
      </c>
      <c r="Q5" s="298">
        <v>97744.032932021248</v>
      </c>
      <c r="R5" s="298">
        <v>1683664.1672197913</v>
      </c>
      <c r="S5" s="298">
        <v>247302.37172638733</v>
      </c>
      <c r="T5" s="298">
        <v>1003185.49764244</v>
      </c>
      <c r="U5" s="298">
        <v>151949.31837968199</v>
      </c>
      <c r="V5" s="333">
        <f t="shared" ref="V5:V19" si="0">B5+D5+F5+H5+J5+L5+N5+P5+R5+T5</f>
        <v>8307822.709937592</v>
      </c>
      <c r="W5" s="334">
        <f t="shared" ref="W5:W19" si="1">C5+E5+G5+I5+K5+M5+O5+Q5+S5+U5</f>
        <v>1149999.3730641925</v>
      </c>
      <c r="X5" s="301">
        <f>(W5-W4)/W4*100</f>
        <v>0.87157817763592449</v>
      </c>
      <c r="Y5" s="299">
        <f>V5-T5</f>
        <v>7304637.2122951522</v>
      </c>
      <c r="Z5" s="299">
        <f>W5-U5</f>
        <v>998050.05468451045</v>
      </c>
      <c r="AB5" s="300"/>
    </row>
    <row r="6" spans="1:31">
      <c r="A6" s="296">
        <f t="shared" ref="A6:A19" si="2">A5+1</f>
        <v>1998</v>
      </c>
      <c r="B6" s="298">
        <v>867918.28202358843</v>
      </c>
      <c r="C6" s="298">
        <v>117430.64429312802</v>
      </c>
      <c r="D6" s="298">
        <v>465851</v>
      </c>
      <c r="E6" s="298">
        <v>9516.893896990121</v>
      </c>
      <c r="F6" s="298">
        <v>1350784.25</v>
      </c>
      <c r="G6" s="298">
        <v>273390.6114832366</v>
      </c>
      <c r="H6" s="298">
        <v>75323.283563726494</v>
      </c>
      <c r="I6" s="298">
        <v>9144.5513723677286</v>
      </c>
      <c r="J6" s="298">
        <v>336634.99303320103</v>
      </c>
      <c r="K6" s="298">
        <v>35789.493037167202</v>
      </c>
      <c r="L6" s="298">
        <v>1189534.573594999</v>
      </c>
      <c r="M6" s="298">
        <v>120378.1023140832</v>
      </c>
      <c r="N6" s="298">
        <v>461107.74657547672</v>
      </c>
      <c r="O6" s="298">
        <v>71429.169121283077</v>
      </c>
      <c r="P6" s="298">
        <v>773497.71508581564</v>
      </c>
      <c r="Q6" s="298">
        <v>99537.29869398108</v>
      </c>
      <c r="R6" s="298">
        <v>1772084.1767249089</v>
      </c>
      <c r="S6" s="298">
        <v>260368.39675729448</v>
      </c>
      <c r="T6" s="298">
        <v>991531.26178995101</v>
      </c>
      <c r="U6" s="298">
        <v>148994.34064736601</v>
      </c>
      <c r="V6" s="333">
        <f t="shared" si="0"/>
        <v>8284267.2823916674</v>
      </c>
      <c r="W6" s="334">
        <f t="shared" si="1"/>
        <v>1145979.5016168975</v>
      </c>
      <c r="X6" s="301">
        <f t="shared" ref="X6:X11" si="3">(W6-W5)/W5*100</f>
        <v>-0.34955422945874626</v>
      </c>
      <c r="Y6" s="299">
        <f t="shared" ref="Y6:Y11" si="4">V6-T6</f>
        <v>7292736.0206017159</v>
      </c>
      <c r="Z6" s="299">
        <f t="shared" ref="Z6:Z11" si="5">W6-U6</f>
        <v>996985.16096953151</v>
      </c>
      <c r="AB6" s="300"/>
    </row>
    <row r="7" spans="1:31">
      <c r="A7" s="296">
        <f t="shared" si="2"/>
        <v>1999</v>
      </c>
      <c r="B7" s="298">
        <v>866463.02158686297</v>
      </c>
      <c r="C7" s="298">
        <v>117279.424387804</v>
      </c>
      <c r="D7" s="298">
        <v>436254</v>
      </c>
      <c r="E7" s="298">
        <v>7319.5869299242986</v>
      </c>
      <c r="F7" s="298">
        <v>1315722.5</v>
      </c>
      <c r="G7" s="298">
        <v>264821.89443517354</v>
      </c>
      <c r="H7" s="298">
        <v>74493.772782346598</v>
      </c>
      <c r="I7" s="298">
        <v>8938.1365047696891</v>
      </c>
      <c r="J7" s="298">
        <v>332065.66316725098</v>
      </c>
      <c r="K7" s="298">
        <v>34509.148990386602</v>
      </c>
      <c r="L7" s="298">
        <v>1307911.2921040689</v>
      </c>
      <c r="M7" s="298">
        <v>129366.1600797634</v>
      </c>
      <c r="N7" s="298">
        <v>462724.36584651581</v>
      </c>
      <c r="O7" s="298">
        <v>70142.254834609921</v>
      </c>
      <c r="P7" s="298">
        <v>812416.76986082271</v>
      </c>
      <c r="Q7" s="298">
        <v>101702.16094787561</v>
      </c>
      <c r="R7" s="298">
        <v>1837006.2089884591</v>
      </c>
      <c r="S7" s="298">
        <v>269829.03119981126</v>
      </c>
      <c r="T7" s="298">
        <v>985259.982890905</v>
      </c>
      <c r="U7" s="298">
        <v>146600.04329305899</v>
      </c>
      <c r="V7" s="333">
        <f t="shared" si="0"/>
        <v>8430317.5772272311</v>
      </c>
      <c r="W7" s="334">
        <f t="shared" si="1"/>
        <v>1150507.8416031771</v>
      </c>
      <c r="X7" s="301">
        <f t="shared" si="3"/>
        <v>0.395150173270153</v>
      </c>
      <c r="Y7" s="299">
        <f t="shared" si="4"/>
        <v>7445057.5943363262</v>
      </c>
      <c r="Z7" s="299">
        <f t="shared" si="5"/>
        <v>1003907.7983101181</v>
      </c>
      <c r="AB7" s="300"/>
    </row>
    <row r="8" spans="1:31">
      <c r="A8" s="296">
        <f t="shared" si="2"/>
        <v>2000</v>
      </c>
      <c r="B8" s="298">
        <v>856696.90770332317</v>
      </c>
      <c r="C8" s="298">
        <v>116128.46970208004</v>
      </c>
      <c r="D8" s="298">
        <v>417717</v>
      </c>
      <c r="E8" s="298">
        <v>6322.7164380931035</v>
      </c>
      <c r="F8" s="298">
        <v>1296165.5</v>
      </c>
      <c r="G8" s="298">
        <v>260883.82872225033</v>
      </c>
      <c r="H8" s="298">
        <v>74502.363618444593</v>
      </c>
      <c r="I8" s="298">
        <v>8875.0146364565098</v>
      </c>
      <c r="J8" s="298">
        <v>350824.83923509298</v>
      </c>
      <c r="K8" s="298">
        <v>36068.178659369201</v>
      </c>
      <c r="L8" s="298">
        <v>1300427.180565225</v>
      </c>
      <c r="M8" s="298">
        <v>126760.83460505809</v>
      </c>
      <c r="N8" s="298">
        <v>456984.3153306829</v>
      </c>
      <c r="O8" s="298">
        <v>67634.96490106752</v>
      </c>
      <c r="P8" s="298">
        <v>852256.59036990581</v>
      </c>
      <c r="Q8" s="298">
        <v>105587.71165003715</v>
      </c>
      <c r="R8" s="298">
        <v>1892891.0574619232</v>
      </c>
      <c r="S8" s="298">
        <v>278101.6820318125</v>
      </c>
      <c r="T8" s="298">
        <v>968553.76550835103</v>
      </c>
      <c r="U8" s="298">
        <v>143196.29415061101</v>
      </c>
      <c r="V8" s="333">
        <f t="shared" si="0"/>
        <v>8467019.5197929498</v>
      </c>
      <c r="W8" s="334">
        <f t="shared" si="1"/>
        <v>1149559.6954968355</v>
      </c>
      <c r="X8" s="301">
        <f t="shared" si="3"/>
        <v>-8.2411094653681377E-2</v>
      </c>
      <c r="Y8" s="299">
        <f t="shared" si="4"/>
        <v>7498465.7542845989</v>
      </c>
      <c r="Z8" s="299">
        <f t="shared" si="5"/>
        <v>1006363.4013462245</v>
      </c>
      <c r="AB8" s="300"/>
    </row>
    <row r="9" spans="1:31">
      <c r="A9" s="296">
        <f t="shared" si="2"/>
        <v>2001</v>
      </c>
      <c r="B9" s="298">
        <v>916347.59960488614</v>
      </c>
      <c r="C9" s="298">
        <v>123006.07532680075</v>
      </c>
      <c r="D9" s="298">
        <v>406654</v>
      </c>
      <c r="E9" s="298">
        <v>5755.177916106275</v>
      </c>
      <c r="F9" s="298">
        <v>1262623.25</v>
      </c>
      <c r="G9" s="298">
        <v>253856.85239889982</v>
      </c>
      <c r="H9" s="298">
        <v>74310.355559049596</v>
      </c>
      <c r="I9" s="298">
        <v>8769.8622854995901</v>
      </c>
      <c r="J9" s="298">
        <v>336682.716803369</v>
      </c>
      <c r="K9" s="298">
        <v>34804.010109925599</v>
      </c>
      <c r="L9" s="298">
        <v>1319587.552519758</v>
      </c>
      <c r="M9" s="298">
        <v>129071.43843007152</v>
      </c>
      <c r="N9" s="298">
        <v>440380.52045571251</v>
      </c>
      <c r="O9" s="298">
        <v>64794.466175898524</v>
      </c>
      <c r="P9" s="298">
        <v>931090.71408812481</v>
      </c>
      <c r="Q9" s="298">
        <v>114349.94897125987</v>
      </c>
      <c r="R9" s="298">
        <v>1879377.605724518</v>
      </c>
      <c r="S9" s="298">
        <v>273448.78320874879</v>
      </c>
      <c r="T9" s="298">
        <v>953808.48375985306</v>
      </c>
      <c r="U9" s="298">
        <v>139474.49875532201</v>
      </c>
      <c r="V9" s="333">
        <f t="shared" si="0"/>
        <v>8520862.7985152714</v>
      </c>
      <c r="W9" s="334">
        <f t="shared" si="1"/>
        <v>1147331.1135785328</v>
      </c>
      <c r="X9" s="301">
        <f t="shared" si="3"/>
        <v>-0.19386395739453144</v>
      </c>
      <c r="Y9" s="299">
        <f t="shared" si="4"/>
        <v>7567054.3147554183</v>
      </c>
      <c r="Z9" s="299">
        <f t="shared" si="5"/>
        <v>1007856.6148232108</v>
      </c>
      <c r="AB9" s="300"/>
    </row>
    <row r="10" spans="1:31">
      <c r="A10" s="296">
        <f t="shared" si="2"/>
        <v>2002</v>
      </c>
      <c r="B10" s="298">
        <v>934015.47237175959</v>
      </c>
      <c r="C10" s="298">
        <v>125404.99866634283</v>
      </c>
      <c r="D10" s="298">
        <v>416153</v>
      </c>
      <c r="E10" s="298">
        <v>5780.2124264852091</v>
      </c>
      <c r="F10" s="298">
        <v>1270646.9999999991</v>
      </c>
      <c r="G10" s="298">
        <v>254839.74540173629</v>
      </c>
      <c r="H10" s="298">
        <v>74998.981854684607</v>
      </c>
      <c r="I10" s="298">
        <v>8944.5008620238896</v>
      </c>
      <c r="J10" s="298">
        <v>336239.539290727</v>
      </c>
      <c r="K10" s="298">
        <v>34621.135855010303</v>
      </c>
      <c r="L10" s="298">
        <v>1320665.2193582621</v>
      </c>
      <c r="M10" s="298">
        <v>128804.30116863419</v>
      </c>
      <c r="N10" s="298">
        <v>446726.56238499668</v>
      </c>
      <c r="O10" s="298">
        <v>64599.083951509892</v>
      </c>
      <c r="P10" s="298">
        <v>1009426.3123742393</v>
      </c>
      <c r="Q10" s="298">
        <v>122510.18890747662</v>
      </c>
      <c r="R10" s="298">
        <v>1944631.1536259779</v>
      </c>
      <c r="S10" s="298">
        <v>280444.92612332007</v>
      </c>
      <c r="T10" s="298">
        <v>954695.979880617</v>
      </c>
      <c r="U10" s="298">
        <v>138878.79698724701</v>
      </c>
      <c r="V10" s="333">
        <f t="shared" si="0"/>
        <v>8708199.2211412638</v>
      </c>
      <c r="W10" s="334">
        <f t="shared" si="1"/>
        <v>1164827.8903497863</v>
      </c>
      <c r="X10" s="301">
        <f t="shared" si="3"/>
        <v>1.5249980205523135</v>
      </c>
      <c r="Y10" s="299">
        <f t="shared" si="4"/>
        <v>7753503.2412606468</v>
      </c>
      <c r="Z10" s="299">
        <f t="shared" si="5"/>
        <v>1025949.0933625393</v>
      </c>
      <c r="AB10" s="300"/>
    </row>
    <row r="11" spans="1:31">
      <c r="A11" s="296">
        <f t="shared" si="2"/>
        <v>2003</v>
      </c>
      <c r="B11" s="298">
        <v>905008.7403747004</v>
      </c>
      <c r="C11" s="298">
        <v>122030.58355427577</v>
      </c>
      <c r="D11" s="298">
        <v>433700</v>
      </c>
      <c r="E11" s="298">
        <v>6377.646924415988</v>
      </c>
      <c r="F11" s="298">
        <v>1239012.58587329</v>
      </c>
      <c r="G11" s="298">
        <v>248418.65112090041</v>
      </c>
      <c r="H11" s="298">
        <v>71848.049042602201</v>
      </c>
      <c r="I11" s="298">
        <v>8419.1896605396596</v>
      </c>
      <c r="J11" s="298">
        <v>374174.98659109703</v>
      </c>
      <c r="K11" s="298">
        <v>38273.893020832897</v>
      </c>
      <c r="L11" s="298">
        <v>1415881.0414747309</v>
      </c>
      <c r="M11" s="298">
        <v>137496.49294389269</v>
      </c>
      <c r="N11" s="298">
        <v>425105.41721119673</v>
      </c>
      <c r="O11" s="298">
        <v>61553.886741693736</v>
      </c>
      <c r="P11" s="298">
        <v>1027718.7970220367</v>
      </c>
      <c r="Q11" s="298">
        <v>123357.46194677697</v>
      </c>
      <c r="R11" s="298">
        <v>2049583.7660616389</v>
      </c>
      <c r="S11" s="298">
        <v>290955.19605792093</v>
      </c>
      <c r="T11" s="298">
        <v>987319.80539700505</v>
      </c>
      <c r="U11" s="298">
        <v>142821.99454086399</v>
      </c>
      <c r="V11" s="333">
        <f t="shared" si="0"/>
        <v>8929353.1890482977</v>
      </c>
      <c r="W11" s="334">
        <f t="shared" si="1"/>
        <v>1179704.9965121129</v>
      </c>
      <c r="X11" s="301">
        <f t="shared" si="3"/>
        <v>1.2771935052018024</v>
      </c>
      <c r="Y11" s="299">
        <f t="shared" si="4"/>
        <v>7942033.3836512929</v>
      </c>
      <c r="Z11" s="299">
        <f t="shared" si="5"/>
        <v>1036883.0019712489</v>
      </c>
      <c r="AB11" s="300"/>
      <c r="AC11" s="299"/>
      <c r="AD11" s="299"/>
      <c r="AE11" s="299"/>
    </row>
    <row r="12" spans="1:31">
      <c r="A12" s="296">
        <f t="shared" si="2"/>
        <v>2004</v>
      </c>
      <c r="B12" s="298">
        <v>823813.54690817627</v>
      </c>
      <c r="C12" s="298">
        <v>109453.25750444594</v>
      </c>
      <c r="D12" s="298">
        <v>455367.00000000012</v>
      </c>
      <c r="E12" s="298">
        <v>7936.8594321649925</v>
      </c>
      <c r="F12" s="298">
        <v>1294617.0325513086</v>
      </c>
      <c r="G12" s="298">
        <v>254885.43358099079</v>
      </c>
      <c r="H12" s="298">
        <v>72457.372659326007</v>
      </c>
      <c r="I12" s="298">
        <v>8382.2427055519111</v>
      </c>
      <c r="J12" s="298">
        <v>446174.83381021197</v>
      </c>
      <c r="K12" s="298">
        <v>45396.098495202699</v>
      </c>
      <c r="L12" s="298">
        <v>1491315.5502779069</v>
      </c>
      <c r="M12" s="298">
        <v>144543.82100541159</v>
      </c>
      <c r="N12" s="298">
        <v>438479.23179689492</v>
      </c>
      <c r="O12" s="298">
        <v>63788.294066047689</v>
      </c>
      <c r="P12" s="298">
        <v>1110164.9715072466</v>
      </c>
      <c r="Q12" s="298">
        <v>132166.48895610432</v>
      </c>
      <c r="R12" s="298">
        <v>2048748.9872529139</v>
      </c>
      <c r="S12" s="298">
        <v>292721.5294952527</v>
      </c>
      <c r="T12" s="298">
        <v>952845.05814080301</v>
      </c>
      <c r="U12" s="298">
        <v>137626.882978985</v>
      </c>
      <c r="V12" s="333">
        <f t="shared" si="0"/>
        <v>9133983.5849047881</v>
      </c>
      <c r="W12" s="334">
        <f t="shared" si="1"/>
        <v>1196900.9082201577</v>
      </c>
      <c r="X12" s="301">
        <f t="shared" ref="X12:X19" si="6">(W12-W11)/W11*100</f>
        <v>1.4576450687998976</v>
      </c>
      <c r="Y12" s="299">
        <f t="shared" ref="Y12:Y19" si="7">V12-T12</f>
        <v>8181138.5267639849</v>
      </c>
      <c r="Z12" s="299">
        <f t="shared" ref="Z12:Z19" si="8">W12-U12</f>
        <v>1059274.0252411726</v>
      </c>
      <c r="AB12" s="300"/>
      <c r="AC12" s="299"/>
      <c r="AD12" s="299"/>
      <c r="AE12" s="299"/>
    </row>
    <row r="13" spans="1:31">
      <c r="A13" s="296">
        <f t="shared" si="2"/>
        <v>2005</v>
      </c>
      <c r="B13" s="298">
        <v>775444.69924861589</v>
      </c>
      <c r="C13" s="298">
        <v>102061.28436729011</v>
      </c>
      <c r="D13" s="298">
        <v>443266.66666666674</v>
      </c>
      <c r="E13" s="298">
        <v>8009.8445694876445</v>
      </c>
      <c r="F13" s="298">
        <v>1314558.3317961043</v>
      </c>
      <c r="G13" s="298">
        <v>252954.2326982221</v>
      </c>
      <c r="H13" s="298">
        <v>74136.926236269894</v>
      </c>
      <c r="I13" s="298">
        <v>8438.3423778156302</v>
      </c>
      <c r="J13" s="298">
        <v>526599.67983608495</v>
      </c>
      <c r="K13" s="298">
        <v>53079.222430114998</v>
      </c>
      <c r="L13" s="298">
        <v>1644000.498604794</v>
      </c>
      <c r="M13" s="298">
        <v>158196.92724150047</v>
      </c>
      <c r="N13" s="298">
        <v>450342.35095331748</v>
      </c>
      <c r="O13" s="298">
        <v>65149.405051291971</v>
      </c>
      <c r="P13" s="298">
        <v>1208059.9021526647</v>
      </c>
      <c r="Q13" s="298">
        <v>142075.3869932527</v>
      </c>
      <c r="R13" s="298">
        <v>2032627.8087794201</v>
      </c>
      <c r="S13" s="298">
        <v>291310.9487472396</v>
      </c>
      <c r="T13" s="298">
        <v>951818.87543682801</v>
      </c>
      <c r="U13" s="298">
        <v>137284.956378779</v>
      </c>
      <c r="V13" s="333">
        <f t="shared" si="0"/>
        <v>9420855.739710765</v>
      </c>
      <c r="W13" s="334">
        <f t="shared" si="1"/>
        <v>1218560.550854994</v>
      </c>
      <c r="X13" s="301">
        <f t="shared" si="6"/>
        <v>1.809643762994972</v>
      </c>
      <c r="Y13" s="299">
        <f t="shared" si="7"/>
        <v>8469036.8642739374</v>
      </c>
      <c r="Z13" s="299">
        <f t="shared" si="8"/>
        <v>1081275.5944762151</v>
      </c>
      <c r="AB13" s="300"/>
      <c r="AC13" s="299"/>
      <c r="AD13" s="299"/>
      <c r="AE13" s="299"/>
    </row>
    <row r="14" spans="1:31">
      <c r="A14" s="296">
        <f t="shared" si="2"/>
        <v>2006</v>
      </c>
      <c r="B14" s="298">
        <v>758916.64668319304</v>
      </c>
      <c r="C14" s="298">
        <v>100336.72380389932</v>
      </c>
      <c r="D14" s="298">
        <v>458600</v>
      </c>
      <c r="E14" s="298">
        <v>9798.0739065174639</v>
      </c>
      <c r="F14" s="298">
        <v>1371316.6370261621</v>
      </c>
      <c r="G14" s="298">
        <v>261904.82143811643</v>
      </c>
      <c r="H14" s="298">
        <v>75338.885736405995</v>
      </c>
      <c r="I14" s="298">
        <v>8461.2485892099594</v>
      </c>
      <c r="J14" s="298">
        <v>533220.27583588404</v>
      </c>
      <c r="K14" s="298">
        <v>53684.524635753602</v>
      </c>
      <c r="L14" s="298">
        <v>1800159.5681665491</v>
      </c>
      <c r="M14" s="298">
        <v>173400.9264573211</v>
      </c>
      <c r="N14" s="298">
        <v>444421.6609000006</v>
      </c>
      <c r="O14" s="298">
        <v>64231.357046182617</v>
      </c>
      <c r="P14" s="298">
        <v>1304349.0191725667</v>
      </c>
      <c r="Q14" s="298">
        <v>153118.9766350867</v>
      </c>
      <c r="R14" s="298">
        <v>2065501.6232089917</v>
      </c>
      <c r="S14" s="298">
        <v>298134.5868112829</v>
      </c>
      <c r="T14" s="298">
        <v>978273.98649788101</v>
      </c>
      <c r="U14" s="298">
        <v>141663.319797776</v>
      </c>
      <c r="V14" s="333">
        <f t="shared" si="0"/>
        <v>9790098.3032276351</v>
      </c>
      <c r="W14" s="334">
        <f t="shared" si="1"/>
        <v>1264734.5591211461</v>
      </c>
      <c r="X14" s="301">
        <f t="shared" si="6"/>
        <v>3.789225593570583</v>
      </c>
      <c r="Y14" s="299">
        <f t="shared" si="7"/>
        <v>8811824.3167297542</v>
      </c>
      <c r="Z14" s="299">
        <f t="shared" si="8"/>
        <v>1123071.2393233702</v>
      </c>
      <c r="AB14" s="300"/>
      <c r="AC14" s="299"/>
      <c r="AD14" s="299"/>
      <c r="AE14" s="299"/>
    </row>
    <row r="15" spans="1:31">
      <c r="A15" s="296">
        <f t="shared" si="2"/>
        <v>2007</v>
      </c>
      <c r="B15" s="298">
        <v>819375.96480315551</v>
      </c>
      <c r="C15" s="298">
        <v>108729.23451684833</v>
      </c>
      <c r="D15" s="298">
        <v>495474.00000000012</v>
      </c>
      <c r="E15" s="298">
        <v>10313.373764358172</v>
      </c>
      <c r="F15" s="298">
        <v>1398078.6960342545</v>
      </c>
      <c r="G15" s="298">
        <v>264242.47731001221</v>
      </c>
      <c r="H15" s="298">
        <v>77581.521751776512</v>
      </c>
      <c r="I15" s="298">
        <v>8700.9809290499597</v>
      </c>
      <c r="J15" s="298">
        <v>548754.73398113903</v>
      </c>
      <c r="K15" s="298">
        <v>55474.552865963298</v>
      </c>
      <c r="L15" s="298">
        <v>1848834.095497292</v>
      </c>
      <c r="M15" s="298">
        <v>179201.6459831133</v>
      </c>
      <c r="N15" s="298">
        <v>445507.1107078871</v>
      </c>
      <c r="O15" s="298">
        <v>64146.298558052222</v>
      </c>
      <c r="P15" s="298">
        <v>1425301.5004084941</v>
      </c>
      <c r="Q15" s="298">
        <v>167868.27709831862</v>
      </c>
      <c r="R15" s="298">
        <v>2174677.6168220369</v>
      </c>
      <c r="S15" s="298">
        <v>317047.23235640756</v>
      </c>
      <c r="T15" s="298">
        <v>1084152.9422521901</v>
      </c>
      <c r="U15" s="298">
        <v>158286.56258727101</v>
      </c>
      <c r="V15" s="333">
        <f t="shared" si="0"/>
        <v>10317738.182258228</v>
      </c>
      <c r="W15" s="334">
        <f t="shared" si="1"/>
        <v>1334010.6359693948</v>
      </c>
      <c r="X15" s="301">
        <f t="shared" si="6"/>
        <v>5.4775190848258397</v>
      </c>
      <c r="Y15" s="299">
        <f t="shared" si="7"/>
        <v>9233585.2400060371</v>
      </c>
      <c r="Z15" s="299">
        <f t="shared" si="8"/>
        <v>1175724.0733821238</v>
      </c>
      <c r="AB15" s="300"/>
      <c r="AC15" s="299"/>
      <c r="AD15" s="299"/>
      <c r="AE15" s="299"/>
    </row>
    <row r="16" spans="1:31">
      <c r="A16" s="296">
        <f t="shared" si="2"/>
        <v>2008</v>
      </c>
      <c r="B16" s="298">
        <v>809281.53367207909</v>
      </c>
      <c r="C16" s="298">
        <v>107870.48908829094</v>
      </c>
      <c r="D16" s="298">
        <v>515725.41666666657</v>
      </c>
      <c r="E16" s="298">
        <v>11125.930393269982</v>
      </c>
      <c r="F16" s="298">
        <v>1469726.184722096</v>
      </c>
      <c r="G16" s="298">
        <v>280018.91379348753</v>
      </c>
      <c r="H16" s="298">
        <v>74320.433525565735</v>
      </c>
      <c r="I16" s="298">
        <v>8421.6005933433789</v>
      </c>
      <c r="J16" s="298">
        <v>575886.63603546098</v>
      </c>
      <c r="K16" s="298">
        <v>59127.814909234898</v>
      </c>
      <c r="L16" s="298">
        <v>1859529.2517269491</v>
      </c>
      <c r="M16" s="298">
        <v>183120.02349394659</v>
      </c>
      <c r="N16" s="298">
        <v>503022.19744721439</v>
      </c>
      <c r="O16" s="298">
        <v>73825.657209502097</v>
      </c>
      <c r="P16" s="298">
        <v>1529644.5206875345</v>
      </c>
      <c r="Q16" s="298">
        <v>182762.95014230089</v>
      </c>
      <c r="R16" s="298">
        <v>2294855.6207987503</v>
      </c>
      <c r="S16" s="298">
        <v>341387.98021208309</v>
      </c>
      <c r="T16" s="298">
        <v>1180526.3202275001</v>
      </c>
      <c r="U16" s="298">
        <v>174745.33297416</v>
      </c>
      <c r="V16" s="333">
        <f t="shared" si="0"/>
        <v>10812518.115509817</v>
      </c>
      <c r="W16" s="334">
        <f t="shared" si="1"/>
        <v>1422406.6928096195</v>
      </c>
      <c r="X16" s="301">
        <f t="shared" si="6"/>
        <v>6.6263382357509668</v>
      </c>
      <c r="Y16" s="299">
        <f t="shared" si="7"/>
        <v>9631991.7952823173</v>
      </c>
      <c r="Z16" s="299">
        <f t="shared" si="8"/>
        <v>1247661.3598354594</v>
      </c>
      <c r="AB16" s="300"/>
      <c r="AC16" s="299"/>
      <c r="AD16" s="299"/>
      <c r="AE16" s="299"/>
    </row>
    <row r="17" spans="1:31">
      <c r="A17" s="296">
        <f t="shared" si="2"/>
        <v>2009</v>
      </c>
      <c r="B17" s="298">
        <v>786338</v>
      </c>
      <c r="C17" s="298">
        <v>108910</v>
      </c>
      <c r="D17" s="298">
        <v>492219</v>
      </c>
      <c r="E17" s="298">
        <v>11991</v>
      </c>
      <c r="F17" s="298">
        <v>1430524</v>
      </c>
      <c r="G17" s="298">
        <v>290588</v>
      </c>
      <c r="H17" s="298">
        <v>80652</v>
      </c>
      <c r="I17" s="298">
        <v>10429</v>
      </c>
      <c r="J17" s="298">
        <v>556191</v>
      </c>
      <c r="K17" s="298">
        <v>59779</v>
      </c>
      <c r="L17" s="298">
        <v>1758082</v>
      </c>
      <c r="M17" s="298">
        <v>182042</v>
      </c>
      <c r="N17" s="298">
        <v>487039</v>
      </c>
      <c r="O17" s="298">
        <v>74864</v>
      </c>
      <c r="P17" s="298">
        <v>1562755</v>
      </c>
      <c r="Q17" s="298">
        <v>197743</v>
      </c>
      <c r="R17" s="298">
        <v>2320536</v>
      </c>
      <c r="S17" s="298">
        <v>351140</v>
      </c>
      <c r="T17" s="298">
        <v>1150308</v>
      </c>
      <c r="U17" s="298">
        <v>177624</v>
      </c>
      <c r="V17" s="333">
        <f t="shared" si="0"/>
        <v>10624644</v>
      </c>
      <c r="W17" s="334">
        <f t="shared" si="1"/>
        <v>1465110</v>
      </c>
      <c r="X17" s="301">
        <f t="shared" si="6"/>
        <v>3.0021868855264242</v>
      </c>
      <c r="Y17" s="299">
        <f t="shared" si="7"/>
        <v>9474336</v>
      </c>
      <c r="Z17" s="299">
        <f t="shared" si="8"/>
        <v>1287486</v>
      </c>
      <c r="AB17" s="300"/>
      <c r="AC17" s="299"/>
      <c r="AD17" s="299"/>
      <c r="AE17" s="299"/>
    </row>
    <row r="18" spans="1:31">
      <c r="A18" s="296">
        <f t="shared" si="2"/>
        <v>2010</v>
      </c>
      <c r="B18" s="298">
        <v>755630</v>
      </c>
      <c r="C18" s="298">
        <v>105111</v>
      </c>
      <c r="D18" s="298">
        <v>503291</v>
      </c>
      <c r="E18" s="298">
        <v>13158</v>
      </c>
      <c r="F18" s="298">
        <v>1332424</v>
      </c>
      <c r="G18" s="298">
        <v>270703</v>
      </c>
      <c r="H18" s="298">
        <v>71033</v>
      </c>
      <c r="I18" s="298">
        <v>9063</v>
      </c>
      <c r="J18" s="298">
        <v>551631</v>
      </c>
      <c r="K18" s="298">
        <v>59747</v>
      </c>
      <c r="L18" s="298">
        <v>1733335</v>
      </c>
      <c r="M18" s="298">
        <v>180783</v>
      </c>
      <c r="N18" s="298">
        <v>498403</v>
      </c>
      <c r="O18" s="298">
        <v>77368</v>
      </c>
      <c r="P18" s="298">
        <v>1487758</v>
      </c>
      <c r="Q18" s="298">
        <v>190051</v>
      </c>
      <c r="R18" s="298">
        <v>2397572</v>
      </c>
      <c r="S18" s="298">
        <v>366691</v>
      </c>
      <c r="T18" s="298">
        <v>1098158</v>
      </c>
      <c r="U18" s="298">
        <v>172818</v>
      </c>
      <c r="V18" s="333">
        <f t="shared" si="0"/>
        <v>10429235</v>
      </c>
      <c r="W18" s="334">
        <f t="shared" si="1"/>
        <v>1445493</v>
      </c>
      <c r="X18" s="301">
        <f t="shared" si="6"/>
        <v>-1.3389438335688106</v>
      </c>
      <c r="Y18" s="299">
        <f t="shared" si="7"/>
        <v>9331077</v>
      </c>
      <c r="Z18" s="299">
        <f t="shared" si="8"/>
        <v>1272675</v>
      </c>
      <c r="AB18" s="300"/>
      <c r="AC18" s="299"/>
      <c r="AD18" s="299"/>
      <c r="AE18" s="299"/>
    </row>
    <row r="19" spans="1:31" ht="13.5" thickBot="1">
      <c r="A19" s="296">
        <f t="shared" si="2"/>
        <v>2011</v>
      </c>
      <c r="B19" s="298">
        <v>726172</v>
      </c>
      <c r="C19" s="298">
        <v>101151</v>
      </c>
      <c r="D19" s="298">
        <v>517734</v>
      </c>
      <c r="E19" s="298">
        <v>13419</v>
      </c>
      <c r="F19" s="298">
        <v>1372114</v>
      </c>
      <c r="G19" s="298">
        <v>278957</v>
      </c>
      <c r="H19" s="298">
        <v>68865</v>
      </c>
      <c r="I19" s="298">
        <v>8901</v>
      </c>
      <c r="J19" s="298">
        <v>561914</v>
      </c>
      <c r="K19" s="298">
        <v>61434</v>
      </c>
      <c r="L19" s="298">
        <v>1779339</v>
      </c>
      <c r="M19" s="298">
        <v>187442</v>
      </c>
      <c r="N19" s="298">
        <v>512921</v>
      </c>
      <c r="O19" s="298">
        <v>80395</v>
      </c>
      <c r="P19" s="298">
        <v>1545768</v>
      </c>
      <c r="Q19" s="298">
        <v>199712</v>
      </c>
      <c r="R19" s="298">
        <v>2526063</v>
      </c>
      <c r="S19" s="298">
        <v>390248</v>
      </c>
      <c r="T19" s="298">
        <v>1068523</v>
      </c>
      <c r="U19" s="298">
        <v>170208</v>
      </c>
      <c r="V19" s="335">
        <f t="shared" si="0"/>
        <v>10679413</v>
      </c>
      <c r="W19" s="336">
        <f t="shared" si="1"/>
        <v>1491867</v>
      </c>
      <c r="X19" s="301">
        <f t="shared" si="6"/>
        <v>3.2081788012809467</v>
      </c>
      <c r="Y19" s="298">
        <f t="shared" si="7"/>
        <v>9610890</v>
      </c>
      <c r="Z19" s="298">
        <f t="shared" si="8"/>
        <v>1321659</v>
      </c>
      <c r="AB19" s="300"/>
      <c r="AC19" s="299"/>
      <c r="AD19" s="299"/>
      <c r="AE19" s="299"/>
    </row>
    <row r="20" spans="1:31" ht="13.5" thickBot="1">
      <c r="A20" s="296"/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AC20" s="299"/>
      <c r="AD20" s="299"/>
      <c r="AE20" s="299"/>
    </row>
    <row r="21" spans="1:31" s="295" customFormat="1" ht="31.5" customHeight="1" thickBot="1">
      <c r="A21" s="293" t="s">
        <v>369</v>
      </c>
      <c r="B21" s="446" t="s">
        <v>352</v>
      </c>
      <c r="C21" s="446"/>
      <c r="D21" s="446" t="s">
        <v>353</v>
      </c>
      <c r="E21" s="446"/>
      <c r="F21" s="446" t="s">
        <v>4</v>
      </c>
      <c r="G21" s="446"/>
      <c r="H21" s="446" t="s">
        <v>354</v>
      </c>
      <c r="I21" s="446"/>
      <c r="J21" s="446" t="s">
        <v>355</v>
      </c>
      <c r="K21" s="446"/>
      <c r="L21" s="446" t="s">
        <v>356</v>
      </c>
      <c r="M21" s="446"/>
      <c r="N21" s="446" t="s">
        <v>357</v>
      </c>
      <c r="O21" s="446"/>
      <c r="P21" s="446" t="s">
        <v>358</v>
      </c>
      <c r="Q21" s="446"/>
      <c r="R21" s="446" t="s">
        <v>359</v>
      </c>
      <c r="S21" s="446"/>
      <c r="T21" s="302"/>
      <c r="U21" s="302"/>
      <c r="V21" s="447" t="s">
        <v>134</v>
      </c>
      <c r="W21" s="446"/>
      <c r="X21" s="294" t="s">
        <v>360</v>
      </c>
      <c r="Y21" s="294"/>
      <c r="Z21" s="294"/>
      <c r="AB21" s="292"/>
    </row>
    <row r="22" spans="1:31" s="295" customFormat="1">
      <c r="A22" s="303" t="s">
        <v>414</v>
      </c>
      <c r="B22" s="304" t="s">
        <v>252</v>
      </c>
      <c r="C22" s="304" t="str">
        <f>C3</f>
        <v>MA</v>
      </c>
      <c r="D22" s="304" t="s">
        <v>252</v>
      </c>
      <c r="E22" s="304" t="str">
        <f>E3</f>
        <v>MA</v>
      </c>
      <c r="F22" s="304" t="s">
        <v>252</v>
      </c>
      <c r="G22" s="304" t="str">
        <f>G3</f>
        <v>MA</v>
      </c>
      <c r="H22" s="304" t="s">
        <v>252</v>
      </c>
      <c r="I22" s="304" t="str">
        <f>I3</f>
        <v>MA</v>
      </c>
      <c r="J22" s="304" t="s">
        <v>252</v>
      </c>
      <c r="K22" s="304" t="str">
        <f>K3</f>
        <v>MA</v>
      </c>
      <c r="L22" s="304" t="s">
        <v>252</v>
      </c>
      <c r="M22" s="304" t="str">
        <f>M3</f>
        <v>MA</v>
      </c>
      <c r="N22" s="304" t="s">
        <v>252</v>
      </c>
      <c r="O22" s="304" t="str">
        <f>O3</f>
        <v>MA</v>
      </c>
      <c r="P22" s="304" t="s">
        <v>252</v>
      </c>
      <c r="Q22" s="304" t="str">
        <f>Q3</f>
        <v>MA</v>
      </c>
      <c r="R22" s="304" t="s">
        <v>252</v>
      </c>
      <c r="S22" s="304" t="str">
        <f>S3</f>
        <v>MA</v>
      </c>
      <c r="T22" s="302"/>
      <c r="U22" s="302"/>
      <c r="V22" s="297" t="s">
        <v>252</v>
      </c>
      <c r="W22" s="304" t="str">
        <f>W3</f>
        <v>MA</v>
      </c>
      <c r="AB22" s="292"/>
    </row>
    <row r="23" spans="1:31">
      <c r="A23" s="296" t="str">
        <f>A4</f>
        <v>1996</v>
      </c>
      <c r="B23" s="298">
        <v>32582298.79907142</v>
      </c>
      <c r="C23" s="298">
        <v>9562775.5910752453</v>
      </c>
      <c r="D23" s="298">
        <v>99506343.617210805</v>
      </c>
      <c r="E23" s="298">
        <v>6108300.0191383315</v>
      </c>
      <c r="F23" s="298">
        <v>198715198.56222853</v>
      </c>
      <c r="G23" s="298">
        <v>41760873.767882891</v>
      </c>
      <c r="H23" s="298">
        <v>28494359.62816406</v>
      </c>
      <c r="I23" s="298">
        <v>4974364.9698173599</v>
      </c>
      <c r="J23" s="298">
        <v>26033135.473959699</v>
      </c>
      <c r="K23" s="298">
        <v>4525152.4204536602</v>
      </c>
      <c r="L23" s="298">
        <v>135854065.85326171</v>
      </c>
      <c r="M23" s="298">
        <v>21832343.958855398</v>
      </c>
      <c r="N23" s="298">
        <v>79153560.827163801</v>
      </c>
      <c r="O23" s="298">
        <v>18171673.752633274</v>
      </c>
      <c r="P23" s="298">
        <v>185663381.8695446</v>
      </c>
      <c r="Q23" s="298">
        <v>25955780.42172968</v>
      </c>
      <c r="R23" s="298">
        <v>258967986.64178059</v>
      </c>
      <c r="S23" s="298">
        <v>37988505.614605755</v>
      </c>
      <c r="T23" s="296"/>
      <c r="U23" s="296"/>
      <c r="V23" s="299">
        <f>B23+D23+F23+H23+J23+L23+N23+P23+R23</f>
        <v>1044970331.2723852</v>
      </c>
      <c r="W23" s="299">
        <f>C23+E23+G23+I23+K23+M23+O23+Q23+S23</f>
        <v>170879770.5161916</v>
      </c>
    </row>
    <row r="24" spans="1:31">
      <c r="A24" s="296">
        <f t="shared" ref="A24:A38" si="9">A5</f>
        <v>1997</v>
      </c>
      <c r="B24" s="298">
        <v>32906507.210283224</v>
      </c>
      <c r="C24" s="298">
        <v>9539885.9464477506</v>
      </c>
      <c r="D24" s="298">
        <v>101293282.8750097</v>
      </c>
      <c r="E24" s="298">
        <v>6181240.1347803334</v>
      </c>
      <c r="F24" s="298">
        <v>204272757.51502198</v>
      </c>
      <c r="G24" s="298">
        <v>42907239.062161595</v>
      </c>
      <c r="H24" s="298">
        <v>29633529.390161321</v>
      </c>
      <c r="I24" s="298">
        <v>5150178.2473180797</v>
      </c>
      <c r="J24" s="298">
        <v>26929349.194446001</v>
      </c>
      <c r="K24" s="298">
        <v>4783448.1763824299</v>
      </c>
      <c r="L24" s="298">
        <v>136525963.38049811</v>
      </c>
      <c r="M24" s="298">
        <v>21971673.297246963</v>
      </c>
      <c r="N24" s="298">
        <v>85249460.272634387</v>
      </c>
      <c r="O24" s="298">
        <v>19199733.375995837</v>
      </c>
      <c r="P24" s="298">
        <v>194583987.7637502</v>
      </c>
      <c r="Q24" s="298">
        <v>27080879.659099229</v>
      </c>
      <c r="R24" s="298">
        <v>260720520.01828128</v>
      </c>
      <c r="S24" s="298">
        <v>37367521.58229997</v>
      </c>
      <c r="T24" s="296"/>
      <c r="U24" s="296"/>
      <c r="V24" s="299">
        <f t="shared" ref="V24:V38" si="10">B24+D24+F24+H24+J24+L24+N24+P24+R24</f>
        <v>1072115357.6200862</v>
      </c>
      <c r="W24" s="299">
        <f t="shared" ref="W24:W38" si="11">C24+E24+G24+I24+K24+M24+O24+Q24+S24</f>
        <v>174181799.48173219</v>
      </c>
      <c r="X24" s="301">
        <f>(W24-W23)/W23*100</f>
        <v>1.9323697331555736</v>
      </c>
      <c r="Y24" s="301"/>
      <c r="Z24" s="301"/>
    </row>
    <row r="25" spans="1:31">
      <c r="A25" s="296">
        <f t="shared" si="9"/>
        <v>1998</v>
      </c>
      <c r="B25" s="298">
        <v>31153061.967605509</v>
      </c>
      <c r="C25" s="298">
        <v>9621678.45529286</v>
      </c>
      <c r="D25" s="298">
        <v>101161451.07318529</v>
      </c>
      <c r="E25" s="298">
        <v>6096050.2917463854</v>
      </c>
      <c r="F25" s="298">
        <v>203802694.17268372</v>
      </c>
      <c r="G25" s="298">
        <v>42699604.01797723</v>
      </c>
      <c r="H25" s="298">
        <v>27758236.180045828</v>
      </c>
      <c r="I25" s="298">
        <v>4834245.3880299199</v>
      </c>
      <c r="J25" s="298">
        <v>25342082.170791902</v>
      </c>
      <c r="K25" s="298">
        <v>4245578.85032022</v>
      </c>
      <c r="L25" s="298">
        <v>138259072.73661989</v>
      </c>
      <c r="M25" s="298">
        <v>22153373.423308853</v>
      </c>
      <c r="N25" s="298">
        <v>89911044.695609793</v>
      </c>
      <c r="O25" s="298">
        <v>20061898.108558789</v>
      </c>
      <c r="P25" s="298">
        <v>199003354.95675409</v>
      </c>
      <c r="Q25" s="298">
        <v>27727494.011928748</v>
      </c>
      <c r="R25" s="298">
        <v>263229818.97668725</v>
      </c>
      <c r="S25" s="298">
        <v>38522251.899591811</v>
      </c>
      <c r="T25" s="296"/>
      <c r="U25" s="296"/>
      <c r="V25" s="299">
        <f t="shared" si="10"/>
        <v>1079620816.9299834</v>
      </c>
      <c r="W25" s="299">
        <f t="shared" si="11"/>
        <v>175962174.44675481</v>
      </c>
      <c r="X25" s="301">
        <f t="shared" ref="X25:X38" si="12">(W25-W24)/W24*100</f>
        <v>1.0221360499891641</v>
      </c>
      <c r="Y25" s="301"/>
      <c r="Z25" s="301"/>
    </row>
    <row r="26" spans="1:31">
      <c r="A26" s="296">
        <f t="shared" si="9"/>
        <v>1999</v>
      </c>
      <c r="B26" s="298">
        <v>33129731.186482083</v>
      </c>
      <c r="C26" s="298">
        <v>9387106.7068231925</v>
      </c>
      <c r="D26" s="298">
        <v>99881396.133456811</v>
      </c>
      <c r="E26" s="298">
        <v>4424531.542859097</v>
      </c>
      <c r="F26" s="298">
        <v>205305468.07324803</v>
      </c>
      <c r="G26" s="298">
        <v>43442091.345973805</v>
      </c>
      <c r="H26" s="298">
        <v>27657162.065273762</v>
      </c>
      <c r="I26" s="298">
        <v>4844981.5634626905</v>
      </c>
      <c r="J26" s="298">
        <v>24998101.836826</v>
      </c>
      <c r="K26" s="298">
        <v>4004203.9314528299</v>
      </c>
      <c r="L26" s="298">
        <v>148969895.64270389</v>
      </c>
      <c r="M26" s="298">
        <v>23766477.607997928</v>
      </c>
      <c r="N26" s="298">
        <v>94715567.440996394</v>
      </c>
      <c r="O26" s="298">
        <v>20802989.492281578</v>
      </c>
      <c r="P26" s="298">
        <v>209459152.06456262</v>
      </c>
      <c r="Q26" s="298">
        <v>29452690.763141602</v>
      </c>
      <c r="R26" s="298">
        <v>264615745.7210024</v>
      </c>
      <c r="S26" s="298">
        <v>38066217.653780282</v>
      </c>
      <c r="T26" s="296"/>
      <c r="U26" s="296"/>
      <c r="V26" s="299">
        <f t="shared" si="10"/>
        <v>1108732220.164552</v>
      </c>
      <c r="W26" s="299">
        <f t="shared" si="11"/>
        <v>178191290.60777301</v>
      </c>
      <c r="X26" s="301">
        <f t="shared" si="12"/>
        <v>1.2668155346606671</v>
      </c>
      <c r="Y26" s="301"/>
      <c r="Z26" s="301"/>
    </row>
    <row r="27" spans="1:31">
      <c r="A27" s="296">
        <f t="shared" si="9"/>
        <v>2000</v>
      </c>
      <c r="B27" s="298">
        <v>34721348.550511241</v>
      </c>
      <c r="C27" s="298">
        <v>9743891.5561670084</v>
      </c>
      <c r="D27" s="298">
        <v>98881008.772132099</v>
      </c>
      <c r="E27" s="298">
        <v>4314555.0983290654</v>
      </c>
      <c r="F27" s="298">
        <v>222156097.91149962</v>
      </c>
      <c r="G27" s="298">
        <v>47224993.534155406</v>
      </c>
      <c r="H27" s="298">
        <v>28542915.525472559</v>
      </c>
      <c r="I27" s="298">
        <v>5134847.8457523799</v>
      </c>
      <c r="J27" s="298">
        <v>26410337.532674301</v>
      </c>
      <c r="K27" s="298">
        <v>4162462.5122501999</v>
      </c>
      <c r="L27" s="298">
        <v>161196737.82075551</v>
      </c>
      <c r="M27" s="298">
        <v>25762927.43270966</v>
      </c>
      <c r="N27" s="298">
        <v>102679051.4553436</v>
      </c>
      <c r="O27" s="298">
        <v>22169059.942941941</v>
      </c>
      <c r="P27" s="298">
        <v>216335533.8955102</v>
      </c>
      <c r="Q27" s="298">
        <v>29837447.785172097</v>
      </c>
      <c r="R27" s="298">
        <v>266568132.92041209</v>
      </c>
      <c r="S27" s="298">
        <v>38596162.234217606</v>
      </c>
      <c r="T27" s="296"/>
      <c r="U27" s="296"/>
      <c r="V27" s="299">
        <f t="shared" si="10"/>
        <v>1157491164.3843112</v>
      </c>
      <c r="W27" s="299">
        <f t="shared" si="11"/>
        <v>186946347.94169539</v>
      </c>
      <c r="X27" s="301">
        <f t="shared" si="12"/>
        <v>4.913291387059787</v>
      </c>
      <c r="Y27" s="301"/>
      <c r="Z27" s="301"/>
    </row>
    <row r="28" spans="1:31">
      <c r="A28" s="296">
        <f t="shared" si="9"/>
        <v>2001</v>
      </c>
      <c r="B28" s="298">
        <v>33596823.722863659</v>
      </c>
      <c r="C28" s="298">
        <v>9731948.8933900557</v>
      </c>
      <c r="D28" s="298">
        <v>98844719.279934108</v>
      </c>
      <c r="E28" s="298">
        <v>4097183.6463861694</v>
      </c>
      <c r="F28" s="298">
        <v>229410361.79026872</v>
      </c>
      <c r="G28" s="298">
        <v>48659746.137190983</v>
      </c>
      <c r="H28" s="298">
        <v>27504241.928255223</v>
      </c>
      <c r="I28" s="298">
        <v>5129083.6462612096</v>
      </c>
      <c r="J28" s="298">
        <v>27711128.400341</v>
      </c>
      <c r="K28" s="298">
        <v>5580757.8268795302</v>
      </c>
      <c r="L28" s="298">
        <v>164363551.16470608</v>
      </c>
      <c r="M28" s="298">
        <v>27772732.513417248</v>
      </c>
      <c r="N28" s="298">
        <v>108806023.748808</v>
      </c>
      <c r="O28" s="298">
        <v>23139624.074578192</v>
      </c>
      <c r="P28" s="298">
        <v>234153085.8274619</v>
      </c>
      <c r="Q28" s="298">
        <v>31561289.512134328</v>
      </c>
      <c r="R28" s="298">
        <v>266651877.29072738</v>
      </c>
      <c r="S28" s="298">
        <v>39148037.960148111</v>
      </c>
      <c r="T28" s="296"/>
      <c r="U28" s="296"/>
      <c r="V28" s="299">
        <f t="shared" si="10"/>
        <v>1191041813.1533661</v>
      </c>
      <c r="W28" s="299">
        <f t="shared" si="11"/>
        <v>194820404.2103858</v>
      </c>
      <c r="X28" s="301">
        <f t="shared" si="12"/>
        <v>4.2119337207625787</v>
      </c>
      <c r="Y28" s="301"/>
      <c r="Z28" s="301"/>
    </row>
    <row r="29" spans="1:31">
      <c r="A29" s="296">
        <f t="shared" si="9"/>
        <v>2002</v>
      </c>
      <c r="B29" s="298">
        <v>35825999.873451464</v>
      </c>
      <c r="C29" s="298">
        <v>10181108.231488289</v>
      </c>
      <c r="D29" s="298">
        <v>99959809.646910906</v>
      </c>
      <c r="E29" s="298">
        <v>3665594.7898364887</v>
      </c>
      <c r="F29" s="298">
        <v>236132999.16590485</v>
      </c>
      <c r="G29" s="298">
        <v>50004904.196022868</v>
      </c>
      <c r="H29" s="298">
        <v>28502999.899318554</v>
      </c>
      <c r="I29" s="298">
        <v>5630179.5897137392</v>
      </c>
      <c r="J29" s="298">
        <v>29321000</v>
      </c>
      <c r="K29" s="298">
        <v>4409433.3362341803</v>
      </c>
      <c r="L29" s="298">
        <v>168357199.40531</v>
      </c>
      <c r="M29" s="298">
        <v>28490009.511737581</v>
      </c>
      <c r="N29" s="298">
        <v>118748999.58054161</v>
      </c>
      <c r="O29" s="298">
        <v>25336583.658791982</v>
      </c>
      <c r="P29" s="298">
        <v>249164999.11987221</v>
      </c>
      <c r="Q29" s="298">
        <v>33199226.965642482</v>
      </c>
      <c r="R29" s="298">
        <v>270255999.04537189</v>
      </c>
      <c r="S29" s="298">
        <v>39616844.748718068</v>
      </c>
      <c r="T29" s="296"/>
      <c r="U29" s="296"/>
      <c r="V29" s="299">
        <f t="shared" si="10"/>
        <v>1236270005.7366815</v>
      </c>
      <c r="W29" s="299">
        <f t="shared" si="11"/>
        <v>200533885.02818567</v>
      </c>
      <c r="X29" s="301">
        <f t="shared" si="12"/>
        <v>2.9326911834295859</v>
      </c>
      <c r="Y29" s="301"/>
      <c r="Z29" s="301"/>
    </row>
    <row r="30" spans="1:31">
      <c r="A30" s="296">
        <f t="shared" si="9"/>
        <v>2003</v>
      </c>
      <c r="B30" s="298">
        <v>36070000.007048324</v>
      </c>
      <c r="C30" s="298">
        <v>10703723.150349533</v>
      </c>
      <c r="D30" s="298">
        <v>103354820.02019641</v>
      </c>
      <c r="E30" s="298">
        <v>3879581.804159584</v>
      </c>
      <c r="F30" s="298">
        <v>232581000.04544804</v>
      </c>
      <c r="G30" s="298">
        <v>49546137.622112095</v>
      </c>
      <c r="H30" s="298">
        <v>29344000.00573409</v>
      </c>
      <c r="I30" s="298">
        <v>4983876.79796807</v>
      </c>
      <c r="J30" s="298">
        <v>31574999.999999899</v>
      </c>
      <c r="K30" s="298">
        <v>4621229.3714088602</v>
      </c>
      <c r="L30" s="298">
        <v>172845200.03377551</v>
      </c>
      <c r="M30" s="298">
        <v>29472753.899517633</v>
      </c>
      <c r="N30" s="298">
        <v>126287000.0246776</v>
      </c>
      <c r="O30" s="298">
        <v>27106803.741764639</v>
      </c>
      <c r="P30" s="298">
        <v>261123000.0510256</v>
      </c>
      <c r="Q30" s="298">
        <v>35054126.239524931</v>
      </c>
      <c r="R30" s="298">
        <v>279949000.05470431</v>
      </c>
      <c r="S30" s="298">
        <v>40925113.494925022</v>
      </c>
      <c r="T30" s="296"/>
      <c r="U30" s="296"/>
      <c r="V30" s="299">
        <f t="shared" si="10"/>
        <v>1273129020.2426097</v>
      </c>
      <c r="W30" s="299">
        <f t="shared" si="11"/>
        <v>206293346.12173036</v>
      </c>
      <c r="X30" s="301">
        <f t="shared" si="12"/>
        <v>2.8720637874916655</v>
      </c>
      <c r="Y30" s="301"/>
      <c r="Z30" s="301"/>
    </row>
    <row r="31" spans="1:31">
      <c r="A31" s="296">
        <f t="shared" si="9"/>
        <v>2004</v>
      </c>
      <c r="B31" s="298">
        <v>36379999.91041711</v>
      </c>
      <c r="C31" s="298">
        <v>10738206.218711255</v>
      </c>
      <c r="D31" s="298">
        <v>104915259.74165459</v>
      </c>
      <c r="E31" s="298">
        <v>3957123.9696869147</v>
      </c>
      <c r="F31" s="298">
        <v>243964999.39925554</v>
      </c>
      <c r="G31" s="298">
        <v>51873629.948529743</v>
      </c>
      <c r="H31" s="298">
        <v>31334999.92284001</v>
      </c>
      <c r="I31" s="298">
        <v>5348135.5491321404</v>
      </c>
      <c r="J31" s="298">
        <v>34451000</v>
      </c>
      <c r="K31" s="298">
        <v>5054489.7018914698</v>
      </c>
      <c r="L31" s="298">
        <v>182174999.5514085</v>
      </c>
      <c r="M31" s="298">
        <v>31070164.698760711</v>
      </c>
      <c r="N31" s="298">
        <v>132458999.6738303</v>
      </c>
      <c r="O31" s="298">
        <v>28320059.006057482</v>
      </c>
      <c r="P31" s="298">
        <v>279543999.31164521</v>
      </c>
      <c r="Q31" s="298">
        <v>37586504.207722656</v>
      </c>
      <c r="R31" s="298">
        <v>285165999.29780143</v>
      </c>
      <c r="S31" s="298">
        <v>41538494.646796636</v>
      </c>
      <c r="T31" s="296"/>
      <c r="U31" s="296"/>
      <c r="V31" s="299">
        <f t="shared" si="10"/>
        <v>1330390256.8088527</v>
      </c>
      <c r="W31" s="299">
        <f t="shared" si="11"/>
        <v>215486807.94728902</v>
      </c>
      <c r="X31" s="301">
        <f t="shared" si="12"/>
        <v>4.4564994452771876</v>
      </c>
      <c r="Y31" s="301"/>
      <c r="Z31" s="301"/>
    </row>
    <row r="32" spans="1:31">
      <c r="A32" s="296">
        <f t="shared" si="9"/>
        <v>2005</v>
      </c>
      <c r="B32" s="298">
        <v>37402391.991304971</v>
      </c>
      <c r="C32" s="298">
        <v>10109249.492557824</v>
      </c>
      <c r="D32" s="298">
        <v>105991877.30475019</v>
      </c>
      <c r="E32" s="298">
        <v>3709413.7935892045</v>
      </c>
      <c r="F32" s="298">
        <v>259100944.52064836</v>
      </c>
      <c r="G32" s="298">
        <v>55070173.15819902</v>
      </c>
      <c r="H32" s="298">
        <v>33010192.931773737</v>
      </c>
      <c r="I32" s="298">
        <v>5695450.4994209697</v>
      </c>
      <c r="J32" s="298">
        <v>38558200</v>
      </c>
      <c r="K32" s="298">
        <v>5738870.5881136097</v>
      </c>
      <c r="L32" s="298">
        <v>195012158.24350181</v>
      </c>
      <c r="M32" s="298">
        <v>33073602.513652511</v>
      </c>
      <c r="N32" s="298">
        <v>139472270.1358436</v>
      </c>
      <c r="O32" s="298">
        <v>29994478.276061129</v>
      </c>
      <c r="P32" s="298">
        <v>295503636.72601181</v>
      </c>
      <c r="Q32" s="298">
        <v>41559580.933257811</v>
      </c>
      <c r="R32" s="298">
        <v>297015436.40230113</v>
      </c>
      <c r="S32" s="298">
        <v>43251444.450704411</v>
      </c>
      <c r="T32" s="296"/>
      <c r="U32" s="296"/>
      <c r="V32" s="299">
        <f t="shared" si="10"/>
        <v>1401067108.2561357</v>
      </c>
      <c r="W32" s="299">
        <f t="shared" si="11"/>
        <v>228202263.70555645</v>
      </c>
      <c r="X32" s="301">
        <f t="shared" si="12"/>
        <v>5.9008047311080887</v>
      </c>
      <c r="Y32" s="301"/>
      <c r="Z32" s="301"/>
    </row>
    <row r="33" spans="1:26">
      <c r="A33" s="296">
        <f t="shared" si="9"/>
        <v>2006</v>
      </c>
      <c r="B33" s="298">
        <v>35358999.888728589</v>
      </c>
      <c r="C33" s="298">
        <v>10173890.635547588</v>
      </c>
      <c r="D33" s="298">
        <v>105364259.66842881</v>
      </c>
      <c r="E33" s="298">
        <v>3585375.7572555323</v>
      </c>
      <c r="F33" s="298">
        <v>275782399.13213938</v>
      </c>
      <c r="G33" s="298">
        <v>58392375.988227934</v>
      </c>
      <c r="H33" s="298">
        <v>34138999.892567828</v>
      </c>
      <c r="I33" s="298">
        <v>5883144.80623635</v>
      </c>
      <c r="J33" s="298">
        <v>42582000</v>
      </c>
      <c r="K33" s="298">
        <v>6174933.3969804104</v>
      </c>
      <c r="L33" s="298">
        <v>206635999.3497366</v>
      </c>
      <c r="M33" s="298">
        <v>35182914.260757938</v>
      </c>
      <c r="N33" s="298">
        <v>146606999.53864211</v>
      </c>
      <c r="O33" s="298">
        <v>31553257.154902242</v>
      </c>
      <c r="P33" s="298">
        <v>324001998.98039687</v>
      </c>
      <c r="Q33" s="298">
        <v>44750051.701336838</v>
      </c>
      <c r="R33" s="298">
        <v>308019999.03069079</v>
      </c>
      <c r="S33" s="298">
        <v>44876863.359979153</v>
      </c>
      <c r="T33" s="296"/>
      <c r="U33" s="296"/>
      <c r="V33" s="299">
        <f t="shared" si="10"/>
        <v>1478491655.4813309</v>
      </c>
      <c r="W33" s="299">
        <f t="shared" si="11"/>
        <v>240572807.06122398</v>
      </c>
      <c r="X33" s="301">
        <f t="shared" si="12"/>
        <v>5.4208679417961108</v>
      </c>
      <c r="Y33" s="301"/>
      <c r="Z33" s="301"/>
    </row>
    <row r="34" spans="1:26">
      <c r="A34" s="296">
        <f t="shared" si="9"/>
        <v>2007</v>
      </c>
      <c r="B34" s="298">
        <v>36301000.035048641</v>
      </c>
      <c r="C34" s="298">
        <v>10587366.772486754</v>
      </c>
      <c r="D34" s="298">
        <v>105335680.10170151</v>
      </c>
      <c r="E34" s="298">
        <v>3674644.3641340677</v>
      </c>
      <c r="F34" s="298">
        <v>290246000.28023225</v>
      </c>
      <c r="G34" s="298">
        <v>61485576.557348937</v>
      </c>
      <c r="H34" s="298">
        <v>35294000.034076363</v>
      </c>
      <c r="I34" s="298">
        <v>6078945.0175169902</v>
      </c>
      <c r="J34" s="298">
        <v>48971000</v>
      </c>
      <c r="K34" s="298">
        <v>7064988.8281871602</v>
      </c>
      <c r="L34" s="298">
        <v>217607000.21009913</v>
      </c>
      <c r="M34" s="298">
        <v>37143260.207439587</v>
      </c>
      <c r="N34" s="298">
        <v>156289000.15089691</v>
      </c>
      <c r="O34" s="298">
        <v>33802471.945352495</v>
      </c>
      <c r="P34" s="298">
        <v>349501000.33744317</v>
      </c>
      <c r="Q34" s="298">
        <v>48220421.38328173</v>
      </c>
      <c r="R34" s="298">
        <v>321865000.31076032</v>
      </c>
      <c r="S34" s="298">
        <v>46975137.731778502</v>
      </c>
      <c r="T34" s="296"/>
      <c r="U34" s="296"/>
      <c r="V34" s="299">
        <f t="shared" si="10"/>
        <v>1561409681.4602582</v>
      </c>
      <c r="W34" s="299">
        <f t="shared" si="11"/>
        <v>255032812.8075262</v>
      </c>
      <c r="X34" s="301">
        <f t="shared" si="12"/>
        <v>6.0106567832590709</v>
      </c>
      <c r="Y34" s="301"/>
      <c r="Z34" s="301"/>
    </row>
    <row r="35" spans="1:26">
      <c r="A35" s="296">
        <f t="shared" si="9"/>
        <v>2008</v>
      </c>
      <c r="B35" s="298">
        <v>42153999.925069243</v>
      </c>
      <c r="C35" s="298">
        <v>12121171.017531032</v>
      </c>
      <c r="D35" s="298">
        <v>99397869.823315501</v>
      </c>
      <c r="E35" s="298">
        <v>3436627.480192984</v>
      </c>
      <c r="F35" s="298">
        <v>297899999.47046888</v>
      </c>
      <c r="G35" s="298">
        <v>63054732.266365282</v>
      </c>
      <c r="H35" s="298">
        <v>34197999.939211428</v>
      </c>
      <c r="I35" s="298">
        <v>5835190.5697359499</v>
      </c>
      <c r="J35" s="298">
        <v>53644000.000000097</v>
      </c>
      <c r="K35" s="298">
        <v>7744235.8509514304</v>
      </c>
      <c r="L35" s="298">
        <v>219358999.61007902</v>
      </c>
      <c r="M35" s="298">
        <v>37460514.35413406</v>
      </c>
      <c r="N35" s="298">
        <v>161671999.71262032</v>
      </c>
      <c r="O35" s="298">
        <v>35081945.800184548</v>
      </c>
      <c r="P35" s="298">
        <v>375089999.3332594</v>
      </c>
      <c r="Q35" s="298">
        <v>51736243.623927094</v>
      </c>
      <c r="R35" s="298">
        <v>335759999.40317047</v>
      </c>
      <c r="S35" s="298">
        <v>49078097.652797699</v>
      </c>
      <c r="T35" s="296"/>
      <c r="U35" s="296"/>
      <c r="V35" s="299">
        <f t="shared" si="10"/>
        <v>1619174867.2171941</v>
      </c>
      <c r="W35" s="299">
        <f t="shared" si="11"/>
        <v>265548758.61582008</v>
      </c>
      <c r="X35" s="301">
        <f t="shared" si="12"/>
        <v>4.1233697313413105</v>
      </c>
      <c r="Y35" s="301"/>
      <c r="Z35" s="301"/>
    </row>
    <row r="36" spans="1:26">
      <c r="A36" s="296">
        <f t="shared" si="9"/>
        <v>2009</v>
      </c>
      <c r="B36" s="298">
        <v>41496140</v>
      </c>
      <c r="C36" s="298">
        <v>11812996</v>
      </c>
      <c r="D36" s="298">
        <v>94057360</v>
      </c>
      <c r="E36" s="298">
        <v>3214871</v>
      </c>
      <c r="F36" s="298">
        <v>267722570</v>
      </c>
      <c r="G36" s="298">
        <v>56782700</v>
      </c>
      <c r="H36" s="298">
        <v>33711910</v>
      </c>
      <c r="I36" s="298">
        <v>5605846</v>
      </c>
      <c r="J36" s="298">
        <v>57278522</v>
      </c>
      <c r="K36" s="298">
        <v>8314173</v>
      </c>
      <c r="L36" s="298">
        <v>217073921</v>
      </c>
      <c r="M36" s="298">
        <v>37560369</v>
      </c>
      <c r="N36" s="298">
        <v>163999441</v>
      </c>
      <c r="O36" s="298">
        <v>35778096</v>
      </c>
      <c r="P36" s="298">
        <v>378996811</v>
      </c>
      <c r="Q36" s="298">
        <v>52620583</v>
      </c>
      <c r="R36" s="298">
        <v>343523111</v>
      </c>
      <c r="S36" s="298">
        <v>50369141</v>
      </c>
      <c r="T36" s="296"/>
      <c r="U36" s="296"/>
      <c r="V36" s="299">
        <f t="shared" si="10"/>
        <v>1597859786</v>
      </c>
      <c r="W36" s="299">
        <f t="shared" si="11"/>
        <v>262058775</v>
      </c>
      <c r="X36" s="301">
        <f t="shared" si="12"/>
        <v>-1.3142534101879111</v>
      </c>
      <c r="Y36" s="301"/>
      <c r="Z36" s="301"/>
    </row>
    <row r="37" spans="1:26">
      <c r="A37" s="296">
        <f t="shared" si="9"/>
        <v>2010</v>
      </c>
      <c r="B37" s="298">
        <v>41700894</v>
      </c>
      <c r="C37" s="298">
        <v>12081551</v>
      </c>
      <c r="D37" s="298">
        <v>99222819</v>
      </c>
      <c r="E37" s="298">
        <v>3513581</v>
      </c>
      <c r="F37" s="298">
        <v>282215349</v>
      </c>
      <c r="G37" s="298">
        <v>60210484</v>
      </c>
      <c r="H37" s="298">
        <v>34287151</v>
      </c>
      <c r="I37" s="298">
        <v>5653545</v>
      </c>
      <c r="J37" s="298">
        <v>57781358</v>
      </c>
      <c r="K37" s="298">
        <v>8464778</v>
      </c>
      <c r="L37" s="298">
        <v>224653479</v>
      </c>
      <c r="M37" s="298">
        <v>38881850</v>
      </c>
      <c r="N37" s="298">
        <v>167282890</v>
      </c>
      <c r="O37" s="298">
        <v>36772617</v>
      </c>
      <c r="P37" s="298">
        <v>386744788</v>
      </c>
      <c r="Q37" s="298">
        <v>53082103</v>
      </c>
      <c r="R37" s="298">
        <v>349944357</v>
      </c>
      <c r="S37" s="298">
        <v>51375664</v>
      </c>
      <c r="T37" s="296"/>
      <c r="U37" s="296"/>
      <c r="V37" s="299">
        <f t="shared" si="10"/>
        <v>1643833085</v>
      </c>
      <c r="W37" s="299">
        <f t="shared" si="11"/>
        <v>270036173</v>
      </c>
      <c r="X37" s="301">
        <f t="shared" si="12"/>
        <v>3.0441255019985496</v>
      </c>
      <c r="Y37" s="301"/>
      <c r="Z37" s="301"/>
    </row>
    <row r="38" spans="1:26">
      <c r="A38" s="296">
        <f t="shared" si="9"/>
        <v>2011</v>
      </c>
      <c r="B38" s="298">
        <v>41552990</v>
      </c>
      <c r="C38" s="298">
        <v>12076460</v>
      </c>
      <c r="D38" s="298">
        <v>99415001</v>
      </c>
      <c r="E38" s="298">
        <v>3498069</v>
      </c>
      <c r="F38" s="298">
        <v>289015002</v>
      </c>
      <c r="G38" s="298">
        <v>61585994</v>
      </c>
      <c r="H38" s="298">
        <v>34749000</v>
      </c>
      <c r="I38" s="298">
        <v>5775024</v>
      </c>
      <c r="J38" s="298">
        <v>58241000</v>
      </c>
      <c r="K38" s="298">
        <v>8464541</v>
      </c>
      <c r="L38" s="298">
        <v>234630001</v>
      </c>
      <c r="M38" s="298">
        <v>40736510</v>
      </c>
      <c r="N38" s="298">
        <v>172733001</v>
      </c>
      <c r="O38" s="298">
        <v>37730181</v>
      </c>
      <c r="P38" s="298">
        <v>400382002</v>
      </c>
      <c r="Q38" s="298">
        <v>55037899</v>
      </c>
      <c r="R38" s="298">
        <v>362006002</v>
      </c>
      <c r="S38" s="298">
        <v>52850938</v>
      </c>
      <c r="T38" s="298"/>
      <c r="U38" s="298"/>
      <c r="V38" s="299">
        <f t="shared" si="10"/>
        <v>1692723999</v>
      </c>
      <c r="W38" s="299">
        <f t="shared" si="11"/>
        <v>277755616</v>
      </c>
      <c r="X38" s="301">
        <f t="shared" si="12"/>
        <v>2.8586699752999389</v>
      </c>
      <c r="Y38" s="298"/>
    </row>
    <row r="39" spans="1:26" ht="13.5" thickBot="1"/>
    <row r="40" spans="1:26" ht="58.5" customHeight="1" thickBot="1">
      <c r="A40" s="293" t="s">
        <v>370</v>
      </c>
      <c r="C40" s="294" t="s">
        <v>1</v>
      </c>
      <c r="D40" s="294" t="s">
        <v>2</v>
      </c>
      <c r="E40" s="294" t="s">
        <v>4</v>
      </c>
      <c r="F40" s="294" t="s">
        <v>5</v>
      </c>
      <c r="G40" s="294" t="s">
        <v>6</v>
      </c>
      <c r="H40" s="294" t="s">
        <v>8</v>
      </c>
      <c r="I40" s="294" t="s">
        <v>9</v>
      </c>
      <c r="J40" s="294" t="s">
        <v>10</v>
      </c>
      <c r="K40" s="305" t="s">
        <v>371</v>
      </c>
      <c r="L40" s="293" t="s">
        <v>372</v>
      </c>
      <c r="M40" s="294" t="s">
        <v>1</v>
      </c>
      <c r="N40" s="294" t="s">
        <v>2</v>
      </c>
      <c r="O40" s="294" t="s">
        <v>4</v>
      </c>
      <c r="P40" s="294" t="s">
        <v>5</v>
      </c>
      <c r="Q40" s="294" t="s">
        <v>6</v>
      </c>
      <c r="R40" s="294" t="s">
        <v>8</v>
      </c>
      <c r="S40" s="294" t="s">
        <v>9</v>
      </c>
      <c r="T40" s="294" t="s">
        <v>10</v>
      </c>
      <c r="U40" s="305" t="s">
        <v>371</v>
      </c>
    </row>
    <row r="41" spans="1:26">
      <c r="A41" s="296" t="s">
        <v>277</v>
      </c>
      <c r="B41" s="296"/>
      <c r="C41" s="306">
        <f>(C4/$W4)/(B4/$V4)</f>
        <v>0.97258476123342963</v>
      </c>
      <c r="D41" s="306">
        <f>(E4/$W4)/(D4/$V4)</f>
        <v>0.16137512654233999</v>
      </c>
      <c r="E41" s="306">
        <f>(G4/$W4)/(F4/$V4)</f>
        <v>1.4744370201414776</v>
      </c>
      <c r="F41" s="306">
        <f>(I4/$W4)/(H4/$V4)</f>
        <v>0.88344502688992843</v>
      </c>
      <c r="G41" s="306">
        <f>(K4/$W4)/(J4/$V4)</f>
        <v>0.77149198502173943</v>
      </c>
      <c r="H41" s="306">
        <f>(M4/$W4)/(L4/$V4)</f>
        <v>0.7348213449372617</v>
      </c>
      <c r="I41" s="306">
        <f>(O4/$W4)/(N4/$V4)</f>
        <v>1.114671672583549</v>
      </c>
      <c r="J41" s="306">
        <f>(Q4/$W4)/(P4/$V4)</f>
        <v>0.93753491386430199</v>
      </c>
      <c r="K41" s="306">
        <f>(S4/$W4)/(R4/$V4)</f>
        <v>1.0524250666078916</v>
      </c>
      <c r="L41" s="296" t="str">
        <f>A41</f>
        <v>1996</v>
      </c>
      <c r="M41" s="306">
        <f>(1-1/C41)*C4</f>
        <v>-3380.7546449732254</v>
      </c>
      <c r="N41" s="306">
        <f>(1-1/D41)*E4</f>
        <v>-66218.378576986332</v>
      </c>
      <c r="O41" s="306">
        <f>(1-1/E41)*G4</f>
        <v>96016.56255933705</v>
      </c>
      <c r="P41" s="306">
        <f>(1-1/F41)*I4</f>
        <v>-1245.3710932768133</v>
      </c>
      <c r="Q41" s="306">
        <f>(1-1/G41)*K4</f>
        <v>-10975.474042224332</v>
      </c>
      <c r="R41" s="306">
        <f>(1-1/H41)*M4</f>
        <v>-39997.471447440759</v>
      </c>
      <c r="S41" s="306">
        <f>(1-1/I41)*O4</f>
        <v>7636.7031442732887</v>
      </c>
      <c r="T41" s="306">
        <f>(1-1/J41)*Q4</f>
        <v>-6186.8738398201149</v>
      </c>
      <c r="U41" s="306">
        <f>(1-1/K41)*S4</f>
        <v>11491.739903372169</v>
      </c>
      <c r="V41" s="306">
        <f>AVERAGE(M41:U41)</f>
        <v>-1428.8131153043398</v>
      </c>
      <c r="W41" s="307">
        <f>V41/1000</f>
        <v>-1.4288131153043397</v>
      </c>
    </row>
    <row r="42" spans="1:26">
      <c r="A42" s="296">
        <f>A41+1</f>
        <v>1997</v>
      </c>
      <c r="B42" s="296"/>
      <c r="C42" s="306">
        <f t="shared" ref="C42:C56" si="13">(C5/$W5)/(B5/$V5)</f>
        <v>0.9771147943591868</v>
      </c>
      <c r="D42" s="306">
        <f t="shared" ref="D42:D56" si="14">(E5/$W5)/(D5/$V5)</f>
        <v>0.14038974667299792</v>
      </c>
      <c r="E42" s="306">
        <f t="shared" ref="E42:E56" si="15">(G5/$W5)/(F5/$V5)</f>
        <v>1.4747757084999575</v>
      </c>
      <c r="F42" s="306">
        <f t="shared" ref="F42:F56" si="16">(I5/$W5)/(H5/$V5)</f>
        <v>0.8889793912382874</v>
      </c>
      <c r="G42" s="306">
        <f t="shared" ref="G42:G56" si="17">(K5/$W5)/(J5/$V5)</f>
        <v>0.77462040172400437</v>
      </c>
      <c r="H42" s="306">
        <f t="shared" ref="H42:H56" si="18">(M5/$W5)/(L5/$V5)</f>
        <v>0.7380162326214128</v>
      </c>
      <c r="I42" s="306">
        <f t="shared" ref="I42:I56" si="19">(O5/$W5)/(N5/$V5)</f>
        <v>1.1213139222972073</v>
      </c>
      <c r="J42" s="306">
        <f t="shared" ref="J42:J56" si="20">(Q5/$W5)/(P5/$V5)</f>
        <v>0.94405087522304276</v>
      </c>
      <c r="K42" s="306">
        <f t="shared" ref="K42:K56" si="21">(S5/$W5)/(R5/$V5)</f>
        <v>1.0611149389993779</v>
      </c>
      <c r="L42" s="296">
        <f t="shared" ref="L42:L56" si="22">A42</f>
        <v>1997</v>
      </c>
      <c r="M42" s="306">
        <f t="shared" ref="M42:M56" si="23">(1-1/C42)*C5</f>
        <v>-2793.9197537354512</v>
      </c>
      <c r="N42" s="306">
        <f t="shared" ref="N42:N56" si="24">(1-1/D42)*E5</f>
        <v>-65711.027496164155</v>
      </c>
      <c r="O42" s="306">
        <f t="shared" ref="O42:O56" si="25">(1-1/E42)*G5</f>
        <v>91773.576241479372</v>
      </c>
      <c r="P42" s="306">
        <f t="shared" ref="P42:P56" si="26">(1-1/F42)*I5</f>
        <v>-1189.2441071110813</v>
      </c>
      <c r="Q42" s="306">
        <f t="shared" ref="Q42:Q56" si="27">(1-1/G42)*K5</f>
        <v>-11160.114731702268</v>
      </c>
      <c r="R42" s="306">
        <f t="shared" ref="R42:R56" si="28">(1-1/H42)*M5</f>
        <v>-40630.625376139236</v>
      </c>
      <c r="S42" s="306">
        <f t="shared" ref="S42:S56" si="29">(1-1/I42)*O5</f>
        <v>8176.0720134837684</v>
      </c>
      <c r="T42" s="306">
        <f t="shared" ref="T42:T56" si="30">(1-1/J42)*Q5</f>
        <v>-5792.7948993476039</v>
      </c>
      <c r="U42" s="306">
        <f t="shared" ref="U42:U56" si="31">(1-1/K42)*S5</f>
        <v>14243.38571343826</v>
      </c>
      <c r="V42" s="306">
        <f t="shared" ref="V42:V56" si="32">AVERAGE(M42:U42)</f>
        <v>-1453.8547106442659</v>
      </c>
      <c r="W42" s="307">
        <f t="shared" ref="W42:W56" si="33">V42/1000</f>
        <v>-1.4538547106442659</v>
      </c>
    </row>
    <row r="43" spans="1:26">
      <c r="A43" s="296">
        <f t="shared" ref="A43:A56" si="34">A42+1</f>
        <v>1998</v>
      </c>
      <c r="B43" s="296"/>
      <c r="C43" s="306">
        <f t="shared" si="13"/>
        <v>0.97809234565351455</v>
      </c>
      <c r="D43" s="306">
        <f t="shared" si="14"/>
        <v>0.14768128018913393</v>
      </c>
      <c r="E43" s="306">
        <f t="shared" si="15"/>
        <v>1.4631028668407333</v>
      </c>
      <c r="F43" s="306">
        <f t="shared" si="16"/>
        <v>0.87762788398813296</v>
      </c>
      <c r="G43" s="306">
        <f t="shared" si="17"/>
        <v>0.76855250247115847</v>
      </c>
      <c r="H43" s="306">
        <f t="shared" si="18"/>
        <v>0.73155616825165859</v>
      </c>
      <c r="I43" s="306">
        <f t="shared" si="19"/>
        <v>1.119825706972871</v>
      </c>
      <c r="J43" s="306">
        <f t="shared" si="20"/>
        <v>0.93025940262360718</v>
      </c>
      <c r="K43" s="306">
        <f t="shared" si="21"/>
        <v>1.0621385562514554</v>
      </c>
      <c r="L43" s="296">
        <f t="shared" si="22"/>
        <v>1998</v>
      </c>
      <c r="M43" s="306">
        <f t="shared" si="23"/>
        <v>-2630.2526303281024</v>
      </c>
      <c r="N43" s="306">
        <f t="shared" si="24"/>
        <v>-54925.220125869986</v>
      </c>
      <c r="O43" s="306">
        <f t="shared" si="25"/>
        <v>86533.885494060713</v>
      </c>
      <c r="P43" s="306">
        <f t="shared" si="26"/>
        <v>-1275.0712709020904</v>
      </c>
      <c r="Q43" s="306">
        <f t="shared" si="27"/>
        <v>-10777.908567917388</v>
      </c>
      <c r="R43" s="306">
        <f t="shared" si="28"/>
        <v>-44172.628768909461</v>
      </c>
      <c r="S43" s="306">
        <f t="shared" si="29"/>
        <v>7643.1989685068556</v>
      </c>
      <c r="T43" s="306">
        <f t="shared" si="30"/>
        <v>-7462.2096294568728</v>
      </c>
      <c r="U43" s="306">
        <f t="shared" si="31"/>
        <v>15232.397103729782</v>
      </c>
      <c r="V43" s="306">
        <f t="shared" si="32"/>
        <v>-1314.8677141207284</v>
      </c>
      <c r="W43" s="307">
        <f t="shared" si="33"/>
        <v>-1.3148677141207283</v>
      </c>
    </row>
    <row r="44" spans="1:26">
      <c r="A44" s="296">
        <f t="shared" si="34"/>
        <v>1999</v>
      </c>
      <c r="B44" s="296"/>
      <c r="C44" s="306">
        <f t="shared" si="13"/>
        <v>0.99180466115299748</v>
      </c>
      <c r="D44" s="306">
        <f t="shared" si="14"/>
        <v>0.12294234796718852</v>
      </c>
      <c r="E44" s="306">
        <f t="shared" si="15"/>
        <v>1.4748367083348712</v>
      </c>
      <c r="F44" s="306">
        <f t="shared" si="16"/>
        <v>0.87918721731375049</v>
      </c>
      <c r="G44" s="306">
        <f t="shared" si="17"/>
        <v>0.76149074855584198</v>
      </c>
      <c r="H44" s="306">
        <f t="shared" si="18"/>
        <v>0.72476422845759048</v>
      </c>
      <c r="I44" s="306">
        <f t="shared" si="19"/>
        <v>1.1107381945723054</v>
      </c>
      <c r="J44" s="306">
        <f t="shared" si="20"/>
        <v>0.91728787610059803</v>
      </c>
      <c r="K44" s="306">
        <f t="shared" si="21"/>
        <v>1.0762976746298487</v>
      </c>
      <c r="L44" s="296">
        <f t="shared" si="22"/>
        <v>1999</v>
      </c>
      <c r="M44" s="306">
        <f t="shared" si="23"/>
        <v>-969.08661582827017</v>
      </c>
      <c r="N44" s="306">
        <f t="shared" si="24"/>
        <v>-52217.155705557074</v>
      </c>
      <c r="O44" s="306">
        <f t="shared" si="25"/>
        <v>85261.748597629063</v>
      </c>
      <c r="P44" s="306">
        <f t="shared" si="26"/>
        <v>-1228.2266187514608</v>
      </c>
      <c r="Q44" s="306">
        <f t="shared" si="27"/>
        <v>-10808.73445840485</v>
      </c>
      <c r="R44" s="306">
        <f t="shared" si="28"/>
        <v>-49127.969459541324</v>
      </c>
      <c r="S44" s="306">
        <f t="shared" si="29"/>
        <v>6993.0310324892944</v>
      </c>
      <c r="T44" s="306">
        <f t="shared" si="30"/>
        <v>-9170.5144658807912</v>
      </c>
      <c r="U44" s="306">
        <f t="shared" si="31"/>
        <v>19127.912392127673</v>
      </c>
      <c r="V44" s="306">
        <f t="shared" si="32"/>
        <v>-1348.7772557464159</v>
      </c>
      <c r="W44" s="307">
        <f t="shared" si="33"/>
        <v>-1.3487772557464159</v>
      </c>
    </row>
    <row r="45" spans="1:26">
      <c r="A45" s="296">
        <f t="shared" si="34"/>
        <v>2000</v>
      </c>
      <c r="B45" s="296"/>
      <c r="C45" s="306">
        <f t="shared" si="13"/>
        <v>0.99841371026052028</v>
      </c>
      <c r="D45" s="306">
        <f t="shared" si="14"/>
        <v>0.11148606501922645</v>
      </c>
      <c r="E45" s="306">
        <f t="shared" si="15"/>
        <v>1.4824693878228383</v>
      </c>
      <c r="F45" s="306">
        <f t="shared" si="16"/>
        <v>0.87740086683540852</v>
      </c>
      <c r="G45" s="306">
        <f t="shared" si="17"/>
        <v>0.75723888909595871</v>
      </c>
      <c r="H45" s="306">
        <f t="shared" si="18"/>
        <v>0.71795642119130232</v>
      </c>
      <c r="I45" s="306">
        <f t="shared" si="19"/>
        <v>1.0901066949257898</v>
      </c>
      <c r="J45" s="306">
        <f t="shared" si="20"/>
        <v>0.91251926458924082</v>
      </c>
      <c r="K45" s="306">
        <f t="shared" si="21"/>
        <v>1.0821239980531143</v>
      </c>
      <c r="L45" s="296">
        <f t="shared" si="22"/>
        <v>2000</v>
      </c>
      <c r="M45" s="306">
        <f t="shared" si="23"/>
        <v>-184.50608005154567</v>
      </c>
      <c r="N45" s="306">
        <f t="shared" si="24"/>
        <v>-50390.348436900131</v>
      </c>
      <c r="O45" s="306">
        <f t="shared" si="25"/>
        <v>84904.593761192824</v>
      </c>
      <c r="P45" s="306">
        <f t="shared" si="26"/>
        <v>-1240.1048852129086</v>
      </c>
      <c r="Q45" s="306">
        <f t="shared" si="27"/>
        <v>-11562.997154157427</v>
      </c>
      <c r="R45" s="306">
        <f t="shared" si="28"/>
        <v>-49797.004928885108</v>
      </c>
      <c r="S45" s="306">
        <f t="shared" si="29"/>
        <v>5590.6116135465782</v>
      </c>
      <c r="T45" s="306">
        <f t="shared" si="30"/>
        <v>-10122.406204369066</v>
      </c>
      <c r="U45" s="306">
        <f t="shared" si="31"/>
        <v>21105.549858277314</v>
      </c>
      <c r="V45" s="306">
        <f t="shared" si="32"/>
        <v>-1299.623606284385</v>
      </c>
      <c r="W45" s="307">
        <f t="shared" si="33"/>
        <v>-1.2996236062843851</v>
      </c>
    </row>
    <row r="46" spans="1:26">
      <c r="A46" s="296">
        <f t="shared" si="34"/>
        <v>2001</v>
      </c>
      <c r="B46" s="296"/>
      <c r="C46" s="306">
        <f t="shared" si="13"/>
        <v>0.99692185477793038</v>
      </c>
      <c r="D46" s="306">
        <f t="shared" si="14"/>
        <v>0.10510624160609253</v>
      </c>
      <c r="E46" s="306">
        <f t="shared" si="15"/>
        <v>1.4931722498038487</v>
      </c>
      <c r="F46" s="306">
        <f t="shared" si="16"/>
        <v>0.87647238169429798</v>
      </c>
      <c r="G46" s="306">
        <f t="shared" si="17"/>
        <v>0.76772072462020902</v>
      </c>
      <c r="H46" s="306">
        <f t="shared" si="18"/>
        <v>0.72641824103735075</v>
      </c>
      <c r="I46" s="306">
        <f t="shared" si="19"/>
        <v>1.0927092442173261</v>
      </c>
      <c r="J46" s="306">
        <f t="shared" si="20"/>
        <v>0.91209228271693854</v>
      </c>
      <c r="K46" s="306">
        <f t="shared" si="21"/>
        <v>1.0805795618183192</v>
      </c>
      <c r="L46" s="296">
        <f t="shared" si="22"/>
        <v>2001</v>
      </c>
      <c r="M46" s="306">
        <f t="shared" si="23"/>
        <v>-379.7996415045813</v>
      </c>
      <c r="N46" s="306">
        <f t="shared" si="24"/>
        <v>-49000.637039916975</v>
      </c>
      <c r="O46" s="306">
        <f t="shared" si="25"/>
        <v>83845.085549999523</v>
      </c>
      <c r="P46" s="306">
        <f t="shared" si="26"/>
        <v>-1236.000384749844</v>
      </c>
      <c r="Q46" s="306">
        <f t="shared" si="27"/>
        <v>-10530.196710064991</v>
      </c>
      <c r="R46" s="306">
        <f t="shared" si="28"/>
        <v>-48610.551281190375</v>
      </c>
      <c r="S46" s="306">
        <f t="shared" si="29"/>
        <v>5497.3873612054131</v>
      </c>
      <c r="T46" s="306">
        <f t="shared" si="30"/>
        <v>-11021.081063809035</v>
      </c>
      <c r="U46" s="306">
        <f t="shared" si="31"/>
        <v>20391.264011726911</v>
      </c>
      <c r="V46" s="306">
        <f t="shared" si="32"/>
        <v>-1227.169910922662</v>
      </c>
      <c r="W46" s="307">
        <f t="shared" si="33"/>
        <v>-1.2271699109226619</v>
      </c>
    </row>
    <row r="47" spans="1:26">
      <c r="A47" s="296">
        <f t="shared" si="34"/>
        <v>2002</v>
      </c>
      <c r="B47" s="296"/>
      <c r="C47" s="306">
        <f t="shared" si="13"/>
        <v>1.0037541933299283</v>
      </c>
      <c r="D47" s="306">
        <f t="shared" si="14"/>
        <v>0.10383825108679548</v>
      </c>
      <c r="E47" s="306">
        <f t="shared" si="15"/>
        <v>1.4993700874475939</v>
      </c>
      <c r="F47" s="306">
        <f t="shared" si="16"/>
        <v>0.89159441189447208</v>
      </c>
      <c r="G47" s="306">
        <f t="shared" si="17"/>
        <v>0.76976671040890943</v>
      </c>
      <c r="H47" s="306">
        <f t="shared" si="18"/>
        <v>0.72912874555861129</v>
      </c>
      <c r="I47" s="306">
        <f t="shared" si="19"/>
        <v>1.0810634350401527</v>
      </c>
      <c r="J47" s="306">
        <f t="shared" si="20"/>
        <v>0.90732772908706261</v>
      </c>
      <c r="K47" s="306">
        <f t="shared" si="21"/>
        <v>1.0781444294617941</v>
      </c>
      <c r="L47" s="296">
        <f t="shared" si="22"/>
        <v>2002</v>
      </c>
      <c r="M47" s="306">
        <f t="shared" si="23"/>
        <v>469.03376609666839</v>
      </c>
      <c r="N47" s="306">
        <f t="shared" si="24"/>
        <v>-49885.328604764363</v>
      </c>
      <c r="O47" s="306">
        <f t="shared" si="25"/>
        <v>84875.206602943246</v>
      </c>
      <c r="P47" s="306">
        <f t="shared" si="26"/>
        <v>-1087.5279873028924</v>
      </c>
      <c r="Q47" s="306">
        <f t="shared" si="27"/>
        <v>-10355.004820934404</v>
      </c>
      <c r="R47" s="306">
        <f t="shared" si="28"/>
        <v>-47850.784717401839</v>
      </c>
      <c r="S47" s="306">
        <f t="shared" si="29"/>
        <v>4843.9559380362298</v>
      </c>
      <c r="T47" s="306">
        <f t="shared" si="30"/>
        <v>-12512.895894245725</v>
      </c>
      <c r="U47" s="306">
        <f t="shared" si="31"/>
        <v>20326.783822740559</v>
      </c>
      <c r="V47" s="306">
        <f t="shared" si="32"/>
        <v>-1241.8402105369464</v>
      </c>
      <c r="W47" s="307">
        <f t="shared" si="33"/>
        <v>-1.2418402105369464</v>
      </c>
    </row>
    <row r="48" spans="1:26">
      <c r="A48" s="296">
        <f t="shared" si="34"/>
        <v>2003</v>
      </c>
      <c r="B48" s="296"/>
      <c r="C48" s="306">
        <f t="shared" si="13"/>
        <v>1.0206162927601434</v>
      </c>
      <c r="D48" s="306">
        <f t="shared" si="14"/>
        <v>0.11130575829032041</v>
      </c>
      <c r="E48" s="306">
        <f t="shared" si="15"/>
        <v>1.5175921232577083</v>
      </c>
      <c r="F48" s="306">
        <f t="shared" si="16"/>
        <v>0.88695563182597581</v>
      </c>
      <c r="G48" s="306">
        <f t="shared" si="17"/>
        <v>0.77423797576483822</v>
      </c>
      <c r="H48" s="306">
        <f t="shared" si="18"/>
        <v>0.73504078406410311</v>
      </c>
      <c r="I48" s="306">
        <f t="shared" si="19"/>
        <v>1.0959870540374357</v>
      </c>
      <c r="J48" s="306">
        <f t="shared" si="20"/>
        <v>0.9085267269253251</v>
      </c>
      <c r="K48" s="306">
        <f t="shared" si="21"/>
        <v>1.0745015031953065</v>
      </c>
      <c r="L48" s="296">
        <f t="shared" si="22"/>
        <v>2003</v>
      </c>
      <c r="M48" s="306">
        <f t="shared" si="23"/>
        <v>2464.9990932854344</v>
      </c>
      <c r="N48" s="306">
        <f t="shared" si="24"/>
        <v>-50920.798568233906</v>
      </c>
      <c r="O48" s="306">
        <f t="shared" si="25"/>
        <v>84726.017696026305</v>
      </c>
      <c r="P48" s="306">
        <f t="shared" si="26"/>
        <v>-1073.0435002184179</v>
      </c>
      <c r="Q48" s="306">
        <f t="shared" si="27"/>
        <v>-11160.381993930716</v>
      </c>
      <c r="R48" s="306">
        <f t="shared" si="28"/>
        <v>-49563.185817961683</v>
      </c>
      <c r="S48" s="306">
        <f t="shared" si="29"/>
        <v>5390.9179229112833</v>
      </c>
      <c r="T48" s="306">
        <f t="shared" si="30"/>
        <v>-12420.009745496258</v>
      </c>
      <c r="U48" s="306">
        <f t="shared" si="31"/>
        <v>20173.633451734862</v>
      </c>
      <c r="V48" s="306">
        <f t="shared" si="32"/>
        <v>-1375.7612735425657</v>
      </c>
      <c r="W48" s="307">
        <f t="shared" si="33"/>
        <v>-1.3757612735425657</v>
      </c>
    </row>
    <row r="49" spans="1:23">
      <c r="A49" s="296">
        <f t="shared" si="34"/>
        <v>2004</v>
      </c>
      <c r="B49" s="296"/>
      <c r="C49" s="306">
        <f t="shared" si="13"/>
        <v>1.0139155702472762</v>
      </c>
      <c r="D49" s="306">
        <f t="shared" si="14"/>
        <v>0.13301149182134653</v>
      </c>
      <c r="E49" s="306">
        <f t="shared" si="15"/>
        <v>1.5024697278959711</v>
      </c>
      <c r="F49" s="306">
        <f t="shared" si="16"/>
        <v>0.88283527875069601</v>
      </c>
      <c r="G49" s="306">
        <f t="shared" si="17"/>
        <v>0.77645356681688527</v>
      </c>
      <c r="H49" s="306">
        <f t="shared" si="18"/>
        <v>0.73965979868373188</v>
      </c>
      <c r="I49" s="306">
        <f t="shared" si="19"/>
        <v>1.1101815095486407</v>
      </c>
      <c r="J49" s="306">
        <f t="shared" si="20"/>
        <v>0.90852286780213765</v>
      </c>
      <c r="K49" s="306">
        <f t="shared" si="21"/>
        <v>1.0903550618227489</v>
      </c>
      <c r="L49" s="296">
        <f t="shared" si="22"/>
        <v>2004</v>
      </c>
      <c r="M49" s="306">
        <f t="shared" si="23"/>
        <v>1502.200516779589</v>
      </c>
      <c r="N49" s="306">
        <f t="shared" si="24"/>
        <v>-51733.619587988622</v>
      </c>
      <c r="O49" s="306">
        <f t="shared" si="25"/>
        <v>85241.128042850396</v>
      </c>
      <c r="P49" s="306">
        <f t="shared" si="26"/>
        <v>-1112.4420984056947</v>
      </c>
      <c r="Q49" s="306">
        <f t="shared" si="27"/>
        <v>-13069.85547202104</v>
      </c>
      <c r="R49" s="306">
        <f t="shared" si="28"/>
        <v>-50875.50726230799</v>
      </c>
      <c r="S49" s="306">
        <f t="shared" si="29"/>
        <v>6330.7580528765811</v>
      </c>
      <c r="T49" s="306">
        <f t="shared" si="30"/>
        <v>-13307.547680789849</v>
      </c>
      <c r="U49" s="306">
        <f t="shared" si="31"/>
        <v>24257.118456604891</v>
      </c>
      <c r="V49" s="306">
        <f t="shared" si="32"/>
        <v>-1418.6407813779708</v>
      </c>
      <c r="W49" s="307">
        <f t="shared" si="33"/>
        <v>-1.4186407813779709</v>
      </c>
    </row>
    <row r="50" spans="1:23">
      <c r="A50" s="296">
        <f t="shared" si="34"/>
        <v>2005</v>
      </c>
      <c r="B50" s="296"/>
      <c r="C50" s="306">
        <f t="shared" si="13"/>
        <v>1.017544560259545</v>
      </c>
      <c r="D50" s="306">
        <f t="shared" si="14"/>
        <v>0.13970188111186088</v>
      </c>
      <c r="E50" s="306">
        <f t="shared" si="15"/>
        <v>1.487665624771092</v>
      </c>
      <c r="F50" s="306">
        <f t="shared" si="16"/>
        <v>0.87996582469235185</v>
      </c>
      <c r="G50" s="306">
        <f t="shared" si="17"/>
        <v>0.77926864231322968</v>
      </c>
      <c r="H50" s="306">
        <f t="shared" si="18"/>
        <v>0.74394244539114684</v>
      </c>
      <c r="I50" s="306">
        <f t="shared" si="19"/>
        <v>1.1184353947422281</v>
      </c>
      <c r="J50" s="306">
        <f t="shared" si="20"/>
        <v>0.90922970808026682</v>
      </c>
      <c r="K50" s="306">
        <f t="shared" si="21"/>
        <v>1.1080061829650476</v>
      </c>
      <c r="L50" s="296">
        <f t="shared" si="22"/>
        <v>2005</v>
      </c>
      <c r="M50" s="306">
        <f t="shared" si="23"/>
        <v>1759.7463773888585</v>
      </c>
      <c r="N50" s="306">
        <f t="shared" si="24"/>
        <v>-49325.421825916659</v>
      </c>
      <c r="O50" s="306">
        <f t="shared" si="25"/>
        <v>82919.899386834106</v>
      </c>
      <c r="P50" s="306">
        <f t="shared" si="26"/>
        <v>-1151.0554613172592</v>
      </c>
      <c r="Q50" s="306">
        <f t="shared" si="27"/>
        <v>-15034.929157649807</v>
      </c>
      <c r="R50" s="306">
        <f t="shared" si="28"/>
        <v>-54449.801307943133</v>
      </c>
      <c r="S50" s="306">
        <f t="shared" si="29"/>
        <v>6898.9192766466631</v>
      </c>
      <c r="T50" s="306">
        <f t="shared" si="30"/>
        <v>-14183.681238501864</v>
      </c>
      <c r="U50" s="306">
        <f t="shared" si="31"/>
        <v>28396.397162621695</v>
      </c>
      <c r="V50" s="306">
        <f t="shared" si="32"/>
        <v>-1574.4363097597104</v>
      </c>
      <c r="W50" s="307">
        <f t="shared" si="33"/>
        <v>-1.5744363097597105</v>
      </c>
    </row>
    <row r="51" spans="1:23">
      <c r="A51" s="296">
        <f t="shared" si="34"/>
        <v>2006</v>
      </c>
      <c r="B51" s="296"/>
      <c r="C51" s="306">
        <f t="shared" si="13"/>
        <v>1.0234190670853214</v>
      </c>
      <c r="D51" s="306">
        <f t="shared" si="14"/>
        <v>0.16538431824037961</v>
      </c>
      <c r="E51" s="306">
        <f t="shared" si="15"/>
        <v>1.4784049746350223</v>
      </c>
      <c r="F51" s="306">
        <f t="shared" si="16"/>
        <v>0.86936655515954242</v>
      </c>
      <c r="G51" s="306">
        <f t="shared" si="17"/>
        <v>0.77934566380602288</v>
      </c>
      <c r="H51" s="306">
        <f t="shared" si="18"/>
        <v>0.7456380758585166</v>
      </c>
      <c r="I51" s="306">
        <f t="shared" si="19"/>
        <v>1.1187667389593379</v>
      </c>
      <c r="J51" s="306">
        <f t="shared" si="20"/>
        <v>0.90870489730394044</v>
      </c>
      <c r="K51" s="306">
        <f t="shared" si="21"/>
        <v>1.1173120636370231</v>
      </c>
      <c r="L51" s="296">
        <f t="shared" si="22"/>
        <v>2006</v>
      </c>
      <c r="M51" s="306">
        <f t="shared" si="23"/>
        <v>2296.0217778402812</v>
      </c>
      <c r="N51" s="306">
        <f t="shared" si="24"/>
        <v>-49446.200343694996</v>
      </c>
      <c r="O51" s="306">
        <f t="shared" si="25"/>
        <v>84751.182258314861</v>
      </c>
      <c r="P51" s="306">
        <f t="shared" si="26"/>
        <v>-1271.4108269981866</v>
      </c>
      <c r="Q51" s="306">
        <f t="shared" si="27"/>
        <v>-15199.57535856617</v>
      </c>
      <c r="R51" s="306">
        <f t="shared" si="28"/>
        <v>-59152.817874565189</v>
      </c>
      <c r="S51" s="306">
        <f t="shared" si="29"/>
        <v>6818.7125605861083</v>
      </c>
      <c r="T51" s="306">
        <f t="shared" si="30"/>
        <v>-15383.44597689578</v>
      </c>
      <c r="U51" s="306">
        <f t="shared" si="31"/>
        <v>31302.609860448913</v>
      </c>
      <c r="V51" s="306">
        <f t="shared" si="32"/>
        <v>-1698.3248803922409</v>
      </c>
      <c r="W51" s="307">
        <f t="shared" si="33"/>
        <v>-1.6983248803922408</v>
      </c>
    </row>
    <row r="52" spans="1:23">
      <c r="A52" s="296">
        <f t="shared" si="34"/>
        <v>2007</v>
      </c>
      <c r="B52" s="296"/>
      <c r="C52" s="306">
        <f t="shared" si="13"/>
        <v>1.026333066159161</v>
      </c>
      <c r="D52" s="306">
        <f t="shared" si="14"/>
        <v>0.16099229758774145</v>
      </c>
      <c r="E52" s="306">
        <f t="shared" si="15"/>
        <v>1.4618278290143121</v>
      </c>
      <c r="F52" s="306">
        <f t="shared" si="16"/>
        <v>0.86743138957710775</v>
      </c>
      <c r="G52" s="306">
        <f t="shared" si="17"/>
        <v>0.78188114747315396</v>
      </c>
      <c r="H52" s="306">
        <f t="shared" si="18"/>
        <v>0.74966850170798593</v>
      </c>
      <c r="I52" s="306">
        <f t="shared" si="19"/>
        <v>1.1136332060742877</v>
      </c>
      <c r="J52" s="306">
        <f t="shared" si="20"/>
        <v>0.91093439791085018</v>
      </c>
      <c r="K52" s="306">
        <f t="shared" si="21"/>
        <v>1.1275979898276747</v>
      </c>
      <c r="L52" s="296">
        <f t="shared" si="22"/>
        <v>2007</v>
      </c>
      <c r="M52" s="306">
        <f t="shared" si="23"/>
        <v>2789.7124436241065</v>
      </c>
      <c r="N52" s="306">
        <f t="shared" si="24"/>
        <v>-53747.913135018745</v>
      </c>
      <c r="O52" s="306">
        <f t="shared" si="25"/>
        <v>83480.781530703622</v>
      </c>
      <c r="P52" s="306">
        <f t="shared" si="26"/>
        <v>-1329.7615983698545</v>
      </c>
      <c r="Q52" s="306">
        <f t="shared" si="27"/>
        <v>-15475.556425254814</v>
      </c>
      <c r="R52" s="306">
        <f t="shared" si="28"/>
        <v>-59839.537653166379</v>
      </c>
      <c r="S52" s="306">
        <f t="shared" si="29"/>
        <v>6545.3773497336697</v>
      </c>
      <c r="T52" s="306">
        <f t="shared" si="30"/>
        <v>-16413.134914785827</v>
      </c>
      <c r="U52" s="306">
        <f t="shared" si="31"/>
        <v>35876.784008179879</v>
      </c>
      <c r="V52" s="306">
        <f t="shared" si="32"/>
        <v>-2012.5831549282609</v>
      </c>
      <c r="W52" s="307">
        <f t="shared" si="33"/>
        <v>-2.0125831549282611</v>
      </c>
    </row>
    <row r="53" spans="1:23">
      <c r="A53" s="296">
        <f t="shared" si="34"/>
        <v>2008</v>
      </c>
      <c r="B53" s="296"/>
      <c r="C53" s="306">
        <f t="shared" si="13"/>
        <v>1.0132254228417212</v>
      </c>
      <c r="D53" s="306">
        <f t="shared" si="14"/>
        <v>0.16399132095371052</v>
      </c>
      <c r="E53" s="306">
        <f t="shared" si="15"/>
        <v>1.4482848775372934</v>
      </c>
      <c r="F53" s="306">
        <f t="shared" si="16"/>
        <v>0.86136945501683504</v>
      </c>
      <c r="G53" s="306">
        <f t="shared" si="17"/>
        <v>0.78047301225646826</v>
      </c>
      <c r="H53" s="306">
        <f t="shared" si="18"/>
        <v>0.74857597022729194</v>
      </c>
      <c r="I53" s="306">
        <f t="shared" si="19"/>
        <v>1.1156378311516693</v>
      </c>
      <c r="J53" s="306">
        <f t="shared" si="20"/>
        <v>0.90824016848282951</v>
      </c>
      <c r="K53" s="306">
        <f t="shared" si="21"/>
        <v>1.1308263501954163</v>
      </c>
      <c r="L53" s="296">
        <f t="shared" si="22"/>
        <v>2008</v>
      </c>
      <c r="M53" s="306">
        <f t="shared" si="23"/>
        <v>1408.0112857164063</v>
      </c>
      <c r="N53" s="306">
        <f t="shared" si="24"/>
        <v>-56718.698996662642</v>
      </c>
      <c r="O53" s="306">
        <f t="shared" si="25"/>
        <v>86673.724503352831</v>
      </c>
      <c r="P53" s="306">
        <f t="shared" si="26"/>
        <v>-1355.3894592917979</v>
      </c>
      <c r="Q53" s="306">
        <f t="shared" si="27"/>
        <v>-16631.133806092534</v>
      </c>
      <c r="R53" s="306">
        <f t="shared" si="28"/>
        <v>-61504.477928862107</v>
      </c>
      <c r="S53" s="306">
        <f t="shared" si="29"/>
        <v>7652.1597284314603</v>
      </c>
      <c r="T53" s="306">
        <f t="shared" si="30"/>
        <v>-18464.606713720361</v>
      </c>
      <c r="U53" s="306">
        <f t="shared" si="31"/>
        <v>39495.492339751159</v>
      </c>
      <c r="V53" s="306">
        <f t="shared" si="32"/>
        <v>-2160.5465608197314</v>
      </c>
      <c r="W53" s="307">
        <f t="shared" si="33"/>
        <v>-2.1605465608197316</v>
      </c>
    </row>
    <row r="54" spans="1:23">
      <c r="A54" s="296">
        <f t="shared" si="34"/>
        <v>2009</v>
      </c>
      <c r="B54" s="296"/>
      <c r="C54" s="306">
        <f t="shared" si="13"/>
        <v>1.004390621698372</v>
      </c>
      <c r="D54" s="306">
        <f t="shared" si="14"/>
        <v>0.176661203067282</v>
      </c>
      <c r="E54" s="306">
        <f t="shared" si="15"/>
        <v>1.473081183127261</v>
      </c>
      <c r="F54" s="306">
        <f t="shared" si="16"/>
        <v>0.93771676464311415</v>
      </c>
      <c r="G54" s="306">
        <f t="shared" si="17"/>
        <v>0.77941514992479444</v>
      </c>
      <c r="H54" s="306">
        <f t="shared" si="18"/>
        <v>0.75089052661687683</v>
      </c>
      <c r="I54" s="306">
        <f t="shared" si="19"/>
        <v>1.1146883013863274</v>
      </c>
      <c r="J54" s="306">
        <f t="shared" si="20"/>
        <v>0.91760205180684407</v>
      </c>
      <c r="K54" s="306">
        <f t="shared" si="21"/>
        <v>1.0973272114680734</v>
      </c>
      <c r="L54" s="296">
        <f t="shared" si="22"/>
        <v>2009</v>
      </c>
      <c r="M54" s="306">
        <f t="shared" si="23"/>
        <v>476.09226812682937</v>
      </c>
      <c r="N54" s="306">
        <f t="shared" si="24"/>
        <v>-55884.684031389661</v>
      </c>
      <c r="O54" s="306">
        <f t="shared" si="25"/>
        <v>93322.565257904178</v>
      </c>
      <c r="P54" s="306">
        <f t="shared" si="26"/>
        <v>-692.69515703302534</v>
      </c>
      <c r="Q54" s="306">
        <f t="shared" si="27"/>
        <v>-16918.251786506924</v>
      </c>
      <c r="R54" s="306">
        <f t="shared" si="28"/>
        <v>-60392.807135184943</v>
      </c>
      <c r="S54" s="306">
        <f t="shared" si="29"/>
        <v>7702.6241186057596</v>
      </c>
      <c r="T54" s="306">
        <f t="shared" si="30"/>
        <v>-17756.736089981048</v>
      </c>
      <c r="U54" s="306">
        <f t="shared" si="31"/>
        <v>31144.290123979685</v>
      </c>
      <c r="V54" s="306">
        <f t="shared" si="32"/>
        <v>-2111.0669368310168</v>
      </c>
      <c r="W54" s="307">
        <f t="shared" si="33"/>
        <v>-2.1110669368310169</v>
      </c>
    </row>
    <row r="55" spans="1:23">
      <c r="A55" s="296">
        <f t="shared" si="34"/>
        <v>2010</v>
      </c>
      <c r="B55" s="296"/>
      <c r="C55" s="306">
        <f t="shared" si="13"/>
        <v>1.0036341642241362</v>
      </c>
      <c r="D55" s="306">
        <f t="shared" si="14"/>
        <v>0.1886284423004663</v>
      </c>
      <c r="E55" s="306">
        <f t="shared" si="15"/>
        <v>1.4658417348815673</v>
      </c>
      <c r="F55" s="306">
        <f t="shared" si="16"/>
        <v>0.92055191025085192</v>
      </c>
      <c r="G55" s="306">
        <f t="shared" si="17"/>
        <v>0.78145486603649028</v>
      </c>
      <c r="H55" s="306">
        <f t="shared" si="18"/>
        <v>0.75250873075623104</v>
      </c>
      <c r="I55" s="306">
        <f t="shared" si="19"/>
        <v>1.1199978347611081</v>
      </c>
      <c r="J55" s="306">
        <f t="shared" si="20"/>
        <v>0.92166760998251707</v>
      </c>
      <c r="K55" s="306">
        <f t="shared" si="21"/>
        <v>1.1034814918196159</v>
      </c>
      <c r="L55" s="296">
        <f t="shared" si="22"/>
        <v>2010</v>
      </c>
      <c r="M55" s="306">
        <f t="shared" si="23"/>
        <v>380.60744580020844</v>
      </c>
      <c r="N55" s="306">
        <f t="shared" si="24"/>
        <v>-56598.182257183777</v>
      </c>
      <c r="O55" s="306">
        <f t="shared" si="25"/>
        <v>86028.902136446239</v>
      </c>
      <c r="P55" s="306">
        <f t="shared" si="26"/>
        <v>-782.1808084677341</v>
      </c>
      <c r="Q55" s="306">
        <f t="shared" si="27"/>
        <v>-16709.11102664769</v>
      </c>
      <c r="R55" s="306">
        <f t="shared" si="28"/>
        <v>-59457.402019419416</v>
      </c>
      <c r="S55" s="306">
        <f t="shared" si="29"/>
        <v>8289.2950250905251</v>
      </c>
      <c r="T55" s="306">
        <f t="shared" si="30"/>
        <v>-16152.405589575861</v>
      </c>
      <c r="U55" s="306">
        <f t="shared" si="31"/>
        <v>34387.284243666916</v>
      </c>
      <c r="V55" s="306">
        <f t="shared" si="32"/>
        <v>-2290.3547611433978</v>
      </c>
      <c r="W55" s="307">
        <f t="shared" si="33"/>
        <v>-2.2903547611433979</v>
      </c>
    </row>
    <row r="56" spans="1:23">
      <c r="A56" s="296">
        <f t="shared" si="34"/>
        <v>2011</v>
      </c>
      <c r="C56" s="306">
        <f t="shared" si="13"/>
        <v>0.99712121393890896</v>
      </c>
      <c r="D56" s="306">
        <f t="shared" si="14"/>
        <v>0.1855370901583264</v>
      </c>
      <c r="E56" s="306">
        <f t="shared" si="15"/>
        <v>1.4553395871536752</v>
      </c>
      <c r="F56" s="306">
        <f t="shared" si="16"/>
        <v>0.92524665530231776</v>
      </c>
      <c r="G56" s="306">
        <f t="shared" si="17"/>
        <v>0.78262950262828623</v>
      </c>
      <c r="H56" s="306">
        <f t="shared" si="18"/>
        <v>0.75409400172415075</v>
      </c>
      <c r="I56" s="306">
        <f t="shared" si="19"/>
        <v>1.1220076909355747</v>
      </c>
      <c r="J56" s="306">
        <f t="shared" si="20"/>
        <v>0.9248623987030784</v>
      </c>
      <c r="K56" s="306">
        <f t="shared" si="21"/>
        <v>1.1058947159162789</v>
      </c>
      <c r="L56" s="296">
        <f t="shared" si="22"/>
        <v>2011</v>
      </c>
      <c r="M56" s="306">
        <f t="shared" si="23"/>
        <v>-292.03278878715747</v>
      </c>
      <c r="N56" s="306">
        <f t="shared" si="24"/>
        <v>-58906.161446420323</v>
      </c>
      <c r="O56" s="306">
        <f t="shared" si="25"/>
        <v>87278.712360220554</v>
      </c>
      <c r="P56" s="306">
        <f t="shared" si="26"/>
        <v>-719.1374509067108</v>
      </c>
      <c r="Q56" s="306">
        <f t="shared" si="27"/>
        <v>-17062.913026774029</v>
      </c>
      <c r="R56" s="306">
        <f t="shared" si="28"/>
        <v>-61123.828094952412</v>
      </c>
      <c r="S56" s="306">
        <f t="shared" si="29"/>
        <v>8742.1934733678609</v>
      </c>
      <c r="T56" s="306">
        <f t="shared" si="30"/>
        <v>-16224.987253512911</v>
      </c>
      <c r="U56" s="306">
        <f t="shared" si="31"/>
        <v>37368.115157921151</v>
      </c>
      <c r="V56" s="306">
        <f t="shared" si="32"/>
        <v>-2326.6710077604421</v>
      </c>
      <c r="W56" s="307">
        <f t="shared" si="33"/>
        <v>-2.3266710077604422</v>
      </c>
    </row>
    <row r="57" spans="1:23" ht="13.5" thickBot="1"/>
    <row r="58" spans="1:23" ht="51.75" thickBot="1">
      <c r="A58" s="293" t="s">
        <v>373</v>
      </c>
      <c r="C58" s="294" t="s">
        <v>1</v>
      </c>
      <c r="D58" s="294" t="s">
        <v>2</v>
      </c>
      <c r="E58" s="294" t="s">
        <v>4</v>
      </c>
      <c r="F58" s="294" t="s">
        <v>5</v>
      </c>
      <c r="G58" s="294" t="s">
        <v>6</v>
      </c>
      <c r="H58" s="294" t="s">
        <v>8</v>
      </c>
      <c r="I58" s="294" t="s">
        <v>9</v>
      </c>
      <c r="J58" s="294" t="s">
        <v>10</v>
      </c>
      <c r="K58" s="305" t="s">
        <v>371</v>
      </c>
      <c r="L58" s="308" t="s">
        <v>28</v>
      </c>
    </row>
    <row r="59" spans="1:23">
      <c r="A59" s="292" t="str">
        <f t="shared" ref="A59:A64" si="35">A41</f>
        <v>1996</v>
      </c>
      <c r="C59" s="306">
        <f t="shared" ref="C59:C74" si="36">C23/$W23*100</f>
        <v>5.5962010963545454</v>
      </c>
      <c r="D59" s="306">
        <f>E23/$W23*100</f>
        <v>3.5746185757895454</v>
      </c>
      <c r="E59" s="306">
        <f>G23/$W23*100</f>
        <v>24.438746401479904</v>
      </c>
      <c r="F59" s="306">
        <f>I23/$W23*100</f>
        <v>2.9110320986450628</v>
      </c>
      <c r="G59" s="306">
        <f>K23/$W23*100</f>
        <v>2.6481498698085399</v>
      </c>
      <c r="H59" s="306">
        <f>M23/$W23*100</f>
        <v>12.776435673400375</v>
      </c>
      <c r="I59" s="306">
        <f>O23/$W23*100</f>
        <v>10.634186655178956</v>
      </c>
      <c r="J59" s="306">
        <f>Q23/$W23*100</f>
        <v>15.189498641836167</v>
      </c>
      <c r="K59" s="306">
        <f>S23/$W23*100</f>
        <v>22.231130987506901</v>
      </c>
      <c r="L59" s="309">
        <f>AVERAGE(C59:K59)</f>
        <v>11.111111111111111</v>
      </c>
    </row>
    <row r="60" spans="1:23">
      <c r="A60" s="292">
        <f t="shared" si="35"/>
        <v>1997</v>
      </c>
      <c r="C60" s="306">
        <f t="shared" si="36"/>
        <v>5.4769705990138613</v>
      </c>
      <c r="D60" s="306">
        <f t="shared" ref="D60:D74" si="37">E24/$W24*100</f>
        <v>3.5487290596217593</v>
      </c>
      <c r="E60" s="306">
        <f t="shared" ref="E60:E74" si="38">G24/$W24*100</f>
        <v>24.633595008106234</v>
      </c>
      <c r="F60" s="306">
        <f t="shared" ref="F60:F74" si="39">I24/$W24*100</f>
        <v>2.9567832360454052</v>
      </c>
      <c r="G60" s="306">
        <f t="shared" ref="G60:G74" si="40">K24/$W24*100</f>
        <v>2.7462388094596002</v>
      </c>
      <c r="H60" s="306">
        <f t="shared" ref="H60:H74" si="41">M24/$W24*100</f>
        <v>12.614218800484551</v>
      </c>
      <c r="I60" s="306">
        <f t="shared" ref="I60:I74" si="42">O24/$W24*100</f>
        <v>11.022812620562842</v>
      </c>
      <c r="J60" s="306">
        <f t="shared" ref="J60:J74" si="43">Q24/$W24*100</f>
        <v>15.547479552787266</v>
      </c>
      <c r="K60" s="306">
        <f t="shared" ref="K60:K74" si="44">S24/$W24*100</f>
        <v>21.453172313918479</v>
      </c>
      <c r="L60" s="309">
        <f t="shared" ref="L60:L74" si="45">AVERAGE(C60:K60)</f>
        <v>11.111111111111111</v>
      </c>
    </row>
    <row r="61" spans="1:23">
      <c r="A61" s="292">
        <f t="shared" si="35"/>
        <v>1998</v>
      </c>
      <c r="C61" s="306">
        <f t="shared" si="36"/>
        <v>5.4680379380082771</v>
      </c>
      <c r="D61" s="306">
        <f t="shared" si="37"/>
        <v>3.4644095021632149</v>
      </c>
      <c r="E61" s="306">
        <f t="shared" si="38"/>
        <v>24.266353920795574</v>
      </c>
      <c r="F61" s="306">
        <f t="shared" si="39"/>
        <v>2.747320782565537</v>
      </c>
      <c r="G61" s="306">
        <f t="shared" si="40"/>
        <v>2.4127792598999216</v>
      </c>
      <c r="H61" s="306">
        <f t="shared" si="41"/>
        <v>12.589849774794834</v>
      </c>
      <c r="I61" s="306">
        <f t="shared" si="42"/>
        <v>11.401256077697203</v>
      </c>
      <c r="J61" s="306">
        <f t="shared" si="43"/>
        <v>15.757644561455983</v>
      </c>
      <c r="K61" s="306">
        <f t="shared" si="44"/>
        <v>21.892348182619457</v>
      </c>
      <c r="L61" s="309">
        <f t="shared" si="45"/>
        <v>11.111111111111111</v>
      </c>
    </row>
    <row r="62" spans="1:23">
      <c r="A62" s="292">
        <f t="shared" si="35"/>
        <v>1999</v>
      </c>
      <c r="C62" s="306">
        <f t="shared" si="36"/>
        <v>5.2679941173363449</v>
      </c>
      <c r="D62" s="306">
        <f t="shared" si="37"/>
        <v>2.4830234562912423</v>
      </c>
      <c r="E62" s="306">
        <f t="shared" si="38"/>
        <v>24.379469500334146</v>
      </c>
      <c r="F62" s="306">
        <f t="shared" si="39"/>
        <v>2.7189777608868972</v>
      </c>
      <c r="G62" s="306">
        <f t="shared" si="40"/>
        <v>2.2471378470829482</v>
      </c>
      <c r="H62" s="306">
        <f t="shared" si="41"/>
        <v>13.337620220907246</v>
      </c>
      <c r="I62" s="306">
        <f t="shared" si="42"/>
        <v>11.674526527826897</v>
      </c>
      <c r="J62" s="306">
        <f t="shared" si="43"/>
        <v>16.528692655339476</v>
      </c>
      <c r="K62" s="306">
        <f t="shared" si="44"/>
        <v>21.362557913994799</v>
      </c>
      <c r="L62" s="309">
        <f t="shared" si="45"/>
        <v>11.111111111111111</v>
      </c>
    </row>
    <row r="63" spans="1:23">
      <c r="A63" s="292">
        <f t="shared" si="35"/>
        <v>2000</v>
      </c>
      <c r="C63" s="306">
        <f t="shared" si="36"/>
        <v>5.2121326056639106</v>
      </c>
      <c r="D63" s="306">
        <f t="shared" si="37"/>
        <v>2.3079108770151979</v>
      </c>
      <c r="E63" s="306">
        <f t="shared" si="38"/>
        <v>25.261254929079374</v>
      </c>
      <c r="F63" s="306">
        <f t="shared" si="39"/>
        <v>2.7466959918114209</v>
      </c>
      <c r="G63" s="306">
        <f t="shared" si="40"/>
        <v>2.2265546014027424</v>
      </c>
      <c r="H63" s="306">
        <f t="shared" si="41"/>
        <v>13.780920417201504</v>
      </c>
      <c r="I63" s="306">
        <f t="shared" si="42"/>
        <v>11.858514588290326</v>
      </c>
      <c r="J63" s="306">
        <f t="shared" si="43"/>
        <v>15.960433629052634</v>
      </c>
      <c r="K63" s="306">
        <f t="shared" si="44"/>
        <v>20.645582360482877</v>
      </c>
      <c r="L63" s="309">
        <f t="shared" si="45"/>
        <v>11.111111111111109</v>
      </c>
    </row>
    <row r="64" spans="1:23">
      <c r="A64" s="292">
        <f t="shared" si="35"/>
        <v>2001</v>
      </c>
      <c r="C64" s="306">
        <f t="shared" si="36"/>
        <v>4.9953437540764787</v>
      </c>
      <c r="D64" s="306">
        <f t="shared" si="37"/>
        <v>2.1030567424352724</v>
      </c>
      <c r="E64" s="306">
        <f t="shared" si="38"/>
        <v>24.976719627705684</v>
      </c>
      <c r="F64" s="306">
        <f t="shared" si="39"/>
        <v>2.6327240552906006</v>
      </c>
      <c r="G64" s="306">
        <f t="shared" si="40"/>
        <v>2.8645653670099627</v>
      </c>
      <c r="H64" s="306">
        <f t="shared" si="41"/>
        <v>14.255556355085671</v>
      </c>
      <c r="I64" s="306">
        <f t="shared" si="42"/>
        <v>11.877413029894857</v>
      </c>
      <c r="J64" s="306">
        <f t="shared" si="43"/>
        <v>16.200197120036471</v>
      </c>
      <c r="K64" s="306">
        <f t="shared" si="44"/>
        <v>20.094423948465014</v>
      </c>
      <c r="L64" s="309">
        <f t="shared" si="45"/>
        <v>11.111111111111114</v>
      </c>
    </row>
    <row r="65" spans="1:12">
      <c r="A65" s="292">
        <f t="shared" ref="A65:A74" si="46">A47</f>
        <v>2002</v>
      </c>
      <c r="C65" s="306">
        <f t="shared" si="36"/>
        <v>5.0770014404584556</v>
      </c>
      <c r="D65" s="306">
        <f t="shared" si="37"/>
        <v>1.8279179049073317</v>
      </c>
      <c r="E65" s="306">
        <f t="shared" si="38"/>
        <v>24.935887612706711</v>
      </c>
      <c r="F65" s="306">
        <f t="shared" si="39"/>
        <v>2.8075951298317485</v>
      </c>
      <c r="G65" s="306">
        <f t="shared" si="40"/>
        <v>2.1988470106258702</v>
      </c>
      <c r="H65" s="306">
        <f t="shared" si="41"/>
        <v>14.207080019286128</v>
      </c>
      <c r="I65" s="306">
        <f t="shared" si="42"/>
        <v>12.63456480446227</v>
      </c>
      <c r="J65" s="306">
        <f t="shared" si="43"/>
        <v>16.555420028378858</v>
      </c>
      <c r="K65" s="306">
        <f t="shared" si="44"/>
        <v>19.755686049342632</v>
      </c>
      <c r="L65" s="309">
        <f t="shared" si="45"/>
        <v>11.111111111111111</v>
      </c>
    </row>
    <row r="66" spans="1:12">
      <c r="A66" s="292">
        <f t="shared" si="46"/>
        <v>2003</v>
      </c>
      <c r="C66" s="306">
        <f t="shared" si="36"/>
        <v>5.1885935012336457</v>
      </c>
      <c r="D66" s="306">
        <f t="shared" si="37"/>
        <v>1.8806141240591958</v>
      </c>
      <c r="E66" s="306">
        <f t="shared" si="38"/>
        <v>24.017322203342285</v>
      </c>
      <c r="F66" s="306">
        <f t="shared" si="39"/>
        <v>2.4159173776875797</v>
      </c>
      <c r="G66" s="306">
        <f t="shared" si="40"/>
        <v>2.2401252673859622</v>
      </c>
      <c r="H66" s="306">
        <f t="shared" si="41"/>
        <v>14.286817511858205</v>
      </c>
      <c r="I66" s="306">
        <f t="shared" si="42"/>
        <v>13.139931195730062</v>
      </c>
      <c r="J66" s="306">
        <f t="shared" si="43"/>
        <v>16.992368827465747</v>
      </c>
      <c r="K66" s="306">
        <f t="shared" si="44"/>
        <v>19.83830999123732</v>
      </c>
      <c r="L66" s="309">
        <f t="shared" si="45"/>
        <v>11.111111111111112</v>
      </c>
    </row>
    <row r="67" spans="1:12">
      <c r="A67" s="292">
        <f t="shared" si="46"/>
        <v>2004</v>
      </c>
      <c r="C67" s="306">
        <f t="shared" si="36"/>
        <v>4.9832313731882678</v>
      </c>
      <c r="D67" s="306">
        <f t="shared" si="37"/>
        <v>1.8363648370785097</v>
      </c>
      <c r="E67" s="306">
        <f t="shared" si="38"/>
        <v>24.072763638142867</v>
      </c>
      <c r="F67" s="306">
        <f t="shared" si="39"/>
        <v>2.4818853646207275</v>
      </c>
      <c r="G67" s="306">
        <f t="shared" si="40"/>
        <v>2.3456144485317481</v>
      </c>
      <c r="H67" s="306">
        <f t="shared" si="41"/>
        <v>14.418592485884746</v>
      </c>
      <c r="I67" s="306">
        <f t="shared" si="42"/>
        <v>13.142363226701539</v>
      </c>
      <c r="J67" s="306">
        <f t="shared" si="43"/>
        <v>17.44260104169199</v>
      </c>
      <c r="K67" s="306">
        <f t="shared" si="44"/>
        <v>19.276583584159599</v>
      </c>
      <c r="L67" s="309">
        <f t="shared" si="45"/>
        <v>11.111111111111109</v>
      </c>
    </row>
    <row r="68" spans="1:12">
      <c r="A68" s="292">
        <f t="shared" si="46"/>
        <v>2005</v>
      </c>
      <c r="C68" s="306">
        <f t="shared" si="36"/>
        <v>4.4299514511396483</v>
      </c>
      <c r="D68" s="306">
        <f t="shared" si="37"/>
        <v>1.6254938638011787</v>
      </c>
      <c r="E68" s="306">
        <f t="shared" si="38"/>
        <v>24.132176545476629</v>
      </c>
      <c r="F68" s="306">
        <f t="shared" si="39"/>
        <v>2.4957905355267043</v>
      </c>
      <c r="G68" s="306">
        <f t="shared" si="40"/>
        <v>2.5148175547979346</v>
      </c>
      <c r="H68" s="306">
        <f t="shared" si="41"/>
        <v>14.493108866056884</v>
      </c>
      <c r="I68" s="306">
        <f t="shared" si="42"/>
        <v>13.143812768992616</v>
      </c>
      <c r="J68" s="306">
        <f t="shared" si="43"/>
        <v>18.211730356400441</v>
      </c>
      <c r="K68" s="306">
        <f t="shared" si="44"/>
        <v>18.953118057807984</v>
      </c>
      <c r="L68" s="309">
        <f t="shared" si="45"/>
        <v>11.111111111111114</v>
      </c>
    </row>
    <row r="69" spans="1:12">
      <c r="A69" s="292">
        <f t="shared" si="46"/>
        <v>2006</v>
      </c>
      <c r="C69" s="306">
        <f t="shared" si="36"/>
        <v>4.2290276942889928</v>
      </c>
      <c r="D69" s="306">
        <f t="shared" si="37"/>
        <v>1.4903495540720366</v>
      </c>
      <c r="E69" s="306">
        <f t="shared" si="38"/>
        <v>24.272226234350548</v>
      </c>
      <c r="F69" s="306">
        <f t="shared" si="39"/>
        <v>2.4454737333380883</v>
      </c>
      <c r="G69" s="306">
        <f t="shared" si="40"/>
        <v>2.5667628325960115</v>
      </c>
      <c r="H69" s="306">
        <f t="shared" si="41"/>
        <v>14.624643030333912</v>
      </c>
      <c r="I69" s="306">
        <f t="shared" si="42"/>
        <v>13.115886845379068</v>
      </c>
      <c r="J69" s="306">
        <f t="shared" si="43"/>
        <v>18.601458846488949</v>
      </c>
      <c r="K69" s="306">
        <f t="shared" si="44"/>
        <v>18.654171229152396</v>
      </c>
      <c r="L69" s="309">
        <f t="shared" si="45"/>
        <v>11.111111111111111</v>
      </c>
    </row>
    <row r="70" spans="1:12">
      <c r="A70" s="292">
        <f t="shared" si="46"/>
        <v>2007</v>
      </c>
      <c r="C70" s="306">
        <f t="shared" si="36"/>
        <v>4.1513743490242812</v>
      </c>
      <c r="D70" s="306">
        <f t="shared" si="37"/>
        <v>1.440851600106583</v>
      </c>
      <c r="E70" s="306">
        <f t="shared" si="38"/>
        <v>24.108888531042563</v>
      </c>
      <c r="F70" s="306">
        <f t="shared" si="39"/>
        <v>2.3835932916227462</v>
      </c>
      <c r="G70" s="306">
        <f t="shared" si="40"/>
        <v>2.7702273877672057</v>
      </c>
      <c r="H70" s="306">
        <f t="shared" si="41"/>
        <v>14.564110319197116</v>
      </c>
      <c r="I70" s="306">
        <f t="shared" si="42"/>
        <v>13.254165835853952</v>
      </c>
      <c r="J70" s="306">
        <f t="shared" si="43"/>
        <v>18.90753619208748</v>
      </c>
      <c r="K70" s="306">
        <f t="shared" si="44"/>
        <v>18.419252493298082</v>
      </c>
      <c r="L70" s="309">
        <f t="shared" si="45"/>
        <v>11.111111111111111</v>
      </c>
    </row>
    <row r="71" spans="1:12">
      <c r="A71" s="292">
        <f t="shared" si="46"/>
        <v>2008</v>
      </c>
      <c r="C71" s="306">
        <f t="shared" si="36"/>
        <v>4.56457453641017</v>
      </c>
      <c r="D71" s="306">
        <f t="shared" si="37"/>
        <v>1.2941606272635187</v>
      </c>
      <c r="E71" s="306">
        <f t="shared" si="38"/>
        <v>23.745067608314095</v>
      </c>
      <c r="F71" s="306">
        <f t="shared" si="39"/>
        <v>2.1974083404313522</v>
      </c>
      <c r="G71" s="306">
        <f t="shared" si="40"/>
        <v>2.9163140853372704</v>
      </c>
      <c r="H71" s="306">
        <f t="shared" si="41"/>
        <v>14.106830907211911</v>
      </c>
      <c r="I71" s="306">
        <f t="shared" si="42"/>
        <v>13.21111270979014</v>
      </c>
      <c r="J71" s="306">
        <f t="shared" si="43"/>
        <v>19.482766138167481</v>
      </c>
      <c r="K71" s="306">
        <f t="shared" si="44"/>
        <v>18.48176504707406</v>
      </c>
      <c r="L71" s="309">
        <f t="shared" si="45"/>
        <v>11.111111111111111</v>
      </c>
    </row>
    <row r="72" spans="1:12">
      <c r="A72" s="292">
        <f t="shared" si="46"/>
        <v>2009</v>
      </c>
      <c r="C72" s="306">
        <f t="shared" si="36"/>
        <v>4.5077658628298174</v>
      </c>
      <c r="D72" s="306">
        <f t="shared" si="37"/>
        <v>1.226774795081752</v>
      </c>
      <c r="E72" s="306">
        <f t="shared" si="38"/>
        <v>21.667925449166887</v>
      </c>
      <c r="F72" s="306">
        <f t="shared" si="39"/>
        <v>2.1391559965889333</v>
      </c>
      <c r="G72" s="306">
        <f t="shared" si="40"/>
        <v>3.172636749141486</v>
      </c>
      <c r="H72" s="306">
        <f t="shared" si="41"/>
        <v>14.332803394963593</v>
      </c>
      <c r="I72" s="306">
        <f t="shared" si="42"/>
        <v>13.652699093934176</v>
      </c>
      <c r="J72" s="306">
        <f t="shared" si="43"/>
        <v>20.079687467057724</v>
      </c>
      <c r="K72" s="306">
        <f t="shared" si="44"/>
        <v>19.220551191235629</v>
      </c>
      <c r="L72" s="309">
        <f t="shared" si="45"/>
        <v>11.111111111111109</v>
      </c>
    </row>
    <row r="73" spans="1:12">
      <c r="A73" s="292">
        <f t="shared" si="46"/>
        <v>2010</v>
      </c>
      <c r="C73" s="306">
        <f t="shared" si="36"/>
        <v>4.4740491119313859</v>
      </c>
      <c r="D73" s="306">
        <f t="shared" si="37"/>
        <v>1.3011519756651269</v>
      </c>
      <c r="E73" s="306">
        <f t="shared" si="38"/>
        <v>22.297192013604786</v>
      </c>
      <c r="F73" s="306">
        <f t="shared" si="39"/>
        <v>2.0936250640761376</v>
      </c>
      <c r="G73" s="306">
        <f t="shared" si="40"/>
        <v>3.1346829967109628</v>
      </c>
      <c r="H73" s="306">
        <f t="shared" si="41"/>
        <v>14.398756125165498</v>
      </c>
      <c r="I73" s="306">
        <f t="shared" si="42"/>
        <v>13.61766336393754</v>
      </c>
      <c r="J73" s="306">
        <f t="shared" si="43"/>
        <v>19.657404565572776</v>
      </c>
      <c r="K73" s="306">
        <f t="shared" si="44"/>
        <v>19.025474783335785</v>
      </c>
      <c r="L73" s="309">
        <f t="shared" si="45"/>
        <v>11.111111111111109</v>
      </c>
    </row>
    <row r="74" spans="1:12" ht="13.5" thickBot="1">
      <c r="A74" s="292">
        <f t="shared" si="46"/>
        <v>2011</v>
      </c>
      <c r="C74" s="306">
        <f t="shared" si="36"/>
        <v>4.3478724837016438</v>
      </c>
      <c r="D74" s="306">
        <f t="shared" si="37"/>
        <v>1.2594053183788729</v>
      </c>
      <c r="E74" s="306">
        <f t="shared" si="38"/>
        <v>22.17272683336131</v>
      </c>
      <c r="F74" s="306">
        <f t="shared" si="39"/>
        <v>2.0791745215333468</v>
      </c>
      <c r="G74" s="306">
        <f t="shared" si="40"/>
        <v>3.047477895100418</v>
      </c>
      <c r="H74" s="306">
        <f t="shared" si="41"/>
        <v>14.666313713707233</v>
      </c>
      <c r="I74" s="306">
        <f t="shared" si="42"/>
        <v>13.583948920046318</v>
      </c>
      <c r="J74" s="306">
        <f t="shared" si="43"/>
        <v>19.815224546170832</v>
      </c>
      <c r="K74" s="306">
        <f t="shared" si="44"/>
        <v>19.027855768000023</v>
      </c>
      <c r="L74" s="310">
        <f t="shared" si="45"/>
        <v>11.111111111111111</v>
      </c>
    </row>
    <row r="75" spans="1:12">
      <c r="C75" s="306"/>
    </row>
    <row r="76" spans="1:12">
      <c r="A76" s="311" t="s">
        <v>28</v>
      </c>
      <c r="B76" s="311"/>
      <c r="C76" s="306">
        <f>AVERAGE(C59:C74)</f>
        <v>4.873132619666233</v>
      </c>
      <c r="D76" s="306">
        <f t="shared" ref="D76:K76" si="47">AVERAGE(D59:D74)</f>
        <v>2.0415520508581464</v>
      </c>
      <c r="E76" s="306">
        <f t="shared" si="47"/>
        <v>23.961144753563101</v>
      </c>
      <c r="F76" s="306">
        <f t="shared" si="47"/>
        <v>2.5158220800313931</v>
      </c>
      <c r="G76" s="306">
        <f t="shared" si="47"/>
        <v>2.628308248916162</v>
      </c>
      <c r="H76" s="306">
        <f t="shared" si="47"/>
        <v>13.965853600971213</v>
      </c>
      <c r="I76" s="306">
        <f t="shared" si="47"/>
        <v>12.560303641517422</v>
      </c>
      <c r="J76" s="306">
        <f t="shared" si="47"/>
        <v>17.558134010624393</v>
      </c>
      <c r="K76" s="306">
        <f t="shared" si="47"/>
        <v>19.895748993851939</v>
      </c>
    </row>
    <row r="77" spans="1:12">
      <c r="A77" s="311" t="s">
        <v>374</v>
      </c>
      <c r="B77" s="311"/>
      <c r="C77" s="306">
        <f t="shared" ref="C77:K78" si="48">AVERAGE(C60:C75)</f>
        <v>4.8249280545536788</v>
      </c>
      <c r="D77" s="306">
        <f t="shared" si="48"/>
        <v>1.9393476158627196</v>
      </c>
      <c r="E77" s="306">
        <f t="shared" si="48"/>
        <v>23.929304643701979</v>
      </c>
      <c r="F77" s="306">
        <f t="shared" si="48"/>
        <v>2.4894747454571484</v>
      </c>
      <c r="G77" s="306">
        <f t="shared" si="48"/>
        <v>2.6269854741900036</v>
      </c>
      <c r="H77" s="306">
        <f t="shared" si="48"/>
        <v>14.045148129475935</v>
      </c>
      <c r="I77" s="306">
        <f t="shared" si="48"/>
        <v>12.688711440606653</v>
      </c>
      <c r="J77" s="306">
        <f t="shared" si="48"/>
        <v>17.716043035210273</v>
      </c>
      <c r="K77" s="306">
        <f t="shared" si="48"/>
        <v>19.740056860941603</v>
      </c>
    </row>
    <row r="78" spans="1:12">
      <c r="A78" s="311" t="s">
        <v>375</v>
      </c>
      <c r="B78" s="311"/>
      <c r="C78" s="306">
        <f t="shared" si="48"/>
        <v>4.784672189263838</v>
      </c>
      <c r="D78" s="306">
        <f t="shared" si="48"/>
        <v>1.8388691486118125</v>
      </c>
      <c r="E78" s="306">
        <f t="shared" si="48"/>
        <v>23.884474626732434</v>
      </c>
      <c r="F78" s="306">
        <f t="shared" si="48"/>
        <v>2.4600773350562135</v>
      </c>
      <c r="G78" s="306">
        <f t="shared" si="48"/>
        <v>2.6191234368204404</v>
      </c>
      <c r="H78" s="306">
        <f t="shared" si="48"/>
        <v>14.135257116175046</v>
      </c>
      <c r="I78" s="306">
        <f t="shared" si="48"/>
        <v>12.791210842003625</v>
      </c>
      <c r="J78" s="306">
        <f t="shared" si="48"/>
        <v>17.85008666573275</v>
      </c>
      <c r="K78" s="306">
        <f t="shared" si="48"/>
        <v>19.636228639603839</v>
      </c>
    </row>
    <row r="79" spans="1:12" ht="13.5" thickBot="1"/>
    <row r="80" spans="1:12">
      <c r="C80" s="337" t="s">
        <v>277</v>
      </c>
      <c r="D80" s="338" t="s">
        <v>280</v>
      </c>
      <c r="E80" s="338" t="s">
        <v>363</v>
      </c>
      <c r="F80" s="338" t="s">
        <v>366</v>
      </c>
      <c r="G80" s="338">
        <v>2010</v>
      </c>
      <c r="H80" s="338">
        <v>2011</v>
      </c>
      <c r="I80" s="338" t="s">
        <v>28</v>
      </c>
      <c r="J80" s="338" t="s">
        <v>374</v>
      </c>
      <c r="K80" s="339" t="s">
        <v>375</v>
      </c>
    </row>
    <row r="81" spans="1:18">
      <c r="A81" s="319" t="s">
        <v>1</v>
      </c>
      <c r="C81" s="340">
        <f t="array" ref="C81:C89">TRANSPOSE(C59:K59)</f>
        <v>5.5962010963545454</v>
      </c>
      <c r="D81" s="378">
        <f t="array" ref="D81:D89">TRANSPOSE(C62:K62)</f>
        <v>5.2679941173363449</v>
      </c>
      <c r="E81" s="325">
        <f t="array" ref="E81:E89">TRANSPOSE(C66:K66)</f>
        <v>5.1885935012336457</v>
      </c>
      <c r="F81" s="325">
        <f t="array" ref="F81:F89">TRANSPOSE(C69:K69)</f>
        <v>4.2290276942889928</v>
      </c>
      <c r="G81" s="325">
        <f t="array" ref="G81:G89">TRANSPOSE(C73:K73)</f>
        <v>4.4740491119313859</v>
      </c>
      <c r="H81" s="325">
        <f t="array" ref="H81:H89">TRANSPOSE(C74:K74)</f>
        <v>4.3478724837016438</v>
      </c>
      <c r="I81" s="325">
        <f>AVERAGE(C81:H81)</f>
        <v>4.8506230008077607</v>
      </c>
      <c r="J81" s="325">
        <f>H81-C81</f>
        <v>-1.2483286126529016</v>
      </c>
      <c r="K81" s="341">
        <f>STDEV(C81:H81)</f>
        <v>0.57013263473505682</v>
      </c>
      <c r="L81" s="301"/>
      <c r="M81" s="301"/>
      <c r="N81" s="301"/>
      <c r="O81" s="301"/>
      <c r="P81" s="301"/>
      <c r="Q81" s="301"/>
      <c r="R81" s="301"/>
    </row>
    <row r="82" spans="1:18">
      <c r="A82" s="319" t="s">
        <v>2</v>
      </c>
      <c r="C82" s="340">
        <v>3.5746185757895454</v>
      </c>
      <c r="D82" s="325">
        <v>2.4830234562912423</v>
      </c>
      <c r="E82" s="325">
        <v>1.8806141240591958</v>
      </c>
      <c r="F82" s="325">
        <v>1.4903495540720366</v>
      </c>
      <c r="G82" s="325">
        <v>1.3011519756651269</v>
      </c>
      <c r="H82" s="325">
        <v>1.2594053183788729</v>
      </c>
      <c r="I82" s="325">
        <f t="shared" ref="I82:I89" si="49">AVERAGE(C82:H82)</f>
        <v>1.9981938340426699</v>
      </c>
      <c r="J82" s="325">
        <f t="shared" ref="J82:J89" si="50">H82-C82</f>
        <v>-2.3152132574106723</v>
      </c>
      <c r="K82" s="341">
        <f t="shared" ref="K82:K89" si="51">STDEV(C82:H82)</f>
        <v>0.89705979211056175</v>
      </c>
      <c r="L82" s="301"/>
      <c r="M82" s="301"/>
      <c r="N82" s="301"/>
      <c r="O82" s="301"/>
      <c r="P82" s="301"/>
      <c r="Q82" s="301"/>
      <c r="R82" s="301"/>
    </row>
    <row r="83" spans="1:18">
      <c r="A83" s="319" t="s">
        <v>4</v>
      </c>
      <c r="C83" s="340">
        <v>24.438746401479904</v>
      </c>
      <c r="D83" s="325">
        <v>24.379469500334146</v>
      </c>
      <c r="E83" s="325">
        <v>24.017322203342285</v>
      </c>
      <c r="F83" s="325">
        <v>24.272226234350548</v>
      </c>
      <c r="G83" s="325">
        <v>22.297192013604786</v>
      </c>
      <c r="H83" s="325">
        <v>22.17272683336131</v>
      </c>
      <c r="I83" s="325">
        <f t="shared" si="49"/>
        <v>23.596280531078829</v>
      </c>
      <c r="J83" s="325">
        <f t="shared" si="50"/>
        <v>-2.266019568118594</v>
      </c>
      <c r="K83" s="341">
        <f t="shared" si="51"/>
        <v>1.0650303746303136</v>
      </c>
      <c r="L83" s="301"/>
      <c r="M83" s="301"/>
      <c r="N83" s="301"/>
      <c r="O83" s="301"/>
      <c r="P83" s="301"/>
      <c r="Q83" s="301"/>
      <c r="R83" s="301"/>
    </row>
    <row r="84" spans="1:18">
      <c r="A84" s="319" t="s">
        <v>5</v>
      </c>
      <c r="C84" s="340">
        <v>2.9110320986450628</v>
      </c>
      <c r="D84" s="325">
        <v>2.7189777608868972</v>
      </c>
      <c r="E84" s="325">
        <v>2.4159173776875797</v>
      </c>
      <c r="F84" s="325">
        <v>2.4454737333380883</v>
      </c>
      <c r="G84" s="325">
        <v>2.0936250640761376</v>
      </c>
      <c r="H84" s="325">
        <v>2.0791745215333468</v>
      </c>
      <c r="I84" s="325">
        <f t="shared" si="49"/>
        <v>2.4440334260278518</v>
      </c>
      <c r="J84" s="325">
        <f t="shared" si="50"/>
        <v>-0.83185757711171604</v>
      </c>
      <c r="K84" s="341">
        <f t="shared" si="51"/>
        <v>0.33177786980790808</v>
      </c>
      <c r="L84" s="301"/>
      <c r="M84" s="301"/>
      <c r="N84" s="301"/>
      <c r="O84" s="301"/>
      <c r="P84" s="301"/>
      <c r="Q84" s="301"/>
      <c r="R84" s="301"/>
    </row>
    <row r="85" spans="1:18">
      <c r="A85" s="319" t="s">
        <v>6</v>
      </c>
      <c r="C85" s="340">
        <v>2.6481498698085399</v>
      </c>
      <c r="D85" s="325">
        <v>2.2471378470829482</v>
      </c>
      <c r="E85" s="325">
        <v>2.2401252673859622</v>
      </c>
      <c r="F85" s="325">
        <v>2.5667628325960115</v>
      </c>
      <c r="G85" s="325">
        <v>3.1346829967109628</v>
      </c>
      <c r="H85" s="325">
        <v>3.047477895100418</v>
      </c>
      <c r="I85" s="325">
        <f t="shared" si="49"/>
        <v>2.6473894514474736</v>
      </c>
      <c r="J85" s="325">
        <f t="shared" si="50"/>
        <v>0.39932802529187805</v>
      </c>
      <c r="K85" s="341">
        <f t="shared" si="51"/>
        <v>0.38212365912601548</v>
      </c>
      <c r="L85" s="301"/>
      <c r="M85" s="301"/>
      <c r="N85" s="301"/>
      <c r="O85" s="301"/>
      <c r="P85" s="301"/>
      <c r="Q85" s="301"/>
      <c r="R85" s="301"/>
    </row>
    <row r="86" spans="1:18">
      <c r="A86" s="319" t="s">
        <v>8</v>
      </c>
      <c r="C86" s="340">
        <v>12.776435673400375</v>
      </c>
      <c r="D86" s="325">
        <v>13.337620220907246</v>
      </c>
      <c r="E86" s="325">
        <v>14.286817511858205</v>
      </c>
      <c r="F86" s="325">
        <v>14.624643030333912</v>
      </c>
      <c r="G86" s="325">
        <v>14.398756125165498</v>
      </c>
      <c r="H86" s="325">
        <v>14.666313713707233</v>
      </c>
      <c r="I86" s="325">
        <f t="shared" si="49"/>
        <v>14.015097712562076</v>
      </c>
      <c r="J86" s="325">
        <f t="shared" si="50"/>
        <v>1.8898780403068578</v>
      </c>
      <c r="K86" s="341">
        <f t="shared" si="51"/>
        <v>0.77587532508972323</v>
      </c>
      <c r="L86" s="301"/>
      <c r="M86" s="301"/>
      <c r="N86" s="301"/>
      <c r="O86" s="301"/>
      <c r="P86" s="301"/>
      <c r="Q86" s="301"/>
      <c r="R86" s="301"/>
    </row>
    <row r="87" spans="1:18">
      <c r="A87" s="319" t="s">
        <v>9</v>
      </c>
      <c r="C87" s="340">
        <v>10.634186655178956</v>
      </c>
      <c r="D87" s="325">
        <v>11.674526527826897</v>
      </c>
      <c r="E87" s="325">
        <v>13.139931195730062</v>
      </c>
      <c r="F87" s="325">
        <v>13.115886845379068</v>
      </c>
      <c r="G87" s="325">
        <v>13.61766336393754</v>
      </c>
      <c r="H87" s="325">
        <v>13.583948920046318</v>
      </c>
      <c r="I87" s="325">
        <f t="shared" si="49"/>
        <v>12.627690584683139</v>
      </c>
      <c r="J87" s="325">
        <f t="shared" si="50"/>
        <v>2.9497622648673616</v>
      </c>
      <c r="K87" s="341">
        <f t="shared" si="51"/>
        <v>1.2064644028242801</v>
      </c>
      <c r="L87" s="301"/>
      <c r="M87" s="301"/>
      <c r="N87" s="301"/>
      <c r="O87" s="301"/>
      <c r="P87" s="301"/>
      <c r="Q87" s="301"/>
      <c r="R87" s="301"/>
    </row>
    <row r="88" spans="1:18">
      <c r="A88" s="319" t="s">
        <v>10</v>
      </c>
      <c r="C88" s="340">
        <v>15.189498641836167</v>
      </c>
      <c r="D88" s="325">
        <v>16.528692655339476</v>
      </c>
      <c r="E88" s="325">
        <v>16.992368827465747</v>
      </c>
      <c r="F88" s="325">
        <v>18.601458846488949</v>
      </c>
      <c r="G88" s="325">
        <v>19.657404565572776</v>
      </c>
      <c r="H88" s="325">
        <v>19.815224546170832</v>
      </c>
      <c r="I88" s="325">
        <f t="shared" si="49"/>
        <v>17.797441347145661</v>
      </c>
      <c r="J88" s="325">
        <f t="shared" si="50"/>
        <v>4.625725904334665</v>
      </c>
      <c r="K88" s="341">
        <f t="shared" si="51"/>
        <v>1.8566952636607066</v>
      </c>
      <c r="L88" s="301"/>
      <c r="M88" s="301"/>
      <c r="N88" s="301"/>
      <c r="O88" s="301"/>
      <c r="P88" s="301"/>
      <c r="Q88" s="301"/>
      <c r="R88" s="301"/>
    </row>
    <row r="89" spans="1:18" ht="13.5" thickBot="1">
      <c r="A89" s="319" t="s">
        <v>371</v>
      </c>
      <c r="C89" s="342">
        <v>22.231130987506901</v>
      </c>
      <c r="D89" s="343">
        <v>21.362557913994799</v>
      </c>
      <c r="E89" s="343">
        <v>19.83830999123732</v>
      </c>
      <c r="F89" s="343">
        <v>18.654171229152396</v>
      </c>
      <c r="G89" s="343">
        <v>19.025474783335785</v>
      </c>
      <c r="H89" s="343">
        <v>19.027855768000023</v>
      </c>
      <c r="I89" s="343">
        <f t="shared" si="49"/>
        <v>20.023250112204536</v>
      </c>
      <c r="J89" s="343">
        <f t="shared" si="50"/>
        <v>-3.2032752195068781</v>
      </c>
      <c r="K89" s="344">
        <f t="shared" si="51"/>
        <v>1.4535080798673685</v>
      </c>
      <c r="L89" s="301"/>
      <c r="M89" s="301"/>
      <c r="N89" s="301"/>
      <c r="O89" s="301"/>
      <c r="P89" s="301"/>
      <c r="Q89" s="301"/>
      <c r="R89" s="301"/>
    </row>
    <row r="90" spans="1:18">
      <c r="C90" s="301"/>
      <c r="D90" s="301"/>
      <c r="E90" s="301"/>
      <c r="F90" s="301"/>
      <c r="G90" s="301"/>
    </row>
    <row r="91" spans="1:18" ht="13.5" thickBot="1"/>
    <row r="92" spans="1:18" ht="51.75" thickBot="1">
      <c r="A92" s="293" t="s">
        <v>376</v>
      </c>
      <c r="C92" s="294" t="s">
        <v>1</v>
      </c>
      <c r="D92" s="294" t="s">
        <v>2</v>
      </c>
      <c r="E92" s="294" t="s">
        <v>4</v>
      </c>
      <c r="F92" s="294" t="s">
        <v>5</v>
      </c>
      <c r="G92" s="294" t="s">
        <v>6</v>
      </c>
      <c r="H92" s="294" t="s">
        <v>8</v>
      </c>
      <c r="I92" s="294" t="s">
        <v>9</v>
      </c>
      <c r="J92" s="294" t="s">
        <v>10</v>
      </c>
      <c r="K92" s="305" t="s">
        <v>371</v>
      </c>
      <c r="L92" s="308" t="s">
        <v>28</v>
      </c>
    </row>
    <row r="93" spans="1:18">
      <c r="A93" s="292" t="s">
        <v>277</v>
      </c>
      <c r="C93" s="301">
        <f t="shared" ref="C93:C108" si="52">C4/($W4-C4)</f>
        <v>0.11756954930054568</v>
      </c>
      <c r="D93" s="301">
        <f>E4/($W4-E4)</f>
        <v>1.130316263049078E-2</v>
      </c>
      <c r="E93" s="301">
        <f>G4/($W4-G4)</f>
        <v>0.35453073042729694</v>
      </c>
      <c r="F93" s="301">
        <f>I4/($W4-I4)</f>
        <v>8.348905512542526E-3</v>
      </c>
      <c r="G93" s="301">
        <f>K4/($W4-K4)</f>
        <v>3.3595018725032781E-2</v>
      </c>
      <c r="H93" s="301">
        <f>M4/($W4-M4)</f>
        <v>0.10768720022992677</v>
      </c>
      <c r="I93" s="301">
        <f>O4/($W4-O4)</f>
        <v>6.9648029492766064E-2</v>
      </c>
      <c r="J93" s="301">
        <f>Q4/($W4-Q4)</f>
        <v>8.867269529408485E-2</v>
      </c>
      <c r="K93" s="301">
        <f>S4/($W4-S4)</f>
        <v>0.25368707493347237</v>
      </c>
      <c r="L93" s="309">
        <f>AVERAGE(C93:K93)</f>
        <v>0.11611581850512875</v>
      </c>
      <c r="M93" s="301"/>
    </row>
    <row r="94" spans="1:18">
      <c r="A94" s="292" t="s">
        <v>278</v>
      </c>
      <c r="C94" s="301">
        <f t="shared" si="52"/>
        <v>0.11573602141219848</v>
      </c>
      <c r="D94" s="301">
        <f t="shared" ref="D94:D108" si="53">E5/($W5-E5)</f>
        <v>9.4199006067271825E-3</v>
      </c>
      <c r="E94" s="301">
        <f t="shared" ref="E94:E108" si="54">G5/($W5-G5)</f>
        <v>0.32959126208731238</v>
      </c>
      <c r="F94" s="301">
        <f t="shared" ref="F94:F108" si="55">I5/($W5-I5)</f>
        <v>8.3497347947946755E-3</v>
      </c>
      <c r="G94" s="301">
        <f t="shared" ref="G94:G108" si="56">K5/($W5-K5)</f>
        <v>3.4504667023062943E-2</v>
      </c>
      <c r="H94" s="301">
        <f t="shared" ref="H94:H108" si="57">M5/($W5-M5)</f>
        <v>0.11052931024829155</v>
      </c>
      <c r="I94" s="301">
        <f t="shared" ref="I94:I108" si="58">O5/($W5-O5)</f>
        <v>7.0337064490421611E-2</v>
      </c>
      <c r="J94" s="301">
        <f t="shared" ref="J94:J108" si="59">Q5/($W5-Q5)</f>
        <v>9.2890032679467188E-2</v>
      </c>
      <c r="K94" s="301">
        <f t="shared" ref="K94:K108" si="60">S5/($W5-S5)</f>
        <v>0.27395944747781698</v>
      </c>
      <c r="L94" s="309">
        <f t="shared" ref="L94:L108" si="61">AVERAGE(C94:K94)</f>
        <v>0.11614638231334368</v>
      </c>
      <c r="M94" s="301"/>
    </row>
    <row r="95" spans="1:18">
      <c r="A95" s="292" t="s">
        <v>279</v>
      </c>
      <c r="C95" s="301">
        <f t="shared" si="52"/>
        <v>0.11417118735484907</v>
      </c>
      <c r="D95" s="301">
        <f t="shared" si="53"/>
        <v>8.374137285593523E-3</v>
      </c>
      <c r="E95" s="301">
        <f t="shared" si="54"/>
        <v>0.31330975511430054</v>
      </c>
      <c r="F95" s="301">
        <f t="shared" si="55"/>
        <v>8.0438689630370382E-3</v>
      </c>
      <c r="G95" s="301">
        <f t="shared" si="56"/>
        <v>3.2237268179843209E-2</v>
      </c>
      <c r="H95" s="301">
        <f t="shared" si="57"/>
        <v>0.11737318454900129</v>
      </c>
      <c r="I95" s="301">
        <f t="shared" si="58"/>
        <v>6.6473544292141945E-2</v>
      </c>
      <c r="J95" s="301">
        <f t="shared" si="59"/>
        <v>9.5119728940551193E-2</v>
      </c>
      <c r="K95" s="301">
        <f t="shared" si="60"/>
        <v>0.29399856813964742</v>
      </c>
      <c r="L95" s="309">
        <f t="shared" si="61"/>
        <v>0.1165668047576628</v>
      </c>
      <c r="M95" s="301"/>
    </row>
    <row r="96" spans="1:18">
      <c r="A96" s="292" t="s">
        <v>280</v>
      </c>
      <c r="C96" s="301">
        <f t="shared" si="52"/>
        <v>0.11350774178654581</v>
      </c>
      <c r="D96" s="301">
        <f t="shared" si="53"/>
        <v>6.4027835310610237E-3</v>
      </c>
      <c r="E96" s="301">
        <f t="shared" si="54"/>
        <v>0.29900202806869208</v>
      </c>
      <c r="F96" s="301">
        <f t="shared" si="55"/>
        <v>7.829689650006251E-3</v>
      </c>
      <c r="G96" s="301">
        <f t="shared" si="56"/>
        <v>3.0922212739867408E-2</v>
      </c>
      <c r="H96" s="301">
        <f t="shared" si="57"/>
        <v>0.12668776764333575</v>
      </c>
      <c r="I96" s="301">
        <f t="shared" si="58"/>
        <v>6.4924554885545049E-2</v>
      </c>
      <c r="J96" s="301">
        <f t="shared" si="59"/>
        <v>9.696949856748617E-2</v>
      </c>
      <c r="K96" s="301">
        <f t="shared" si="60"/>
        <v>0.30638755924674171</v>
      </c>
      <c r="L96" s="309">
        <f t="shared" si="61"/>
        <v>0.11695931512436458</v>
      </c>
      <c r="M96" s="301"/>
    </row>
    <row r="97" spans="1:13">
      <c r="A97" s="292" t="s">
        <v>16</v>
      </c>
      <c r="C97" s="301">
        <f t="shared" si="52"/>
        <v>0.11237174453749642</v>
      </c>
      <c r="D97" s="301">
        <f t="shared" si="53"/>
        <v>5.5305387718465552E-3</v>
      </c>
      <c r="E97" s="301">
        <f t="shared" si="54"/>
        <v>0.29356466004767084</v>
      </c>
      <c r="F97" s="301">
        <f t="shared" si="55"/>
        <v>7.7804276548733807E-3</v>
      </c>
      <c r="G97" s="301">
        <f t="shared" si="56"/>
        <v>3.239196537555121E-2</v>
      </c>
      <c r="H97" s="301">
        <f t="shared" si="57"/>
        <v>0.1239352520343398</v>
      </c>
      <c r="I97" s="301">
        <f t="shared" si="58"/>
        <v>6.2513558465221455E-2</v>
      </c>
      <c r="J97" s="301">
        <f t="shared" si="59"/>
        <v>0.10114036897903193</v>
      </c>
      <c r="K97" s="301">
        <f t="shared" si="60"/>
        <v>0.31912229589357538</v>
      </c>
      <c r="L97" s="309">
        <f t="shared" si="61"/>
        <v>0.11759453463995634</v>
      </c>
      <c r="M97" s="301"/>
    </row>
    <row r="98" spans="1:13">
      <c r="A98" s="292" t="s">
        <v>17</v>
      </c>
      <c r="C98" s="301">
        <f t="shared" si="52"/>
        <v>0.12008500303452654</v>
      </c>
      <c r="D98" s="301">
        <f t="shared" si="53"/>
        <v>5.0414324061295989E-3</v>
      </c>
      <c r="E98" s="301">
        <f t="shared" si="54"/>
        <v>0.28412329647161699</v>
      </c>
      <c r="F98" s="301">
        <f t="shared" si="55"/>
        <v>7.7025827776414273E-3</v>
      </c>
      <c r="G98" s="301">
        <f t="shared" si="56"/>
        <v>3.1283741314179755E-2</v>
      </c>
      <c r="H98" s="301">
        <f t="shared" si="57"/>
        <v>0.12675689863811315</v>
      </c>
      <c r="I98" s="301">
        <f t="shared" si="58"/>
        <v>5.9854293460976135E-2</v>
      </c>
      <c r="J98" s="301">
        <f t="shared" si="59"/>
        <v>0.11069896808305731</v>
      </c>
      <c r="K98" s="301">
        <f t="shared" si="60"/>
        <v>0.31291258983693915</v>
      </c>
      <c r="L98" s="309">
        <f t="shared" si="61"/>
        <v>0.11760653400257556</v>
      </c>
      <c r="M98" s="301"/>
    </row>
    <row r="99" spans="1:13">
      <c r="A99" s="292" t="s">
        <v>18</v>
      </c>
      <c r="C99" s="301">
        <f t="shared" si="52"/>
        <v>0.12064867886759507</v>
      </c>
      <c r="D99" s="301">
        <f t="shared" si="53"/>
        <v>4.987035940438431E-3</v>
      </c>
      <c r="E99" s="301">
        <f t="shared" si="54"/>
        <v>0.28004732459045911</v>
      </c>
      <c r="F99" s="301">
        <f t="shared" si="55"/>
        <v>7.7382380812546373E-3</v>
      </c>
      <c r="G99" s="301">
        <f t="shared" si="56"/>
        <v>3.0632568525470024E-2</v>
      </c>
      <c r="H99" s="301">
        <f t="shared" si="57"/>
        <v>0.12432564520122365</v>
      </c>
      <c r="I99" s="301">
        <f t="shared" si="58"/>
        <v>5.8714227055172555E-2</v>
      </c>
      <c r="J99" s="301">
        <f t="shared" si="59"/>
        <v>0.11753632192752062</v>
      </c>
      <c r="K99" s="301">
        <f t="shared" si="60"/>
        <v>0.31710801481642498</v>
      </c>
      <c r="L99" s="309">
        <f t="shared" si="61"/>
        <v>0.11797089500061768</v>
      </c>
      <c r="M99" s="301"/>
    </row>
    <row r="100" spans="1:13">
      <c r="A100" s="292" t="s">
        <v>363</v>
      </c>
      <c r="C100" s="301">
        <f t="shared" si="52"/>
        <v>0.11537632191839775</v>
      </c>
      <c r="D100" s="301">
        <f t="shared" si="53"/>
        <v>5.4355222578396992E-3</v>
      </c>
      <c r="E100" s="301">
        <f t="shared" si="54"/>
        <v>0.26674787228470026</v>
      </c>
      <c r="F100" s="301">
        <f t="shared" si="55"/>
        <v>7.1879891409002182E-3</v>
      </c>
      <c r="G100" s="301">
        <f t="shared" si="56"/>
        <v>3.353149647294966E-2</v>
      </c>
      <c r="H100" s="301">
        <f t="shared" si="57"/>
        <v>0.13192800910100475</v>
      </c>
      <c r="I100" s="301">
        <f t="shared" si="58"/>
        <v>5.5049703214382267E-2</v>
      </c>
      <c r="J100" s="301">
        <f t="shared" si="59"/>
        <v>0.11677734638490532</v>
      </c>
      <c r="K100" s="301">
        <f t="shared" si="60"/>
        <v>0.32737582152955697</v>
      </c>
      <c r="L100" s="309">
        <f t="shared" si="61"/>
        <v>0.11771223136718187</v>
      </c>
      <c r="M100" s="301"/>
    </row>
    <row r="101" spans="1:13">
      <c r="A101" s="292" t="s">
        <v>364</v>
      </c>
      <c r="C101" s="301">
        <f t="shared" si="52"/>
        <v>0.10065151865692888</v>
      </c>
      <c r="D101" s="301">
        <f t="shared" si="53"/>
        <v>6.675441061700458E-3</v>
      </c>
      <c r="E101" s="301">
        <f t="shared" si="54"/>
        <v>0.2705745716954629</v>
      </c>
      <c r="F101" s="301">
        <f t="shared" si="55"/>
        <v>7.0526807434888377E-3</v>
      </c>
      <c r="G101" s="301">
        <f t="shared" si="56"/>
        <v>3.9423281702180533E-2</v>
      </c>
      <c r="H101" s="301">
        <f t="shared" si="57"/>
        <v>0.13735244696072987</v>
      </c>
      <c r="I101" s="301">
        <f t="shared" si="58"/>
        <v>5.6294752409641879E-2</v>
      </c>
      <c r="J101" s="301">
        <f t="shared" si="59"/>
        <v>0.12413094436024531</v>
      </c>
      <c r="K101" s="301">
        <f t="shared" si="60"/>
        <v>0.32374276209224712</v>
      </c>
      <c r="L101" s="309">
        <f t="shared" si="61"/>
        <v>0.11843315552029174</v>
      </c>
      <c r="M101" s="301"/>
    </row>
    <row r="102" spans="1:13">
      <c r="A102" s="292" t="s">
        <v>365</v>
      </c>
      <c r="C102" s="301">
        <f t="shared" si="52"/>
        <v>9.1411868713855635E-2</v>
      </c>
      <c r="D102" s="301">
        <f t="shared" si="53"/>
        <v>6.6166948050159057E-3</v>
      </c>
      <c r="E102" s="301">
        <f t="shared" si="54"/>
        <v>0.26196414412561198</v>
      </c>
      <c r="F102" s="301">
        <f t="shared" si="55"/>
        <v>6.9731323982843577E-3</v>
      </c>
      <c r="G102" s="301">
        <f t="shared" si="56"/>
        <v>4.5542747992239688E-2</v>
      </c>
      <c r="H102" s="301">
        <f t="shared" si="57"/>
        <v>0.1491912054681761</v>
      </c>
      <c r="I102" s="301">
        <f t="shared" si="58"/>
        <v>5.6484112615276985E-2</v>
      </c>
      <c r="J102" s="301">
        <f t="shared" si="59"/>
        <v>0.13198081289255947</v>
      </c>
      <c r="K102" s="301">
        <f t="shared" si="60"/>
        <v>0.31416670126905782</v>
      </c>
      <c r="L102" s="309">
        <f t="shared" si="61"/>
        <v>0.11825904669778645</v>
      </c>
      <c r="M102" s="301"/>
    </row>
    <row r="103" spans="1:13">
      <c r="A103" s="292" t="s">
        <v>366</v>
      </c>
      <c r="C103" s="301">
        <f t="shared" si="52"/>
        <v>8.6170482940276169E-2</v>
      </c>
      <c r="D103" s="301">
        <f t="shared" si="53"/>
        <v>7.8076253435581033E-3</v>
      </c>
      <c r="E103" s="301">
        <f t="shared" si="54"/>
        <v>0.26116579075848889</v>
      </c>
      <c r="F103" s="301">
        <f t="shared" si="55"/>
        <v>6.7351972841222466E-3</v>
      </c>
      <c r="G103" s="301">
        <f t="shared" si="56"/>
        <v>4.4328907235088422E-2</v>
      </c>
      <c r="H103" s="301">
        <f t="shared" si="57"/>
        <v>0.15888901548289</v>
      </c>
      <c r="I103" s="301">
        <f t="shared" si="58"/>
        <v>5.3503694896577032E-2</v>
      </c>
      <c r="J103" s="301">
        <f t="shared" si="59"/>
        <v>0.1377445396120173</v>
      </c>
      <c r="K103" s="301">
        <f t="shared" si="60"/>
        <v>0.30843637011372665</v>
      </c>
      <c r="L103" s="309">
        <f t="shared" si="61"/>
        <v>0.11830906929630497</v>
      </c>
      <c r="M103" s="301"/>
    </row>
    <row r="104" spans="1:13">
      <c r="A104" s="292" t="s">
        <v>367</v>
      </c>
      <c r="C104" s="301">
        <f t="shared" si="52"/>
        <v>8.8738174257727245E-2</v>
      </c>
      <c r="D104" s="301">
        <f t="shared" si="53"/>
        <v>7.7913387440100802E-3</v>
      </c>
      <c r="E104" s="301">
        <f t="shared" si="54"/>
        <v>0.24700910675931587</v>
      </c>
      <c r="F104" s="301">
        <f t="shared" si="55"/>
        <v>6.5652437496089063E-3</v>
      </c>
      <c r="G104" s="301">
        <f t="shared" si="56"/>
        <v>4.3389117913127752E-2</v>
      </c>
      <c r="H104" s="301">
        <f t="shared" si="57"/>
        <v>0.15517860316037382</v>
      </c>
      <c r="I104" s="301">
        <f t="shared" si="58"/>
        <v>5.0514292486405606E-2</v>
      </c>
      <c r="J104" s="301">
        <f t="shared" si="59"/>
        <v>0.14395178755090349</v>
      </c>
      <c r="K104" s="301">
        <f t="shared" si="60"/>
        <v>0.31175874296953776</v>
      </c>
      <c r="L104" s="309">
        <f t="shared" si="61"/>
        <v>0.11721071195455673</v>
      </c>
      <c r="M104" s="301"/>
    </row>
    <row r="105" spans="1:13">
      <c r="A105" s="292" t="s">
        <v>368</v>
      </c>
      <c r="C105" s="301">
        <f t="shared" si="52"/>
        <v>8.2059732385399278E-2</v>
      </c>
      <c r="D105" s="301">
        <f t="shared" si="53"/>
        <v>7.8835697967146682E-3</v>
      </c>
      <c r="E105" s="301">
        <f t="shared" si="54"/>
        <v>0.24511721758320149</v>
      </c>
      <c r="F105" s="301">
        <f t="shared" si="55"/>
        <v>5.9559330856475915E-3</v>
      </c>
      <c r="G105" s="301">
        <f t="shared" si="56"/>
        <v>4.3371767778210522E-2</v>
      </c>
      <c r="H105" s="301">
        <f t="shared" si="57"/>
        <v>0.14776244111063053</v>
      </c>
      <c r="I105" s="301">
        <f t="shared" si="58"/>
        <v>5.474321176157556E-2</v>
      </c>
      <c r="J105" s="301">
        <f t="shared" si="59"/>
        <v>0.14743183372107638</v>
      </c>
      <c r="K105" s="301">
        <f t="shared" si="60"/>
        <v>0.31580210058693214</v>
      </c>
      <c r="L105" s="309">
        <f t="shared" si="61"/>
        <v>0.11668086753437645</v>
      </c>
      <c r="M105" s="301"/>
    </row>
    <row r="106" spans="1:13">
      <c r="A106" s="292" t="s">
        <v>389</v>
      </c>
      <c r="C106" s="301">
        <f t="shared" si="52"/>
        <v>8.0305264710219731E-2</v>
      </c>
      <c r="D106" s="301">
        <f t="shared" si="53"/>
        <v>8.2519050401240364E-3</v>
      </c>
      <c r="E106" s="301">
        <f t="shared" si="54"/>
        <v>0.24740958449479875</v>
      </c>
      <c r="F106" s="301">
        <f t="shared" si="55"/>
        <v>7.1692694137065098E-3</v>
      </c>
      <c r="G106" s="301">
        <f t="shared" si="56"/>
        <v>4.2537309715647058E-2</v>
      </c>
      <c r="H106" s="301">
        <f t="shared" si="57"/>
        <v>0.14188024329185983</v>
      </c>
      <c r="I106" s="301">
        <f t="shared" si="58"/>
        <v>5.3849462613091495E-2</v>
      </c>
      <c r="J106" s="301">
        <f t="shared" si="59"/>
        <v>0.15602662843517309</v>
      </c>
      <c r="K106" s="301">
        <f t="shared" si="60"/>
        <v>0.31521495192868748</v>
      </c>
      <c r="L106" s="309">
        <f t="shared" si="61"/>
        <v>0.1169605132937009</v>
      </c>
      <c r="M106" s="301"/>
    </row>
    <row r="107" spans="1:13">
      <c r="A107" s="292" t="s">
        <v>390</v>
      </c>
      <c r="C107" s="301">
        <f t="shared" si="52"/>
        <v>7.8418689597443123E-2</v>
      </c>
      <c r="D107" s="301">
        <f t="shared" si="53"/>
        <v>9.1863984333273984E-3</v>
      </c>
      <c r="E107" s="301">
        <f t="shared" si="54"/>
        <v>0.23042671456175146</v>
      </c>
      <c r="F107" s="301">
        <f t="shared" si="55"/>
        <v>6.3093920344186628E-3</v>
      </c>
      <c r="G107" s="301">
        <f t="shared" si="56"/>
        <v>4.3115404987638425E-2</v>
      </c>
      <c r="H107" s="301">
        <f t="shared" si="57"/>
        <v>0.1429442322745926</v>
      </c>
      <c r="I107" s="301">
        <f t="shared" si="58"/>
        <v>5.6550388305162173E-2</v>
      </c>
      <c r="J107" s="301">
        <f t="shared" si="59"/>
        <v>0.15138174443741725</v>
      </c>
      <c r="K107" s="301">
        <f t="shared" si="60"/>
        <v>0.33990574730117296</v>
      </c>
      <c r="L107" s="309">
        <f t="shared" si="61"/>
        <v>0.11758207910365821</v>
      </c>
      <c r="M107" s="301"/>
    </row>
    <row r="108" spans="1:13" ht="13.5" thickBot="1">
      <c r="A108" s="292" t="s">
        <v>421</v>
      </c>
      <c r="C108" s="301">
        <f t="shared" si="52"/>
        <v>7.2733038233543004E-2</v>
      </c>
      <c r="D108" s="301">
        <f t="shared" si="53"/>
        <v>9.0764098568228303E-3</v>
      </c>
      <c r="E108" s="301">
        <f t="shared" si="54"/>
        <v>0.2299898590991912</v>
      </c>
      <c r="F108" s="301">
        <f t="shared" si="55"/>
        <v>6.0021605350358675E-3</v>
      </c>
      <c r="G108" s="301">
        <f t="shared" si="56"/>
        <v>4.2947834676632879E-2</v>
      </c>
      <c r="H108" s="301">
        <f t="shared" si="57"/>
        <v>0.14369703125898384</v>
      </c>
      <c r="I108" s="301">
        <f t="shared" si="58"/>
        <v>5.6958267680832494E-2</v>
      </c>
      <c r="J108" s="301">
        <f t="shared" si="59"/>
        <v>0.15455730930112874</v>
      </c>
      <c r="K108" s="301">
        <f t="shared" si="60"/>
        <v>0.3542495182091086</v>
      </c>
      <c r="L108" s="310">
        <f t="shared" si="61"/>
        <v>0.11891238098347549</v>
      </c>
      <c r="M108" s="301"/>
    </row>
    <row r="110" spans="1:13">
      <c r="A110" s="311" t="s">
        <v>28</v>
      </c>
      <c r="B110" s="311"/>
      <c r="C110" s="306">
        <f>AVERAGE(C93:C108)</f>
        <v>0.10062218860672174</v>
      </c>
      <c r="D110" s="306">
        <f t="shared" ref="D110:K110" si="62">AVERAGE(D93:D108)</f>
        <v>7.4864935319625169E-3</v>
      </c>
      <c r="E110" s="306">
        <f t="shared" si="62"/>
        <v>0.27591086988561697</v>
      </c>
      <c r="F110" s="306">
        <f t="shared" si="62"/>
        <v>7.2340278637101959E-3</v>
      </c>
      <c r="G110" s="306">
        <f t="shared" si="62"/>
        <v>3.7734706897295141E-2</v>
      </c>
      <c r="H110" s="306">
        <f t="shared" si="62"/>
        <v>0.13413240541584209</v>
      </c>
      <c r="I110" s="306">
        <f t="shared" si="62"/>
        <v>5.9150822382824389E-2</v>
      </c>
      <c r="J110" s="306">
        <f t="shared" si="62"/>
        <v>0.12293816007291411</v>
      </c>
      <c r="K110" s="306">
        <f t="shared" si="62"/>
        <v>0.31173926664654034</v>
      </c>
    </row>
    <row r="111" spans="1:13">
      <c r="A111" s="311" t="s">
        <v>374</v>
      </c>
      <c r="B111" s="311"/>
      <c r="C111" s="306">
        <f>C108-C93</f>
        <v>-4.4836511067002677E-2</v>
      </c>
      <c r="D111" s="306">
        <f t="shared" ref="D111:K111" si="63">D108-D93</f>
        <v>-2.2267527736679494E-3</v>
      </c>
      <c r="E111" s="306">
        <f t="shared" si="63"/>
        <v>-0.12454087132810573</v>
      </c>
      <c r="F111" s="306">
        <f t="shared" si="63"/>
        <v>-2.3467449775066585E-3</v>
      </c>
      <c r="G111" s="306">
        <f t="shared" si="63"/>
        <v>9.3528159516000978E-3</v>
      </c>
      <c r="H111" s="306">
        <f t="shared" si="63"/>
        <v>3.6009831029057068E-2</v>
      </c>
      <c r="I111" s="306">
        <f t="shared" si="63"/>
        <v>-1.268976181193357E-2</v>
      </c>
      <c r="J111" s="306">
        <f t="shared" si="63"/>
        <v>6.5884614007043887E-2</v>
      </c>
      <c r="K111" s="306">
        <f t="shared" si="63"/>
        <v>0.10056244327563624</v>
      </c>
    </row>
    <row r="112" spans="1:13">
      <c r="A112" s="311" t="s">
        <v>375</v>
      </c>
      <c r="B112" s="311"/>
      <c r="C112" s="306">
        <f>STDEV(C93:C108)</f>
        <v>1.725090625103402E-2</v>
      </c>
      <c r="D112" s="306">
        <f t="shared" ref="D112:K112" si="64">STDEV(D93:D108)</f>
        <v>1.7943739146723584E-3</v>
      </c>
      <c r="E112" s="306">
        <f t="shared" si="64"/>
        <v>3.5297358387918469E-2</v>
      </c>
      <c r="F112" s="306">
        <f t="shared" si="64"/>
        <v>7.78035108697798E-4</v>
      </c>
      <c r="G112" s="306">
        <f t="shared" si="64"/>
        <v>5.7312707789720441E-3</v>
      </c>
      <c r="H112" s="306">
        <f t="shared" si="64"/>
        <v>1.5405770723461514E-2</v>
      </c>
      <c r="I112" s="306">
        <f t="shared" si="64"/>
        <v>5.9550731688110562E-3</v>
      </c>
      <c r="J112" s="306">
        <f t="shared" si="64"/>
        <v>2.375558056705555E-2</v>
      </c>
      <c r="K112" s="306">
        <f t="shared" si="64"/>
        <v>2.3466147167348302E-2</v>
      </c>
    </row>
    <row r="114" spans="1:23" ht="13.5" thickBot="1"/>
    <row r="115" spans="1:23" ht="13.5" thickBot="1">
      <c r="A115" s="293" t="s">
        <v>377</v>
      </c>
      <c r="B115" s="446" t="s">
        <v>352</v>
      </c>
      <c r="C115" s="446"/>
      <c r="D115" s="446" t="s">
        <v>353</v>
      </c>
      <c r="E115" s="446"/>
      <c r="F115" s="446" t="s">
        <v>4</v>
      </c>
      <c r="G115" s="446"/>
      <c r="H115" s="446" t="s">
        <v>354</v>
      </c>
      <c r="I115" s="446"/>
      <c r="J115" s="446" t="s">
        <v>355</v>
      </c>
      <c r="K115" s="446"/>
      <c r="L115" s="446" t="s">
        <v>356</v>
      </c>
      <c r="M115" s="446"/>
      <c r="N115" s="446" t="s">
        <v>357</v>
      </c>
      <c r="O115" s="446"/>
      <c r="P115" s="446" t="s">
        <v>358</v>
      </c>
      <c r="Q115" s="446"/>
      <c r="R115" s="446" t="s">
        <v>359</v>
      </c>
      <c r="S115" s="446"/>
      <c r="T115" s="446"/>
      <c r="U115" s="446"/>
      <c r="V115" s="447" t="s">
        <v>134</v>
      </c>
      <c r="W115" s="446"/>
    </row>
    <row r="116" spans="1:23">
      <c r="A116" s="303" t="s">
        <v>378</v>
      </c>
      <c r="B116" s="297" t="s">
        <v>252</v>
      </c>
      <c r="C116" s="297" t="s">
        <v>362</v>
      </c>
      <c r="D116" s="297" t="s">
        <v>252</v>
      </c>
      <c r="E116" s="297" t="str">
        <f>C116</f>
        <v>MA</v>
      </c>
      <c r="F116" s="297" t="s">
        <v>252</v>
      </c>
      <c r="G116" s="297" t="str">
        <f>E116</f>
        <v>MA</v>
      </c>
      <c r="H116" s="297" t="s">
        <v>252</v>
      </c>
      <c r="I116" s="297" t="str">
        <f>G116</f>
        <v>MA</v>
      </c>
      <c r="J116" s="297" t="s">
        <v>252</v>
      </c>
      <c r="K116" s="297" t="str">
        <f>I116</f>
        <v>MA</v>
      </c>
      <c r="L116" s="297" t="s">
        <v>252</v>
      </c>
      <c r="M116" s="297" t="str">
        <f>K116</f>
        <v>MA</v>
      </c>
      <c r="N116" s="297" t="s">
        <v>252</v>
      </c>
      <c r="O116" s="297" t="str">
        <f>M116</f>
        <v>MA</v>
      </c>
      <c r="P116" s="297" t="s">
        <v>252</v>
      </c>
      <c r="Q116" s="297" t="str">
        <f>O116</f>
        <v>MA</v>
      </c>
      <c r="R116" s="297" t="s">
        <v>252</v>
      </c>
      <c r="S116" s="297" t="str">
        <f>Q116</f>
        <v>MA</v>
      </c>
      <c r="T116" s="297"/>
      <c r="U116" s="297"/>
      <c r="V116" s="297" t="s">
        <v>252</v>
      </c>
      <c r="W116" s="297" t="s">
        <v>362</v>
      </c>
    </row>
    <row r="117" spans="1:23">
      <c r="A117" s="292" t="str">
        <f>A93</f>
        <v>1996</v>
      </c>
      <c r="B117" s="298">
        <v>16812880.000000019</v>
      </c>
      <c r="C117" s="298">
        <v>4059773.1350252079</v>
      </c>
      <c r="D117" s="298">
        <v>18798620.000000048</v>
      </c>
      <c r="E117" s="298">
        <v>1090729.2256143386</v>
      </c>
      <c r="F117" s="298">
        <v>54160040.000000015</v>
      </c>
      <c r="G117" s="298">
        <v>12530670.837534314</v>
      </c>
      <c r="H117" s="298">
        <v>12503810.000000011</v>
      </c>
      <c r="I117" s="298">
        <v>2092445.7693373889</v>
      </c>
      <c r="J117" s="298">
        <v>6216861.5699872989</v>
      </c>
      <c r="K117" s="298">
        <v>1090419.6214471699</v>
      </c>
      <c r="L117" s="298">
        <v>41045679.99999997</v>
      </c>
      <c r="M117" s="298">
        <v>6679014.6280954909</v>
      </c>
      <c r="N117" s="298">
        <v>26492460.000000119</v>
      </c>
      <c r="O117" s="298">
        <v>6324494.1026162943</v>
      </c>
      <c r="P117" s="298">
        <v>62446520.00000006</v>
      </c>
      <c r="Q117" s="298">
        <v>9057138.3639987484</v>
      </c>
      <c r="R117" s="298">
        <v>18876070</v>
      </c>
      <c r="S117" s="298">
        <v>2742445.2102503199</v>
      </c>
      <c r="T117" s="298"/>
      <c r="U117" s="298"/>
      <c r="V117" s="299">
        <f>B117+D117+F117+H117+J117+L117+N117+P117+R117+T117</f>
        <v>257352941.56998754</v>
      </c>
      <c r="W117" s="299">
        <f>C117+E117+G117+I117+K117+M117+O117+Q117+S117+U117</f>
        <v>45667130.893919267</v>
      </c>
    </row>
    <row r="118" spans="1:23">
      <c r="A118" s="292" t="str">
        <f t="shared" ref="A118:A130" si="65">A94</f>
        <v>1997</v>
      </c>
      <c r="B118" s="298">
        <v>17735190.000000007</v>
      </c>
      <c r="C118" s="298">
        <v>4410603.9281403776</v>
      </c>
      <c r="D118" s="298">
        <v>18463559.999999996</v>
      </c>
      <c r="E118" s="298">
        <v>1127512.9078283599</v>
      </c>
      <c r="F118" s="298">
        <v>61071069.999999911</v>
      </c>
      <c r="G118" s="298">
        <v>14116229.118641168</v>
      </c>
      <c r="H118" s="298">
        <v>13266030.000000041</v>
      </c>
      <c r="I118" s="298">
        <v>2216463.3272612281</v>
      </c>
      <c r="J118" s="298">
        <v>7544450.9829964004</v>
      </c>
      <c r="K118" s="298">
        <v>1351070.8547108299</v>
      </c>
      <c r="L118" s="298">
        <v>43726380.000000007</v>
      </c>
      <c r="M118" s="298">
        <v>7126392.4795248993</v>
      </c>
      <c r="N118" s="298">
        <v>30338690.000000097</v>
      </c>
      <c r="O118" s="298">
        <v>7099854.2235041307</v>
      </c>
      <c r="P118" s="298">
        <v>73799079.99999997</v>
      </c>
      <c r="Q118" s="298">
        <v>10538973.129690785</v>
      </c>
      <c r="R118" s="298">
        <v>21145674.999999896</v>
      </c>
      <c r="S118" s="298">
        <v>2980688.0177886412</v>
      </c>
      <c r="T118" s="298"/>
      <c r="U118" s="298"/>
      <c r="V118" s="299">
        <f t="shared" ref="V118:V132" si="66">B118+D118+F118+H118+J118+L118+N118+P118+R118+T118</f>
        <v>287090125.98299634</v>
      </c>
      <c r="W118" s="299">
        <f t="shared" ref="W118:W132" si="67">C118+E118+G118+I118+K118+M118+O118+Q118+S118+U118</f>
        <v>50967787.987090416</v>
      </c>
    </row>
    <row r="119" spans="1:23">
      <c r="A119" s="292" t="str">
        <f t="shared" si="65"/>
        <v>1998</v>
      </c>
      <c r="B119" s="298">
        <v>17119700.000000011</v>
      </c>
      <c r="C119" s="298">
        <v>4697509.7069929577</v>
      </c>
      <c r="D119" s="298">
        <v>22383200</v>
      </c>
      <c r="E119" s="298">
        <v>1352171.0352020694</v>
      </c>
      <c r="F119" s="298">
        <v>58746995.999999955</v>
      </c>
      <c r="G119" s="298">
        <v>13594233.085383782</v>
      </c>
      <c r="H119" s="298">
        <v>13736900</v>
      </c>
      <c r="I119" s="298">
        <v>2330688.005977585</v>
      </c>
      <c r="J119" s="298">
        <v>7545400</v>
      </c>
      <c r="K119" s="298">
        <v>1269886.2525868698</v>
      </c>
      <c r="L119" s="298">
        <v>44879900</v>
      </c>
      <c r="M119" s="298">
        <v>7271897.2513825642</v>
      </c>
      <c r="N119" s="298">
        <v>33884100</v>
      </c>
      <c r="O119" s="298">
        <v>7750033.0399371795</v>
      </c>
      <c r="P119" s="298">
        <v>79841800</v>
      </c>
      <c r="Q119" s="298">
        <v>11513721.902622452</v>
      </c>
      <c r="R119" s="298">
        <v>24193999.999999881</v>
      </c>
      <c r="S119" s="298">
        <v>3477673.5978727825</v>
      </c>
      <c r="T119" s="298"/>
      <c r="U119" s="298"/>
      <c r="V119" s="299">
        <f t="shared" si="66"/>
        <v>302331995.99999988</v>
      </c>
      <c r="W119" s="299">
        <f t="shared" si="67"/>
        <v>53257813.877958253</v>
      </c>
    </row>
    <row r="120" spans="1:23">
      <c r="A120" s="292" t="str">
        <f t="shared" si="65"/>
        <v>1999</v>
      </c>
      <c r="B120" s="298">
        <v>17367400.000000015</v>
      </c>
      <c r="C120" s="298">
        <v>4248717.1432930697</v>
      </c>
      <c r="D120" s="298">
        <v>26153400</v>
      </c>
      <c r="E120" s="298">
        <v>1351391.8353109758</v>
      </c>
      <c r="F120" s="298">
        <v>61353000</v>
      </c>
      <c r="G120" s="298">
        <v>14288717.046616094</v>
      </c>
      <c r="H120" s="298">
        <v>13439999.999999989</v>
      </c>
      <c r="I120" s="298">
        <v>2297207.971499552</v>
      </c>
      <c r="J120" s="298">
        <v>7726900</v>
      </c>
      <c r="K120" s="298">
        <v>1245240.9955787999</v>
      </c>
      <c r="L120" s="298">
        <v>48733100</v>
      </c>
      <c r="M120" s="298">
        <v>7818049.455875108</v>
      </c>
      <c r="N120" s="298">
        <v>38979300</v>
      </c>
      <c r="O120" s="298">
        <v>8809984.3000776619</v>
      </c>
      <c r="P120" s="298">
        <v>93114599.99999997</v>
      </c>
      <c r="Q120" s="298">
        <v>13442104.005935548</v>
      </c>
      <c r="R120" s="298">
        <v>27589000</v>
      </c>
      <c r="S120" s="298">
        <v>3891199.5357691534</v>
      </c>
      <c r="T120" s="298"/>
      <c r="U120" s="298"/>
      <c r="V120" s="299">
        <f t="shared" si="66"/>
        <v>334456700</v>
      </c>
      <c r="W120" s="299">
        <f t="shared" si="67"/>
        <v>57392612.289955959</v>
      </c>
    </row>
    <row r="121" spans="1:23">
      <c r="A121" s="292" t="str">
        <f t="shared" si="65"/>
        <v>2000</v>
      </c>
      <c r="B121" s="298">
        <v>18042000.000000045</v>
      </c>
      <c r="C121" s="298">
        <v>4606965.4936632235</v>
      </c>
      <c r="D121" s="298">
        <v>35133200</v>
      </c>
      <c r="E121" s="298">
        <v>1765643.1680723648</v>
      </c>
      <c r="F121" s="298">
        <v>76113660.00000006</v>
      </c>
      <c r="G121" s="298">
        <v>17787797.540428218</v>
      </c>
      <c r="H121" s="298">
        <v>14621999.999999989</v>
      </c>
      <c r="I121" s="298">
        <v>2512845.7278930126</v>
      </c>
      <c r="J121" s="298">
        <v>8317000</v>
      </c>
      <c r="K121" s="298">
        <v>1320063.15049621</v>
      </c>
      <c r="L121" s="298">
        <v>61187350.000000007</v>
      </c>
      <c r="M121" s="298">
        <v>9780814.0527653955</v>
      </c>
      <c r="N121" s="298">
        <v>47245799.999999985</v>
      </c>
      <c r="O121" s="298">
        <v>10457518.562254632</v>
      </c>
      <c r="P121" s="298">
        <v>102965600.00000001</v>
      </c>
      <c r="Q121" s="298">
        <v>14633459.467921296</v>
      </c>
      <c r="R121" s="298">
        <v>32289799.999999791</v>
      </c>
      <c r="S121" s="298">
        <v>4588295.1495669894</v>
      </c>
      <c r="T121" s="298"/>
      <c r="U121" s="298"/>
      <c r="V121" s="299">
        <f t="shared" si="66"/>
        <v>395916409.99999988</v>
      </c>
      <c r="W121" s="299">
        <f t="shared" si="67"/>
        <v>67453402.313061342</v>
      </c>
    </row>
    <row r="122" spans="1:23">
      <c r="A122" s="292" t="str">
        <f t="shared" si="65"/>
        <v>2001</v>
      </c>
      <c r="B122" s="298">
        <v>22610199.999999993</v>
      </c>
      <c r="C122" s="298">
        <v>5845325.9255362507</v>
      </c>
      <c r="D122" s="298">
        <v>45932200</v>
      </c>
      <c r="E122" s="298">
        <v>2144559.4443247914</v>
      </c>
      <c r="F122" s="298">
        <v>88179400.00000003</v>
      </c>
      <c r="G122" s="298">
        <v>20124340.400851879</v>
      </c>
      <c r="H122" s="298">
        <v>14814900</v>
      </c>
      <c r="I122" s="298">
        <v>2640763.8169138785</v>
      </c>
      <c r="J122" s="298">
        <v>9360000</v>
      </c>
      <c r="K122" s="298">
        <v>1893649.0634626704</v>
      </c>
      <c r="L122" s="298">
        <v>68374000</v>
      </c>
      <c r="M122" s="298">
        <v>11573188.830901206</v>
      </c>
      <c r="N122" s="298">
        <v>53276900</v>
      </c>
      <c r="O122" s="298">
        <v>11783490.756641809</v>
      </c>
      <c r="P122" s="298">
        <v>115041000</v>
      </c>
      <c r="Q122" s="298">
        <v>16321385.081189061</v>
      </c>
      <c r="R122" s="298">
        <v>35631000</v>
      </c>
      <c r="S122" s="298">
        <v>5108142.6959324405</v>
      </c>
      <c r="T122" s="298"/>
      <c r="U122" s="298"/>
      <c r="V122" s="299">
        <f t="shared" si="66"/>
        <v>453219600</v>
      </c>
      <c r="W122" s="299">
        <f t="shared" si="67"/>
        <v>77434846.015753984</v>
      </c>
    </row>
    <row r="123" spans="1:23">
      <c r="A123" s="292" t="str">
        <f t="shared" si="65"/>
        <v>2002</v>
      </c>
      <c r="B123" s="298">
        <v>29630100.000000007</v>
      </c>
      <c r="C123" s="298">
        <v>6624836.9591054963</v>
      </c>
      <c r="D123" s="298">
        <v>58274499.999999978</v>
      </c>
      <c r="E123" s="298">
        <v>2266946.1721198349</v>
      </c>
      <c r="F123" s="298">
        <v>104776500</v>
      </c>
      <c r="G123" s="298">
        <v>24027706.380738828</v>
      </c>
      <c r="H123" s="298">
        <v>16623100</v>
      </c>
      <c r="I123" s="298">
        <v>3190840.0780854151</v>
      </c>
      <c r="J123" s="298">
        <v>10380735.5</v>
      </c>
      <c r="K123" s="298">
        <v>1545305.58843478</v>
      </c>
      <c r="L123" s="298">
        <v>76234400</v>
      </c>
      <c r="M123" s="298">
        <v>12985336.012583384</v>
      </c>
      <c r="N123" s="298">
        <v>63332600</v>
      </c>
      <c r="O123" s="298">
        <v>14053382.38349043</v>
      </c>
      <c r="P123" s="298">
        <v>134816900</v>
      </c>
      <c r="Q123" s="298">
        <v>19081262.625535376</v>
      </c>
      <c r="R123" s="298">
        <v>42763299.999999881</v>
      </c>
      <c r="S123" s="298">
        <v>6192880.2739645727</v>
      </c>
      <c r="T123" s="298"/>
      <c r="U123" s="298"/>
      <c r="V123" s="299">
        <f t="shared" si="66"/>
        <v>536832135.49999988</v>
      </c>
      <c r="W123" s="299">
        <f t="shared" si="67"/>
        <v>89968496.474058107</v>
      </c>
    </row>
    <row r="124" spans="1:23">
      <c r="A124" s="292" t="str">
        <f t="shared" si="65"/>
        <v>2003</v>
      </c>
      <c r="B124" s="298">
        <v>26189400</v>
      </c>
      <c r="C124" s="298">
        <v>6103127.7256523548</v>
      </c>
      <c r="D124" s="298">
        <v>50576600</v>
      </c>
      <c r="E124" s="298">
        <v>2110991.0028017089</v>
      </c>
      <c r="F124" s="298">
        <v>118710100.00000001</v>
      </c>
      <c r="G124" s="298">
        <v>26786426.562624872</v>
      </c>
      <c r="H124" s="298">
        <v>18829300.000000022</v>
      </c>
      <c r="I124" s="298">
        <v>3096472.4511266667</v>
      </c>
      <c r="J124" s="298">
        <v>11358800</v>
      </c>
      <c r="K124" s="298">
        <v>1676697.5313859596</v>
      </c>
      <c r="L124" s="298">
        <v>84656800.000000119</v>
      </c>
      <c r="M124" s="298">
        <v>14339136.452402882</v>
      </c>
      <c r="N124" s="298">
        <v>70857900</v>
      </c>
      <c r="O124" s="298">
        <v>15508161.671985749</v>
      </c>
      <c r="P124" s="298">
        <v>147555900</v>
      </c>
      <c r="Q124" s="298">
        <v>21666299.120629422</v>
      </c>
      <c r="R124" s="298">
        <v>47427000.00000003</v>
      </c>
      <c r="S124" s="298">
        <v>6845015.4862654507</v>
      </c>
      <c r="T124" s="298"/>
      <c r="U124" s="298"/>
      <c r="V124" s="299">
        <f t="shared" si="66"/>
        <v>576161800.00000012</v>
      </c>
      <c r="W124" s="299">
        <f t="shared" si="67"/>
        <v>98132328.004875064</v>
      </c>
    </row>
    <row r="125" spans="1:23">
      <c r="A125" s="292" t="str">
        <f t="shared" si="65"/>
        <v>2004</v>
      </c>
      <c r="B125" s="298">
        <v>26577500</v>
      </c>
      <c r="C125" s="298">
        <v>6448034.7920723408</v>
      </c>
      <c r="D125" s="298">
        <v>53293400</v>
      </c>
      <c r="E125" s="298">
        <v>2170317.3674016064</v>
      </c>
      <c r="F125" s="298">
        <v>131414600</v>
      </c>
      <c r="G125" s="298">
        <v>29487750.326123655</v>
      </c>
      <c r="H125" s="298">
        <v>18975000.000000007</v>
      </c>
      <c r="I125" s="298">
        <v>3198296.544454237</v>
      </c>
      <c r="J125" s="298">
        <v>14998500</v>
      </c>
      <c r="K125" s="298">
        <v>2531659.8918650597</v>
      </c>
      <c r="L125" s="298">
        <v>93654399.999999866</v>
      </c>
      <c r="M125" s="298">
        <v>15484495.362363584</v>
      </c>
      <c r="N125" s="298">
        <v>78745199.999999911</v>
      </c>
      <c r="O125" s="298">
        <v>17103736.418843511</v>
      </c>
      <c r="P125" s="298">
        <v>164340300.00000009</v>
      </c>
      <c r="Q125" s="298">
        <v>23566949.730762105</v>
      </c>
      <c r="R125" s="298">
        <v>51646800.00000006</v>
      </c>
      <c r="S125" s="298">
        <v>7680189.0290584192</v>
      </c>
      <c r="T125" s="298"/>
      <c r="U125" s="298"/>
      <c r="V125" s="299">
        <f t="shared" si="66"/>
        <v>633645700</v>
      </c>
      <c r="W125" s="299">
        <f t="shared" si="67"/>
        <v>107671429.46294454</v>
      </c>
    </row>
    <row r="126" spans="1:23">
      <c r="A126" s="292" t="str">
        <f t="shared" si="65"/>
        <v>2005</v>
      </c>
      <c r="B126" s="298">
        <v>25259000</v>
      </c>
      <c r="C126" s="298">
        <v>6309398.1806710921</v>
      </c>
      <c r="D126" s="298">
        <v>65114599.999999993</v>
      </c>
      <c r="E126" s="298">
        <v>2604422.863195885</v>
      </c>
      <c r="F126" s="298">
        <v>138358400</v>
      </c>
      <c r="G126" s="298">
        <v>31255236.756397001</v>
      </c>
      <c r="H126" s="298">
        <v>20719000</v>
      </c>
      <c r="I126" s="298">
        <v>3485411.1608703439</v>
      </c>
      <c r="J126" s="298">
        <v>19102929.999999903</v>
      </c>
      <c r="K126" s="298">
        <v>2863964.3733108002</v>
      </c>
      <c r="L126" s="298">
        <v>104162800.00000001</v>
      </c>
      <c r="M126" s="298">
        <v>17776274.951739982</v>
      </c>
      <c r="N126" s="298">
        <v>88957000</v>
      </c>
      <c r="O126" s="298">
        <v>19039192.50432732</v>
      </c>
      <c r="P126" s="298">
        <v>182570200.00000012</v>
      </c>
      <c r="Q126" s="298">
        <v>27012029.025820337</v>
      </c>
      <c r="R126" s="298">
        <v>57804995.999999911</v>
      </c>
      <c r="S126" s="298">
        <v>8238730.1929225922</v>
      </c>
      <c r="T126" s="298"/>
      <c r="U126" s="298"/>
      <c r="V126" s="299">
        <f t="shared" si="66"/>
        <v>702048925.99999988</v>
      </c>
      <c r="W126" s="299">
        <f t="shared" si="67"/>
        <v>118584660.00925535</v>
      </c>
    </row>
    <row r="127" spans="1:23">
      <c r="A127" s="292" t="str">
        <f t="shared" si="65"/>
        <v>2006</v>
      </c>
      <c r="B127" s="298">
        <v>32510999.999999993</v>
      </c>
      <c r="C127" s="298">
        <v>7735462.1872081291</v>
      </c>
      <c r="D127" s="298">
        <v>83970100</v>
      </c>
      <c r="E127" s="298">
        <v>3408042.5991605427</v>
      </c>
      <c r="F127" s="298">
        <v>140874300</v>
      </c>
      <c r="G127" s="298">
        <v>32170463.125184353</v>
      </c>
      <c r="H127" s="298">
        <v>23287000</v>
      </c>
      <c r="I127" s="298">
        <v>3913273.9101876635</v>
      </c>
      <c r="J127" s="298">
        <v>24274390</v>
      </c>
      <c r="K127" s="298">
        <v>3559730.1400422803</v>
      </c>
      <c r="L127" s="298">
        <v>115025699.99999988</v>
      </c>
      <c r="M127" s="298">
        <v>19360322.603876077</v>
      </c>
      <c r="N127" s="298">
        <v>99715000</v>
      </c>
      <c r="O127" s="298">
        <v>21777553.377332062</v>
      </c>
      <c r="P127" s="298">
        <v>210641999.99999976</v>
      </c>
      <c r="Q127" s="298">
        <v>31091515.616299741</v>
      </c>
      <c r="R127" s="298">
        <v>64466600</v>
      </c>
      <c r="S127" s="298">
        <v>9554200.4904214367</v>
      </c>
      <c r="T127" s="298"/>
      <c r="U127" s="298"/>
      <c r="V127" s="299">
        <f t="shared" si="66"/>
        <v>794766089.99999964</v>
      </c>
      <c r="W127" s="299">
        <f t="shared" si="67"/>
        <v>132570564.0497123</v>
      </c>
    </row>
    <row r="128" spans="1:23">
      <c r="A128" s="292" t="str">
        <f t="shared" si="65"/>
        <v>2007</v>
      </c>
      <c r="B128" s="298">
        <v>39181500.000000022</v>
      </c>
      <c r="C128" s="298">
        <v>9382394.1345003229</v>
      </c>
      <c r="D128" s="298">
        <v>99954480.000000075</v>
      </c>
      <c r="E128" s="298">
        <v>4106314.5931786019</v>
      </c>
      <c r="F128" s="298">
        <v>151829269.99999955</v>
      </c>
      <c r="G128" s="298">
        <v>35350782.189040378</v>
      </c>
      <c r="H128" s="298">
        <v>26597000.00000003</v>
      </c>
      <c r="I128" s="298">
        <v>4523349.2613144591</v>
      </c>
      <c r="J128" s="298">
        <v>27076998.3400001</v>
      </c>
      <c r="K128" s="298">
        <v>3964458.4935644101</v>
      </c>
      <c r="L128" s="298">
        <v>130224499.9999999</v>
      </c>
      <c r="M128" s="298">
        <v>22019999.849908892</v>
      </c>
      <c r="N128" s="298">
        <v>106487700</v>
      </c>
      <c r="O128" s="298">
        <v>23620683.189424444</v>
      </c>
      <c r="P128" s="298">
        <v>255727999.99999982</v>
      </c>
      <c r="Q128" s="298">
        <v>37272886.642518088</v>
      </c>
      <c r="R128" s="298">
        <v>72596630.000000238</v>
      </c>
      <c r="S128" s="298">
        <v>10829083.862522088</v>
      </c>
      <c r="T128" s="298"/>
      <c r="U128" s="298"/>
      <c r="V128" s="299">
        <f t="shared" si="66"/>
        <v>909676078.33999968</v>
      </c>
      <c r="W128" s="299">
        <f t="shared" si="67"/>
        <v>151069952.21597168</v>
      </c>
    </row>
    <row r="129" spans="1:24">
      <c r="A129" s="292" t="str">
        <f t="shared" si="65"/>
        <v>2008</v>
      </c>
      <c r="B129" s="298">
        <v>46742270.00000003</v>
      </c>
      <c r="C129" s="298">
        <v>11420866.009909021</v>
      </c>
      <c r="D129" s="298">
        <v>132455190.00000004</v>
      </c>
      <c r="E129" s="298">
        <v>5600724.931394916</v>
      </c>
      <c r="F129" s="298">
        <v>166783470.00000018</v>
      </c>
      <c r="G129" s="298">
        <v>38181673.269243315</v>
      </c>
      <c r="H129" s="298">
        <v>28345939.99999997</v>
      </c>
      <c r="I129" s="298">
        <v>4367642.5609931182</v>
      </c>
      <c r="J129" s="298">
        <v>38048997.359999895</v>
      </c>
      <c r="K129" s="298">
        <v>5512787.9858003706</v>
      </c>
      <c r="L129" s="298">
        <v>149528599.99999988</v>
      </c>
      <c r="M129" s="298">
        <v>25170987.235931702</v>
      </c>
      <c r="N129" s="298">
        <v>126839399.9999997</v>
      </c>
      <c r="O129" s="298">
        <v>28204153.37121512</v>
      </c>
      <c r="P129" s="298">
        <v>274506000.00000066</v>
      </c>
      <c r="Q129" s="298">
        <v>39772854.213294759</v>
      </c>
      <c r="R129" s="298">
        <v>81388750.000000954</v>
      </c>
      <c r="S129" s="298">
        <v>12185107.05620341</v>
      </c>
      <c r="T129" s="298"/>
      <c r="U129" s="298"/>
      <c r="V129" s="299">
        <f t="shared" si="66"/>
        <v>1044638617.3600013</v>
      </c>
      <c r="W129" s="299">
        <f t="shared" si="67"/>
        <v>170416796.63398576</v>
      </c>
    </row>
    <row r="130" spans="1:24">
      <c r="A130" s="292" t="str">
        <f t="shared" si="65"/>
        <v>2009</v>
      </c>
      <c r="B130" s="298">
        <v>45675920</v>
      </c>
      <c r="C130" s="298">
        <v>11367326</v>
      </c>
      <c r="D130" s="298">
        <v>123002429</v>
      </c>
      <c r="E130" s="298">
        <v>4968494</v>
      </c>
      <c r="F130" s="298">
        <v>148105150</v>
      </c>
      <c r="G130" s="298">
        <v>34806397</v>
      </c>
      <c r="H130" s="298">
        <v>40683611</v>
      </c>
      <c r="I130" s="298">
        <v>6288637</v>
      </c>
      <c r="J130" s="298">
        <v>47243020</v>
      </c>
      <c r="K130" s="298">
        <v>7011080</v>
      </c>
      <c r="L130" s="298">
        <v>169843321</v>
      </c>
      <c r="M130" s="298">
        <v>28849321</v>
      </c>
      <c r="N130" s="298">
        <v>134897875</v>
      </c>
      <c r="O130" s="298">
        <v>30232070</v>
      </c>
      <c r="P130" s="298">
        <v>293517110</v>
      </c>
      <c r="Q130" s="298">
        <v>42573431</v>
      </c>
      <c r="R130" s="298">
        <v>93710940</v>
      </c>
      <c r="S130" s="298">
        <v>14165771</v>
      </c>
      <c r="T130" s="298"/>
      <c r="U130" s="298"/>
      <c r="V130" s="299">
        <f t="shared" si="66"/>
        <v>1096679376</v>
      </c>
      <c r="W130" s="299">
        <f t="shared" si="67"/>
        <v>180262527</v>
      </c>
    </row>
    <row r="131" spans="1:24">
      <c r="A131" s="292" t="str">
        <f>A107</f>
        <v>2010</v>
      </c>
      <c r="B131" s="298">
        <v>40050330</v>
      </c>
      <c r="C131" s="298">
        <v>10167536</v>
      </c>
      <c r="D131" s="298">
        <v>144506720</v>
      </c>
      <c r="E131" s="298">
        <v>5787318</v>
      </c>
      <c r="F131" s="298">
        <v>135102590</v>
      </c>
      <c r="G131" s="298">
        <v>32190498</v>
      </c>
      <c r="H131" s="298">
        <v>48538930</v>
      </c>
      <c r="I131" s="298">
        <v>7472269</v>
      </c>
      <c r="J131" s="298">
        <v>61285254</v>
      </c>
      <c r="K131" s="298">
        <v>9115348</v>
      </c>
      <c r="L131" s="298">
        <v>199223690</v>
      </c>
      <c r="M131" s="298">
        <v>33885606</v>
      </c>
      <c r="N131" s="298">
        <v>132311610</v>
      </c>
      <c r="O131" s="298">
        <v>29930513</v>
      </c>
      <c r="P131" s="298">
        <v>328960580</v>
      </c>
      <c r="Q131" s="298">
        <v>47483406</v>
      </c>
      <c r="R131" s="298">
        <v>120518919</v>
      </c>
      <c r="S131" s="298">
        <v>18283189</v>
      </c>
      <c r="T131" s="298"/>
      <c r="U131" s="298"/>
      <c r="V131" s="299">
        <f t="shared" si="66"/>
        <v>1210498623</v>
      </c>
      <c r="W131" s="299">
        <f t="shared" si="67"/>
        <v>194315683</v>
      </c>
    </row>
    <row r="132" spans="1:24">
      <c r="A132" s="292" t="str">
        <f>A108</f>
        <v>2011</v>
      </c>
      <c r="B132" s="298">
        <v>44646000</v>
      </c>
      <c r="C132" s="298">
        <v>11268677</v>
      </c>
      <c r="D132" s="298">
        <v>168218000</v>
      </c>
      <c r="E132" s="298">
        <v>6553603</v>
      </c>
      <c r="F132" s="298">
        <v>144599000</v>
      </c>
      <c r="G132" s="298">
        <v>34055110</v>
      </c>
      <c r="H132" s="298">
        <v>52698000</v>
      </c>
      <c r="I132" s="298">
        <v>7900948</v>
      </c>
      <c r="J132" s="298">
        <v>76392000</v>
      </c>
      <c r="K132" s="298">
        <v>11279884</v>
      </c>
      <c r="L132" s="298">
        <v>231843000</v>
      </c>
      <c r="M132" s="298">
        <v>39384091</v>
      </c>
      <c r="N132" s="298">
        <v>143708000</v>
      </c>
      <c r="O132" s="298">
        <v>33076608</v>
      </c>
      <c r="P132" s="298">
        <v>356732000</v>
      </c>
      <c r="Q132" s="298">
        <v>51530352</v>
      </c>
      <c r="R132" s="298">
        <v>134013000</v>
      </c>
      <c r="S132" s="298">
        <v>20223102</v>
      </c>
      <c r="T132" s="298"/>
      <c r="U132" s="298"/>
      <c r="V132" s="299">
        <f t="shared" si="66"/>
        <v>1352849000</v>
      </c>
      <c r="W132" s="299">
        <f t="shared" si="67"/>
        <v>215272375</v>
      </c>
      <c r="X132" s="298"/>
    </row>
    <row r="133" spans="1:24" ht="13.5" thickBot="1"/>
    <row r="134" spans="1:24" ht="51.75" thickBot="1">
      <c r="A134" s="293" t="s">
        <v>379</v>
      </c>
      <c r="C134" s="294" t="s">
        <v>1</v>
      </c>
      <c r="D134" s="294" t="s">
        <v>2</v>
      </c>
      <c r="E134" s="294" t="s">
        <v>4</v>
      </c>
      <c r="F134" s="294" t="s">
        <v>5</v>
      </c>
      <c r="G134" s="294" t="s">
        <v>6</v>
      </c>
      <c r="H134" s="294" t="s">
        <v>8</v>
      </c>
      <c r="I134" s="294" t="s">
        <v>9</v>
      </c>
      <c r="J134" s="294" t="s">
        <v>10</v>
      </c>
      <c r="K134" s="305" t="s">
        <v>371</v>
      </c>
      <c r="L134" s="308" t="s">
        <v>28</v>
      </c>
    </row>
    <row r="135" spans="1:24">
      <c r="A135" s="296" t="s">
        <v>277</v>
      </c>
      <c r="C135" s="301">
        <f>(C117*1000/C4)/(B117*1000/B4)</f>
        <v>1.7875773536762058</v>
      </c>
      <c r="D135" s="301">
        <f>(E117*1000/E4)/(D117*1000/D4)</f>
        <v>2.5887316756253695</v>
      </c>
      <c r="E135" s="301">
        <f>(G117*1000/G4)/(F117*1000/F4)</f>
        <v>1.12980052290658</v>
      </c>
      <c r="F135" s="301">
        <f>(I117*1000/I4)/(H117*1000/H4)</f>
        <v>1.363844848075934</v>
      </c>
      <c r="G135" s="301">
        <f>(K117*1000/K4)/(J117*1000/J4)</f>
        <v>1.6369058269896142</v>
      </c>
      <c r="H135" s="301">
        <f>(M117*1000/M4)/(L117*1000/L4)</f>
        <v>1.594394652636123</v>
      </c>
      <c r="I135" s="301">
        <f>(O117*1000/O4)/(N117*1000/N4)</f>
        <v>1.5420171107107845</v>
      </c>
      <c r="J135" s="301">
        <f>(Q117*1000/Q4)/(P117*1000/P4)</f>
        <v>1.1138532182414518</v>
      </c>
      <c r="K135" s="301">
        <f>(S117*1000/S4)/(R117*1000/R4)</f>
        <v>0.99395757913064176</v>
      </c>
      <c r="L135" s="309">
        <f>AVERAGE(C135:K135)</f>
        <v>1.527898087554745</v>
      </c>
    </row>
    <row r="136" spans="1:24">
      <c r="A136" s="296" t="s">
        <v>278</v>
      </c>
      <c r="C136" s="301">
        <f t="shared" ref="C136:C150" si="68">(C118*1000/C5)/(B118*1000/B5)</f>
        <v>1.8386803803729288</v>
      </c>
      <c r="D136" s="301">
        <f t="shared" ref="D136:D150" si="69">(E118*1000/E5)/(D118*1000/D5)</f>
        <v>3.1423916091577802</v>
      </c>
      <c r="E136" s="301">
        <f t="shared" ref="E136:E150" si="70">(G118*1000/G5)/(F118*1000/F5)</f>
        <v>1.1322616827244207</v>
      </c>
      <c r="F136" s="301">
        <f t="shared" ref="F136:F150" si="71">(I118*1000/I5)/(H118*1000/H5)</f>
        <v>1.3577427684585703</v>
      </c>
      <c r="G136" s="301">
        <f t="shared" ref="G136:G150" si="72">(K118*1000/K5)/(J118*1000/J5)</f>
        <v>1.6701334318820245</v>
      </c>
      <c r="H136" s="301">
        <f t="shared" ref="H136:H150" si="73">(M118*1000/M5)/(L118*1000/L5)</f>
        <v>1.5953277317449557</v>
      </c>
      <c r="I136" s="301">
        <f t="shared" ref="I136:I150" si="74">(O118*1000/O5)/(N118*1000/N5)</f>
        <v>1.5077002589362409</v>
      </c>
      <c r="J136" s="301">
        <f t="shared" ref="J136:J150" si="75">(Q118*1000/Q5)/(P118*1000/P5)</f>
        <v>1.0928022151512213</v>
      </c>
      <c r="K136" s="301">
        <f t="shared" ref="K136:K150" si="76">(S118*1000/S5)/(R118*1000/R5)</f>
        <v>0.95967052531475305</v>
      </c>
      <c r="L136" s="309">
        <f t="shared" ref="L136:L150" si="77">AVERAGE(C136:K136)</f>
        <v>1.5885234004158775</v>
      </c>
    </row>
    <row r="137" spans="1:24">
      <c r="A137" s="296" t="s">
        <v>279</v>
      </c>
      <c r="C137" s="301">
        <f t="shared" si="68"/>
        <v>2.0280045689139667</v>
      </c>
      <c r="D137" s="301">
        <f t="shared" si="69"/>
        <v>2.9570676358595671</v>
      </c>
      <c r="E137" s="301">
        <f t="shared" si="70"/>
        <v>1.1433295803521695</v>
      </c>
      <c r="F137" s="301">
        <f t="shared" si="71"/>
        <v>1.3975335557277326</v>
      </c>
      <c r="G137" s="301">
        <f t="shared" si="72"/>
        <v>1.5830195050638862</v>
      </c>
      <c r="H137" s="301">
        <f t="shared" si="73"/>
        <v>1.6011257050056578</v>
      </c>
      <c r="I137" s="301">
        <f t="shared" si="74"/>
        <v>1.4765032908422548</v>
      </c>
      <c r="J137" s="301">
        <f t="shared" si="75"/>
        <v>1.1206205977629953</v>
      </c>
      <c r="K137" s="301">
        <f t="shared" si="76"/>
        <v>0.97831163982497249</v>
      </c>
      <c r="L137" s="309">
        <f t="shared" si="77"/>
        <v>1.5872795643725781</v>
      </c>
    </row>
    <row r="138" spans="1:24">
      <c r="A138" s="296" t="s">
        <v>280</v>
      </c>
      <c r="C138" s="301">
        <f t="shared" si="68"/>
        <v>1.807387270688896</v>
      </c>
      <c r="D138" s="301">
        <f t="shared" si="69"/>
        <v>3.0796827726000169</v>
      </c>
      <c r="E138" s="301">
        <f t="shared" si="70"/>
        <v>1.1570918810312099</v>
      </c>
      <c r="F138" s="301">
        <f t="shared" si="71"/>
        <v>1.4245379809834586</v>
      </c>
      <c r="G138" s="301">
        <f t="shared" si="72"/>
        <v>1.5507358925830683</v>
      </c>
      <c r="H138" s="301">
        <f t="shared" si="73"/>
        <v>1.6219295147761585</v>
      </c>
      <c r="I138" s="301">
        <f t="shared" si="74"/>
        <v>1.4910209471445519</v>
      </c>
      <c r="J138" s="301">
        <f t="shared" si="75"/>
        <v>1.1531828316155674</v>
      </c>
      <c r="K138" s="301">
        <f t="shared" si="76"/>
        <v>0.96021722508032903</v>
      </c>
      <c r="L138" s="309">
        <f t="shared" si="77"/>
        <v>1.5828651462781398</v>
      </c>
    </row>
    <row r="139" spans="1:24">
      <c r="A139" s="296" t="s">
        <v>16</v>
      </c>
      <c r="C139" s="301">
        <f t="shared" si="68"/>
        <v>1.883730532404861</v>
      </c>
      <c r="D139" s="301">
        <f t="shared" si="69"/>
        <v>3.3201956455973147</v>
      </c>
      <c r="E139" s="301">
        <f t="shared" si="70"/>
        <v>1.1611086752278064</v>
      </c>
      <c r="F139" s="301">
        <f t="shared" si="71"/>
        <v>1.4426468114960127</v>
      </c>
      <c r="G139" s="301">
        <f t="shared" si="72"/>
        <v>1.5438109929425898</v>
      </c>
      <c r="H139" s="301">
        <f t="shared" si="73"/>
        <v>1.6398884467126575</v>
      </c>
      <c r="I139" s="301">
        <f t="shared" si="74"/>
        <v>1.4955311470044577</v>
      </c>
      <c r="J139" s="301">
        <f t="shared" si="75"/>
        <v>1.1471279061023765</v>
      </c>
      <c r="K139" s="301">
        <f t="shared" si="76"/>
        <v>0.96718153303350685</v>
      </c>
      <c r="L139" s="309">
        <f t="shared" si="77"/>
        <v>1.6223579656135092</v>
      </c>
    </row>
    <row r="140" spans="1:24">
      <c r="A140" s="296" t="s">
        <v>17</v>
      </c>
      <c r="C140" s="301">
        <f t="shared" si="68"/>
        <v>1.9259189762607558</v>
      </c>
      <c r="D140" s="301">
        <f t="shared" si="69"/>
        <v>3.2990366187683229</v>
      </c>
      <c r="E140" s="301">
        <f t="shared" si="70"/>
        <v>1.1351138079636598</v>
      </c>
      <c r="F140" s="301">
        <f t="shared" si="71"/>
        <v>1.5103840895553962</v>
      </c>
      <c r="G140" s="301">
        <f t="shared" si="72"/>
        <v>1.9571097724780602</v>
      </c>
      <c r="H140" s="301">
        <f t="shared" si="73"/>
        <v>1.7304940556058472</v>
      </c>
      <c r="I140" s="301">
        <f t="shared" si="74"/>
        <v>1.503229198647374</v>
      </c>
      <c r="J140" s="301">
        <f t="shared" si="75"/>
        <v>1.1552085207365919</v>
      </c>
      <c r="K140" s="301">
        <f t="shared" si="76"/>
        <v>0.98531038902540047</v>
      </c>
      <c r="L140" s="309">
        <f t="shared" si="77"/>
        <v>1.689089492115712</v>
      </c>
    </row>
    <row r="141" spans="1:24">
      <c r="A141" s="296" t="s">
        <v>18</v>
      </c>
      <c r="C141" s="301">
        <f t="shared" si="68"/>
        <v>1.6652571229507502</v>
      </c>
      <c r="D141" s="301">
        <f t="shared" si="69"/>
        <v>2.8007341223612237</v>
      </c>
      <c r="E141" s="301">
        <f t="shared" si="70"/>
        <v>1.1434210472553579</v>
      </c>
      <c r="F141" s="301">
        <f t="shared" si="71"/>
        <v>1.6095048075600142</v>
      </c>
      <c r="G141" s="301">
        <f t="shared" si="72"/>
        <v>1.4457517262966002</v>
      </c>
      <c r="H141" s="301">
        <f t="shared" si="73"/>
        <v>1.746483875550312</v>
      </c>
      <c r="I141" s="301">
        <f t="shared" si="74"/>
        <v>1.5345073135940213</v>
      </c>
      <c r="J141" s="301">
        <f t="shared" si="75"/>
        <v>1.1661789123257786</v>
      </c>
      <c r="K141" s="301">
        <f t="shared" si="76"/>
        <v>1.0041789747980774</v>
      </c>
      <c r="L141" s="309">
        <f t="shared" si="77"/>
        <v>1.5684464336324595</v>
      </c>
    </row>
    <row r="142" spans="1:24">
      <c r="A142" s="296" t="s">
        <v>363</v>
      </c>
      <c r="C142" s="301">
        <f t="shared" si="68"/>
        <v>1.728267628977882</v>
      </c>
      <c r="D142" s="301">
        <f t="shared" si="69"/>
        <v>2.8383483900456343</v>
      </c>
      <c r="E142" s="301">
        <f t="shared" si="70"/>
        <v>1.1254303643777541</v>
      </c>
      <c r="F142" s="301">
        <f t="shared" si="71"/>
        <v>1.4033879148976067</v>
      </c>
      <c r="G142" s="301">
        <f t="shared" si="72"/>
        <v>1.4430932166774528</v>
      </c>
      <c r="H142" s="301">
        <f t="shared" si="73"/>
        <v>1.7442000514034517</v>
      </c>
      <c r="I142" s="301">
        <f t="shared" si="74"/>
        <v>1.5115175740193096</v>
      </c>
      <c r="J142" s="301">
        <f t="shared" si="75"/>
        <v>1.2233114194550887</v>
      </c>
      <c r="K142" s="301">
        <f t="shared" si="76"/>
        <v>1.0166894942564941</v>
      </c>
      <c r="L142" s="309">
        <f t="shared" si="77"/>
        <v>1.5593606726789639</v>
      </c>
    </row>
    <row r="143" spans="1:24">
      <c r="A143" s="296" t="s">
        <v>364</v>
      </c>
      <c r="C143" s="301">
        <f t="shared" si="68"/>
        <v>1.8260534403057089</v>
      </c>
      <c r="D143" s="301">
        <f t="shared" si="69"/>
        <v>2.3364833117946371</v>
      </c>
      <c r="E143" s="301">
        <f t="shared" si="70"/>
        <v>1.1397099058231162</v>
      </c>
      <c r="F143" s="301">
        <f t="shared" si="71"/>
        <v>1.4569991384592498</v>
      </c>
      <c r="G143" s="301">
        <f t="shared" si="72"/>
        <v>1.6589911711262486</v>
      </c>
      <c r="H143" s="301">
        <f t="shared" si="73"/>
        <v>1.7058423246037617</v>
      </c>
      <c r="I143" s="301">
        <f t="shared" si="74"/>
        <v>1.4930520401413863</v>
      </c>
      <c r="J143" s="301">
        <f t="shared" si="75"/>
        <v>1.2045517617796484</v>
      </c>
      <c r="K143" s="301">
        <f t="shared" si="76"/>
        <v>1.0407887214787253</v>
      </c>
      <c r="L143" s="309">
        <f t="shared" si="77"/>
        <v>1.5402746461680534</v>
      </c>
    </row>
    <row r="144" spans="1:24">
      <c r="A144" s="296" t="s">
        <v>365</v>
      </c>
      <c r="C144" s="301">
        <f t="shared" si="68"/>
        <v>1.8978486951060463</v>
      </c>
      <c r="D144" s="301">
        <f t="shared" si="69"/>
        <v>2.213472380952104</v>
      </c>
      <c r="E144" s="301">
        <f t="shared" si="70"/>
        <v>1.1739650644831137</v>
      </c>
      <c r="F144" s="301">
        <f t="shared" si="71"/>
        <v>1.4779599328172706</v>
      </c>
      <c r="G144" s="301">
        <f t="shared" si="72"/>
        <v>1.4873859181949145</v>
      </c>
      <c r="H144" s="301">
        <f t="shared" si="73"/>
        <v>1.773503356032375</v>
      </c>
      <c r="I144" s="301">
        <f t="shared" si="74"/>
        <v>1.4794515028959083</v>
      </c>
      <c r="J144" s="301">
        <f t="shared" si="75"/>
        <v>1.258047207947331</v>
      </c>
      <c r="K144" s="301">
        <f t="shared" si="76"/>
        <v>0.99447978691946703</v>
      </c>
      <c r="L144" s="309">
        <f t="shared" si="77"/>
        <v>1.5284570939276145</v>
      </c>
    </row>
    <row r="145" spans="1:14">
      <c r="A145" s="296" t="s">
        <v>366</v>
      </c>
      <c r="C145" s="301">
        <f t="shared" si="68"/>
        <v>1.7996585009593447</v>
      </c>
      <c r="D145" s="301">
        <f t="shared" si="69"/>
        <v>1.8996504009861823</v>
      </c>
      <c r="E145" s="301">
        <f t="shared" si="70"/>
        <v>1.1956932938288802</v>
      </c>
      <c r="F145" s="301">
        <f t="shared" si="71"/>
        <v>1.4962750777097562</v>
      </c>
      <c r="G145" s="301">
        <f t="shared" si="72"/>
        <v>1.4565530062237042</v>
      </c>
      <c r="H145" s="301">
        <f t="shared" si="73"/>
        <v>1.7473394996076463</v>
      </c>
      <c r="I145" s="301">
        <f t="shared" si="74"/>
        <v>1.5111122064257396</v>
      </c>
      <c r="J145" s="301">
        <f t="shared" si="75"/>
        <v>1.2573660259724939</v>
      </c>
      <c r="K145" s="301">
        <f t="shared" si="76"/>
        <v>1.0267690363266684</v>
      </c>
      <c r="L145" s="309">
        <f t="shared" si="77"/>
        <v>1.487824116448935</v>
      </c>
    </row>
    <row r="146" spans="1:14">
      <c r="A146" s="296" t="s">
        <v>367</v>
      </c>
      <c r="C146" s="301">
        <f t="shared" si="68"/>
        <v>1.8045524290402053</v>
      </c>
      <c r="D146" s="301">
        <f t="shared" si="69"/>
        <v>1.9736496729830715</v>
      </c>
      <c r="E146" s="301">
        <f t="shared" si="70"/>
        <v>1.231891644100594</v>
      </c>
      <c r="F146" s="301">
        <f t="shared" si="71"/>
        <v>1.5164131648973487</v>
      </c>
      <c r="G146" s="301">
        <f t="shared" si="72"/>
        <v>1.448330999890695</v>
      </c>
      <c r="H146" s="301">
        <f t="shared" si="73"/>
        <v>1.744538508164075</v>
      </c>
      <c r="I146" s="301">
        <f t="shared" si="74"/>
        <v>1.5405508809900572</v>
      </c>
      <c r="J146" s="301">
        <f t="shared" si="75"/>
        <v>1.2375217927687319</v>
      </c>
      <c r="K146" s="301">
        <f t="shared" si="76"/>
        <v>1.0231661747999059</v>
      </c>
      <c r="L146" s="309">
        <f t="shared" si="77"/>
        <v>1.5022905852927426</v>
      </c>
    </row>
    <row r="147" spans="1:14">
      <c r="A147" s="296" t="s">
        <v>368</v>
      </c>
      <c r="C147" s="301">
        <f t="shared" si="68"/>
        <v>1.8331002622031409</v>
      </c>
      <c r="D147" s="301">
        <f t="shared" si="69"/>
        <v>1.9600062696553728</v>
      </c>
      <c r="E147" s="301">
        <f t="shared" si="70"/>
        <v>1.2015753676880301</v>
      </c>
      <c r="F147" s="301">
        <f t="shared" si="71"/>
        <v>1.3597836647871486</v>
      </c>
      <c r="G147" s="301">
        <f t="shared" si="72"/>
        <v>1.4111502078731164</v>
      </c>
      <c r="H147" s="301">
        <f t="shared" si="73"/>
        <v>1.7093978815956625</v>
      </c>
      <c r="I147" s="301">
        <f t="shared" si="74"/>
        <v>1.5150909949994391</v>
      </c>
      <c r="J147" s="301">
        <f t="shared" si="75"/>
        <v>1.2126550297564622</v>
      </c>
      <c r="K147" s="301">
        <f t="shared" si="76"/>
        <v>1.0064034385731491</v>
      </c>
      <c r="L147" s="309">
        <f t="shared" si="77"/>
        <v>1.4676847907923911</v>
      </c>
    </row>
    <row r="148" spans="1:14">
      <c r="A148" s="296" t="s">
        <v>389</v>
      </c>
      <c r="C148" s="301">
        <f t="shared" si="68"/>
        <v>1.7968528676353142</v>
      </c>
      <c r="D148" s="301">
        <f t="shared" si="69"/>
        <v>1.6581127266616937</v>
      </c>
      <c r="E148" s="301">
        <f t="shared" si="70"/>
        <v>1.1569281320941447</v>
      </c>
      <c r="F148" s="301">
        <f t="shared" si="71"/>
        <v>1.1953896945927289</v>
      </c>
      <c r="G148" s="301">
        <f t="shared" si="72"/>
        <v>1.3807739404343882</v>
      </c>
      <c r="H148" s="301">
        <f t="shared" si="73"/>
        <v>1.6404184760896445</v>
      </c>
      <c r="I148" s="301">
        <f t="shared" si="74"/>
        <v>1.4579864480882914</v>
      </c>
      <c r="J148" s="301">
        <f t="shared" si="75"/>
        <v>1.1462913289955672</v>
      </c>
      <c r="K148" s="301">
        <f t="shared" si="76"/>
        <v>0.99898260971268793</v>
      </c>
      <c r="L148" s="309">
        <f t="shared" si="77"/>
        <v>1.3813040249227175</v>
      </c>
    </row>
    <row r="149" spans="1:14">
      <c r="A149" s="296" t="s">
        <v>390</v>
      </c>
      <c r="C149" s="301">
        <f t="shared" si="68"/>
        <v>1.8250326733121884</v>
      </c>
      <c r="D149" s="301">
        <f t="shared" si="69"/>
        <v>1.5318582687253344</v>
      </c>
      <c r="E149" s="301">
        <f t="shared" si="70"/>
        <v>1.1727714869342605</v>
      </c>
      <c r="F149" s="301">
        <f t="shared" si="71"/>
        <v>1.2065643149281615</v>
      </c>
      <c r="G149" s="301">
        <f t="shared" si="72"/>
        <v>1.373250683564605</v>
      </c>
      <c r="H149" s="301">
        <f t="shared" si="73"/>
        <v>1.630794336491346</v>
      </c>
      <c r="I149" s="301">
        <f t="shared" si="74"/>
        <v>1.4572547647736276</v>
      </c>
      <c r="J149" s="301">
        <f t="shared" si="75"/>
        <v>1.1299523766087036</v>
      </c>
      <c r="K149" s="301">
        <f t="shared" si="76"/>
        <v>0.99190054383448911</v>
      </c>
      <c r="L149" s="309">
        <f t="shared" si="77"/>
        <v>1.3688199387969686</v>
      </c>
    </row>
    <row r="150" spans="1:14" ht="13.5" thickBot="1">
      <c r="A150" s="296" t="s">
        <v>421</v>
      </c>
      <c r="C150" s="301">
        <f t="shared" si="68"/>
        <v>1.8120062624379965</v>
      </c>
      <c r="D150" s="301">
        <f t="shared" si="69"/>
        <v>1.5031218838711249</v>
      </c>
      <c r="E150" s="301">
        <f t="shared" si="70"/>
        <v>1.1584303564664205</v>
      </c>
      <c r="F150" s="301">
        <f t="shared" si="71"/>
        <v>1.1599648286195143</v>
      </c>
      <c r="G150" s="301">
        <f t="shared" si="72"/>
        <v>1.3505722197605481</v>
      </c>
      <c r="H150" s="301">
        <f t="shared" si="73"/>
        <v>1.6125701883024557</v>
      </c>
      <c r="I150" s="301">
        <f t="shared" si="74"/>
        <v>1.4684577707821758</v>
      </c>
      <c r="J150" s="301">
        <f t="shared" si="75"/>
        <v>1.1180499124632972</v>
      </c>
      <c r="K150" s="301">
        <f t="shared" si="76"/>
        <v>0.97679703938059692</v>
      </c>
      <c r="L150" s="310">
        <f t="shared" si="77"/>
        <v>1.3511078291204588</v>
      </c>
    </row>
    <row r="152" spans="1:14">
      <c r="A152" s="311" t="s">
        <v>28</v>
      </c>
      <c r="B152" s="311"/>
      <c r="C152" s="306">
        <f>AVERAGE(C135:C150)</f>
        <v>1.8287455603278868</v>
      </c>
      <c r="D152" s="306">
        <f t="shared" ref="D152:K152" si="78">AVERAGE(D135:D150)</f>
        <v>2.4439089616027969</v>
      </c>
      <c r="E152" s="306">
        <f t="shared" si="78"/>
        <v>1.1599076758285949</v>
      </c>
      <c r="F152" s="306">
        <f t="shared" si="78"/>
        <v>1.3986832870978692</v>
      </c>
      <c r="G152" s="306">
        <f t="shared" si="78"/>
        <v>1.5248480319988444</v>
      </c>
      <c r="H152" s="306">
        <f t="shared" si="78"/>
        <v>1.6773905377701335</v>
      </c>
      <c r="I152" s="306">
        <f t="shared" si="78"/>
        <v>1.4990614656247263</v>
      </c>
      <c r="J152" s="306">
        <f t="shared" si="78"/>
        <v>1.1710450661052068</v>
      </c>
      <c r="K152" s="306">
        <f t="shared" si="78"/>
        <v>0.99530029446811641</v>
      </c>
    </row>
    <row r="153" spans="1:14">
      <c r="A153" s="311" t="s">
        <v>374</v>
      </c>
      <c r="B153" s="311"/>
      <c r="C153" s="306">
        <f>C150-C135</f>
        <v>2.4428908761790602E-2</v>
      </c>
      <c r="D153" s="306">
        <f t="shared" ref="D153:K153" si="79">D150-D135</f>
        <v>-1.0856097917542447</v>
      </c>
      <c r="E153" s="306">
        <f t="shared" si="79"/>
        <v>2.8629833559840501E-2</v>
      </c>
      <c r="F153" s="306">
        <f t="shared" si="79"/>
        <v>-0.20388001945641965</v>
      </c>
      <c r="G153" s="306">
        <f t="shared" si="79"/>
        <v>-0.28633360722906609</v>
      </c>
      <c r="H153" s="306">
        <f t="shared" si="79"/>
        <v>1.8175535666332676E-2</v>
      </c>
      <c r="I153" s="306">
        <f t="shared" si="79"/>
        <v>-7.3559339928608747E-2</v>
      </c>
      <c r="J153" s="306">
        <f t="shared" si="79"/>
        <v>4.1966942218454317E-3</v>
      </c>
      <c r="K153" s="306">
        <f t="shared" si="79"/>
        <v>-1.7160539750044834E-2</v>
      </c>
    </row>
    <row r="154" spans="1:14">
      <c r="A154" s="311" t="s">
        <v>375</v>
      </c>
      <c r="B154" s="311"/>
      <c r="C154" s="306">
        <f>STDEV(C135:C150)</f>
        <v>8.1153396708564488E-2</v>
      </c>
      <c r="D154" s="306">
        <f t="shared" ref="D154:K154" si="80">STDEV(D135:D150)</f>
        <v>0.63817327371209964</v>
      </c>
      <c r="E154" s="306">
        <f t="shared" si="80"/>
        <v>2.9451397611258218E-2</v>
      </c>
      <c r="F154" s="306">
        <f t="shared" si="80"/>
        <v>0.12443070676521675</v>
      </c>
      <c r="G154" s="306">
        <f t="shared" si="80"/>
        <v>0.15380160215116895</v>
      </c>
      <c r="H154" s="306">
        <f t="shared" si="80"/>
        <v>6.5417548119069829E-2</v>
      </c>
      <c r="I154" s="306">
        <f t="shared" si="80"/>
        <v>2.6895449838255453E-2</v>
      </c>
      <c r="J154" s="306">
        <f t="shared" si="80"/>
        <v>5.368834890919396E-2</v>
      </c>
      <c r="K154" s="306">
        <f t="shared" si="80"/>
        <v>2.3867604961755589E-2</v>
      </c>
    </row>
    <row r="156" spans="1:14" hidden="1"/>
    <row r="157" spans="1:14" ht="64.5" hidden="1" thickBot="1">
      <c r="A157" s="293" t="s">
        <v>380</v>
      </c>
      <c r="B157" s="305" t="s">
        <v>381</v>
      </c>
      <c r="C157" s="294" t="s">
        <v>1</v>
      </c>
      <c r="D157" s="294" t="s">
        <v>2</v>
      </c>
      <c r="E157" s="294" t="s">
        <v>4</v>
      </c>
      <c r="F157" s="294" t="s">
        <v>5</v>
      </c>
      <c r="G157" s="294" t="s">
        <v>6</v>
      </c>
      <c r="H157" s="294" t="s">
        <v>8</v>
      </c>
      <c r="I157" s="294" t="s">
        <v>9</v>
      </c>
      <c r="J157" s="294" t="s">
        <v>10</v>
      </c>
      <c r="K157" s="305" t="s">
        <v>371</v>
      </c>
      <c r="L157" s="305" t="s">
        <v>134</v>
      </c>
    </row>
    <row r="158" spans="1:14" hidden="1">
      <c r="A158" s="296" t="s">
        <v>277</v>
      </c>
      <c r="B158" s="292">
        <v>2</v>
      </c>
    </row>
    <row r="159" spans="1:14" hidden="1">
      <c r="A159" s="296" t="s">
        <v>278</v>
      </c>
      <c r="B159" s="292">
        <v>2.9</v>
      </c>
      <c r="D159" s="306">
        <f t="shared" ref="D159:D169" si="81">$B159+(E5-E4)/E4*100</f>
        <v>-12.87817215890613</v>
      </c>
      <c r="E159" s="306">
        <f t="shared" ref="E159:E169" si="82">$B159+(G5-G4)/G4*100</f>
        <v>-1.5652591934233349</v>
      </c>
      <c r="F159" s="306">
        <f t="shared" ref="F159:F169" si="83">$B159+(I5-I4)/I4*100</f>
        <v>3.7815146093459613</v>
      </c>
      <c r="G159" s="306">
        <f t="shared" ref="G159:G169" si="84">$B159+(K5-K4)/K4*100</f>
        <v>6.4117669820512084</v>
      </c>
      <c r="H159" s="306">
        <f t="shared" ref="H159:H169" si="85">$B159+(M5-M4)/M4*100</f>
        <v>6.1688406667459708</v>
      </c>
      <c r="I159" s="306">
        <f t="shared" ref="I159:I169" si="86">$B159+(O5-O4)/O4*100</f>
        <v>4.703931877057304</v>
      </c>
      <c r="J159" s="306">
        <f t="shared" ref="J159:J169" si="87">$B159+(Q5-Q4)/Q4*100</f>
        <v>8.1613382780058306</v>
      </c>
      <c r="K159" s="306">
        <f t="shared" ref="K159:K169" si="88">$B159+(S5-S4)/S4*100</f>
        <v>10.098893082227349</v>
      </c>
      <c r="L159" s="306">
        <f t="shared" ref="L159:L169" si="89">$B159+(W5-W4)/W4*100</f>
        <v>3.7715781776359245</v>
      </c>
      <c r="M159" s="306">
        <f t="shared" ref="M159:M169" si="90">X24</f>
        <v>1.9323697331555736</v>
      </c>
    </row>
    <row r="160" spans="1:14" hidden="1">
      <c r="A160" s="296" t="s">
        <v>279</v>
      </c>
      <c r="B160" s="292">
        <v>3.2</v>
      </c>
      <c r="D160" s="306">
        <f t="shared" si="81"/>
        <v>-8.1205142493800224</v>
      </c>
      <c r="E160" s="306">
        <f t="shared" si="82"/>
        <v>-0.89782525446383143</v>
      </c>
      <c r="F160" s="306">
        <f t="shared" si="83"/>
        <v>-0.77080079530479972</v>
      </c>
      <c r="G160" s="306">
        <f t="shared" si="84"/>
        <v>-3.4933587327249365</v>
      </c>
      <c r="H160" s="306">
        <f t="shared" si="85"/>
        <v>8.3725622828601907</v>
      </c>
      <c r="I160" s="306">
        <f t="shared" si="86"/>
        <v>-2.28204417441437</v>
      </c>
      <c r="J160" s="306">
        <f t="shared" si="87"/>
        <v>5.0346549739839439</v>
      </c>
      <c r="K160" s="306">
        <f t="shared" si="88"/>
        <v>8.4834208340562398</v>
      </c>
      <c r="L160" s="306">
        <f t="shared" si="89"/>
        <v>2.850445770541254</v>
      </c>
      <c r="M160" s="306">
        <f t="shared" si="90"/>
        <v>1.0221360499891641</v>
      </c>
      <c r="N160" s="306"/>
    </row>
    <row r="161" spans="1:14" hidden="1">
      <c r="A161" s="296" t="s">
        <v>280</v>
      </c>
      <c r="B161" s="292">
        <v>3.5</v>
      </c>
      <c r="D161" s="306">
        <f t="shared" si="81"/>
        <v>-19.588488648179194</v>
      </c>
      <c r="E161" s="306">
        <f t="shared" si="82"/>
        <v>0.36576031211354776</v>
      </c>
      <c r="F161" s="306">
        <f t="shared" si="83"/>
        <v>1.2427556673609224</v>
      </c>
      <c r="G161" s="306">
        <f t="shared" si="84"/>
        <v>-7.7429960941242548E-2</v>
      </c>
      <c r="H161" s="306">
        <f t="shared" si="85"/>
        <v>10.966522226965427</v>
      </c>
      <c r="I161" s="306">
        <f t="shared" si="86"/>
        <v>1.698335074445509</v>
      </c>
      <c r="J161" s="306">
        <f t="shared" si="87"/>
        <v>5.6749256633437675</v>
      </c>
      <c r="K161" s="306">
        <f t="shared" si="88"/>
        <v>7.1335571291840072</v>
      </c>
      <c r="L161" s="306">
        <f t="shared" si="89"/>
        <v>3.895150173270153</v>
      </c>
      <c r="M161" s="306">
        <f t="shared" si="90"/>
        <v>1.2668155346606671</v>
      </c>
      <c r="N161" s="306"/>
    </row>
    <row r="162" spans="1:14" hidden="1">
      <c r="A162" s="296" t="s">
        <v>16</v>
      </c>
      <c r="B162" s="292">
        <v>6</v>
      </c>
      <c r="D162" s="306">
        <f t="shared" si="81"/>
        <v>-7.6192178790272926</v>
      </c>
      <c r="E162" s="306">
        <f t="shared" si="82"/>
        <v>4.5129380177109102</v>
      </c>
      <c r="F162" s="306">
        <f t="shared" si="83"/>
        <v>5.2937916278242643</v>
      </c>
      <c r="G162" s="306">
        <f t="shared" si="84"/>
        <v>10.517728528793644</v>
      </c>
      <c r="H162" s="306">
        <f t="shared" si="85"/>
        <v>3.9860842486945991</v>
      </c>
      <c r="I162" s="306">
        <f t="shared" si="86"/>
        <v>2.4254215387651867</v>
      </c>
      <c r="J162" s="306">
        <f t="shared" si="87"/>
        <v>9.8205193143860097</v>
      </c>
      <c r="K162" s="306">
        <f t="shared" si="88"/>
        <v>9.0658861261949433</v>
      </c>
      <c r="L162" s="306">
        <f t="shared" si="89"/>
        <v>5.9175889053463182</v>
      </c>
      <c r="M162" s="306">
        <f t="shared" si="90"/>
        <v>4.913291387059787</v>
      </c>
      <c r="N162" s="306"/>
    </row>
    <row r="163" spans="1:14" hidden="1">
      <c r="A163" s="296" t="s">
        <v>17</v>
      </c>
      <c r="B163" s="292">
        <v>3.9</v>
      </c>
      <c r="D163" s="306">
        <f t="shared" si="81"/>
        <v>-5.0761817969175755</v>
      </c>
      <c r="E163" s="306">
        <f t="shared" si="82"/>
        <v>1.2064730160673278</v>
      </c>
      <c r="F163" s="306">
        <f t="shared" si="83"/>
        <v>2.7151867319184113</v>
      </c>
      <c r="G163" s="306">
        <f t="shared" si="84"/>
        <v>0.39505853516332889</v>
      </c>
      <c r="H163" s="306">
        <f t="shared" si="85"/>
        <v>5.7228057839887638</v>
      </c>
      <c r="I163" s="306">
        <f t="shared" si="86"/>
        <v>-0.29974894542181252</v>
      </c>
      <c r="J163" s="306">
        <f t="shared" si="87"/>
        <v>12.198538896519064</v>
      </c>
      <c r="K163" s="306">
        <f t="shared" si="88"/>
        <v>2.2269073422822907</v>
      </c>
      <c r="L163" s="306">
        <f t="shared" si="89"/>
        <v>3.7061360426054684</v>
      </c>
      <c r="M163" s="306">
        <f t="shared" si="90"/>
        <v>4.2119337207625787</v>
      </c>
      <c r="N163" s="306"/>
    </row>
    <row r="164" spans="1:14" hidden="1">
      <c r="A164" s="296" t="s">
        <v>18</v>
      </c>
      <c r="B164" s="292">
        <v>3</v>
      </c>
      <c r="D164" s="306">
        <f t="shared" si="81"/>
        <v>3.4349910766246383</v>
      </c>
      <c r="E164" s="306">
        <f t="shared" si="82"/>
        <v>3.38718395566175</v>
      </c>
      <c r="F164" s="306">
        <f t="shared" si="83"/>
        <v>4.9913491322783168</v>
      </c>
      <c r="G164" s="306">
        <f t="shared" si="84"/>
        <v>2.4745598155565913</v>
      </c>
      <c r="H164" s="306">
        <f t="shared" si="85"/>
        <v>2.7930314679323458</v>
      </c>
      <c r="I164" s="306">
        <f t="shared" si="86"/>
        <v>2.6984584704221124</v>
      </c>
      <c r="J164" s="306">
        <f t="shared" si="87"/>
        <v>10.136199018565108</v>
      </c>
      <c r="K164" s="306">
        <f t="shared" si="88"/>
        <v>5.5584838346969239</v>
      </c>
      <c r="L164" s="306">
        <f t="shared" si="89"/>
        <v>4.5249980205523137</v>
      </c>
      <c r="M164" s="306">
        <f t="shared" si="90"/>
        <v>2.9326911834295859</v>
      </c>
      <c r="N164" s="306"/>
    </row>
    <row r="165" spans="1:14" hidden="1">
      <c r="A165" s="296" t="s">
        <v>363</v>
      </c>
      <c r="B165" s="292">
        <v>4.7</v>
      </c>
      <c r="D165" s="306">
        <f t="shared" si="81"/>
        <v>15.035857125134459</v>
      </c>
      <c r="E165" s="306">
        <f t="shared" si="82"/>
        <v>2.1803403328183784</v>
      </c>
      <c r="F165" s="306">
        <f t="shared" si="83"/>
        <v>-1.1730074443233578</v>
      </c>
      <c r="G165" s="306">
        <f t="shared" si="84"/>
        <v>15.250656631024352</v>
      </c>
      <c r="H165" s="306">
        <f t="shared" si="85"/>
        <v>11.448370742587578</v>
      </c>
      <c r="I165" s="306">
        <f t="shared" si="86"/>
        <v>-1.3994415310870423E-2</v>
      </c>
      <c r="J165" s="306">
        <f t="shared" si="87"/>
        <v>5.3915939374970927</v>
      </c>
      <c r="K165" s="306">
        <f t="shared" si="88"/>
        <v>8.4477126364479762</v>
      </c>
      <c r="L165" s="306">
        <f t="shared" si="89"/>
        <v>5.9771935052018028</v>
      </c>
      <c r="M165" s="306">
        <f t="shared" si="90"/>
        <v>2.8720637874916655</v>
      </c>
      <c r="N165" s="306"/>
    </row>
    <row r="166" spans="1:14" hidden="1">
      <c r="A166" s="296" t="s">
        <v>364</v>
      </c>
      <c r="B166" s="292">
        <v>2.4</v>
      </c>
      <c r="D166" s="306">
        <f t="shared" si="81"/>
        <v>26.848084477360501</v>
      </c>
      <c r="E166" s="306">
        <f t="shared" si="82"/>
        <v>5.0031791215801782</v>
      </c>
      <c r="F166" s="306">
        <f t="shared" si="83"/>
        <v>1.9611578254268678</v>
      </c>
      <c r="G166" s="306">
        <f t="shared" si="84"/>
        <v>21.008521141272741</v>
      </c>
      <c r="H166" s="306">
        <f t="shared" si="85"/>
        <v>7.5254602285708163</v>
      </c>
      <c r="I166" s="306">
        <f t="shared" si="86"/>
        <v>6.0300020073963418</v>
      </c>
      <c r="J166" s="306">
        <f t="shared" si="87"/>
        <v>9.5410572739637303</v>
      </c>
      <c r="K166" s="306">
        <f t="shared" si="88"/>
        <v>3.0070809049858491</v>
      </c>
      <c r="L166" s="306">
        <f t="shared" si="89"/>
        <v>3.8576450687998975</v>
      </c>
      <c r="M166" s="306">
        <f t="shared" si="90"/>
        <v>4.4564994452771876</v>
      </c>
      <c r="N166" s="306"/>
    </row>
    <row r="167" spans="1:14" hidden="1">
      <c r="A167" s="296" t="s">
        <v>365</v>
      </c>
      <c r="B167" s="292">
        <v>4.3</v>
      </c>
      <c r="D167" s="306">
        <f t="shared" si="81"/>
        <v>5.2195720038441369</v>
      </c>
      <c r="E167" s="306">
        <f t="shared" si="82"/>
        <v>3.5423259126124016</v>
      </c>
      <c r="F167" s="306">
        <f t="shared" si="83"/>
        <v>4.9692680495467165</v>
      </c>
      <c r="G167" s="306">
        <f t="shared" si="84"/>
        <v>21.224634912676969</v>
      </c>
      <c r="H167" s="306">
        <f t="shared" si="85"/>
        <v>13.745651942173104</v>
      </c>
      <c r="I167" s="306">
        <f t="shared" si="86"/>
        <v>6.4337943037557341</v>
      </c>
      <c r="J167" s="306">
        <f t="shared" si="87"/>
        <v>11.797284762130104</v>
      </c>
      <c r="K167" s="306">
        <f t="shared" si="88"/>
        <v>3.8181151347338864</v>
      </c>
      <c r="L167" s="306">
        <f t="shared" si="89"/>
        <v>6.1096437629949722</v>
      </c>
      <c r="M167" s="306">
        <f t="shared" si="90"/>
        <v>5.9008047311080887</v>
      </c>
      <c r="N167" s="306"/>
    </row>
    <row r="168" spans="1:14" hidden="1">
      <c r="A168" s="296" t="s">
        <v>366</v>
      </c>
      <c r="B168" s="292">
        <v>2.8</v>
      </c>
      <c r="D168" s="306">
        <f t="shared" si="81"/>
        <v>25.125393726637629</v>
      </c>
      <c r="E168" s="306">
        <f t="shared" si="82"/>
        <v>6.3384222056376922</v>
      </c>
      <c r="F168" s="306">
        <f t="shared" si="83"/>
        <v>3.0714539226868713</v>
      </c>
      <c r="G168" s="306">
        <f t="shared" si="84"/>
        <v>3.9403750430510818</v>
      </c>
      <c r="H168" s="306">
        <f t="shared" si="85"/>
        <v>12.41080564643995</v>
      </c>
      <c r="I168" s="306">
        <f t="shared" si="86"/>
        <v>1.3908574232004456</v>
      </c>
      <c r="J168" s="306">
        <f t="shared" si="87"/>
        <v>10.573049136483062</v>
      </c>
      <c r="K168" s="306">
        <f t="shared" si="88"/>
        <v>5.1423898392380503</v>
      </c>
      <c r="L168" s="306">
        <f t="shared" si="89"/>
        <v>6.5892255935705828</v>
      </c>
      <c r="M168" s="306">
        <f t="shared" si="90"/>
        <v>5.4208679417961108</v>
      </c>
      <c r="N168" s="306"/>
    </row>
    <row r="169" spans="1:14" hidden="1">
      <c r="A169" s="296" t="s">
        <v>367</v>
      </c>
      <c r="B169" s="292">
        <v>2.8</v>
      </c>
      <c r="D169" s="306">
        <f t="shared" si="81"/>
        <v>8.0591954577719775</v>
      </c>
      <c r="E169" s="306">
        <f t="shared" si="82"/>
        <v>3.6925593118369262</v>
      </c>
      <c r="F169" s="306">
        <f t="shared" si="83"/>
        <v>5.6332974420077235</v>
      </c>
      <c r="G169" s="306">
        <f t="shared" si="84"/>
        <v>6.1343468017178777</v>
      </c>
      <c r="H169" s="306">
        <f t="shared" si="85"/>
        <v>6.1452644367617726</v>
      </c>
      <c r="I169" s="306">
        <f t="shared" si="86"/>
        <v>2.6675748231985237</v>
      </c>
      <c r="J169" s="306">
        <f t="shared" si="87"/>
        <v>12.432575130372292</v>
      </c>
      <c r="K169" s="306">
        <f t="shared" si="88"/>
        <v>9.1436603405884718</v>
      </c>
      <c r="L169" s="306">
        <f t="shared" si="89"/>
        <v>8.2775190848258404</v>
      </c>
      <c r="M169" s="306">
        <f t="shared" si="90"/>
        <v>6.0106567832590709</v>
      </c>
      <c r="N169" s="306"/>
    </row>
    <row r="170" spans="1:14" hidden="1">
      <c r="A170" s="296" t="s">
        <v>368</v>
      </c>
      <c r="B170" s="292">
        <v>1.9</v>
      </c>
      <c r="D170" s="306">
        <f>$B170+(E18-E15)/E15*100</f>
        <v>29.481917427181084</v>
      </c>
      <c r="E170" s="306">
        <f>$B170+(G18-G15)/G15*100</f>
        <v>4.3449220866213087</v>
      </c>
      <c r="F170" s="306">
        <f>$B170+(I18-I15)/I15*100</f>
        <v>6.0606696291146598</v>
      </c>
      <c r="G170" s="306">
        <f>$B170+(K18-K15)/K15*100</f>
        <v>9.601634196781573</v>
      </c>
      <c r="H170" s="306">
        <f>$B170+(M18-M15)/M15*100</f>
        <v>2.7824439129514023</v>
      </c>
      <c r="I170" s="306">
        <f>$B170+(O18-O15)/O15*100</f>
        <v>22.511791699847148</v>
      </c>
      <c r="J170" s="306">
        <f>$B170+(Q18-Q15)/Q15*100</f>
        <v>15.114362644997662</v>
      </c>
      <c r="K170" s="306">
        <f>$B170+(S18-S15)/S15*100</f>
        <v>17.558161490520618</v>
      </c>
      <c r="L170" s="306">
        <f>$B170+(W18-W15)/W15*100</f>
        <v>10.256932173152691</v>
      </c>
      <c r="M170" s="306">
        <f>X37</f>
        <v>3.0441255019985496</v>
      </c>
      <c r="N170" s="306"/>
    </row>
    <row r="171" spans="1:14" hidden="1"/>
    <row r="172" spans="1:14" ht="13.5" thickBot="1"/>
    <row r="173" spans="1:14" ht="13.5" thickBot="1">
      <c r="A173" s="293" t="s">
        <v>382</v>
      </c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</row>
    <row r="174" spans="1:14" ht="13.5" thickBot="1"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</row>
    <row r="175" spans="1:14" ht="51">
      <c r="A175" s="303" t="s">
        <v>383</v>
      </c>
      <c r="C175" s="294" t="s">
        <v>1</v>
      </c>
      <c r="D175" s="294" t="s">
        <v>2</v>
      </c>
      <c r="E175" s="294" t="s">
        <v>4</v>
      </c>
      <c r="F175" s="294" t="s">
        <v>5</v>
      </c>
      <c r="G175" s="294" t="s">
        <v>6</v>
      </c>
      <c r="H175" s="294" t="s">
        <v>8</v>
      </c>
      <c r="I175" s="294" t="s">
        <v>9</v>
      </c>
      <c r="J175" s="294" t="s">
        <v>10</v>
      </c>
      <c r="K175" s="305" t="s">
        <v>371</v>
      </c>
      <c r="L175" s="308" t="s">
        <v>165</v>
      </c>
    </row>
    <row r="176" spans="1:14">
      <c r="A176" s="296" t="s">
        <v>277</v>
      </c>
      <c r="L176" s="309"/>
    </row>
    <row r="177" spans="1:12">
      <c r="A177" s="296">
        <f>A176+1</f>
        <v>1997</v>
      </c>
      <c r="C177" s="306">
        <f t="shared" ref="C177:C191" si="91">C4*($Y5/$Y4-1)</f>
        <v>1858.6792118752962</v>
      </c>
      <c r="D177" s="306">
        <f>E4*($Y5/$Y4-1)</f>
        <v>197.47074250218571</v>
      </c>
      <c r="E177" s="306">
        <f>G4*($Y5/$Y4-1)</f>
        <v>4624.3337565889933</v>
      </c>
      <c r="F177" s="306">
        <f>I4*($Y5/$Y4-1)</f>
        <v>146.28603307092496</v>
      </c>
      <c r="G177" s="306">
        <f>K4*($Y5/$Y4-1)</f>
        <v>574.26008132054221</v>
      </c>
      <c r="H177" s="306">
        <f>M4*($Y5/$Y4-1)</f>
        <v>1717.6358532081492</v>
      </c>
      <c r="I177" s="306">
        <f>O4*($Y5/$Y4-1)</f>
        <v>1150.4085122143047</v>
      </c>
      <c r="J177" s="306">
        <f>Q4*($Y5/$Y4-1)</f>
        <v>1439.052794210563</v>
      </c>
      <c r="K177" s="306">
        <f>S4*($Y5/$Y4-1)</f>
        <v>3575.1423677551711</v>
      </c>
      <c r="L177" s="309">
        <f>SUM(C177:K177)</f>
        <v>15283.269352746131</v>
      </c>
    </row>
    <row r="178" spans="1:12">
      <c r="A178" s="296">
        <f t="shared" ref="A178:A191" si="92">A177+1</f>
        <v>1998</v>
      </c>
      <c r="B178" s="306"/>
      <c r="C178" s="306">
        <f t="shared" si="91"/>
        <v>-194.35534870132844</v>
      </c>
      <c r="D178" s="306">
        <f t="shared" ref="D178:D191" si="93">E5*($Y6/$Y5-1)</f>
        <v>-17.484928491480012</v>
      </c>
      <c r="E178" s="306">
        <f t="shared" ref="E178:E191" si="94">G5*($Y6/$Y5-1)</f>
        <v>-464.4585262258741</v>
      </c>
      <c r="F178" s="306">
        <f t="shared" ref="F178:F191" si="95">I5*($Y6/$Y5-1)</f>
        <v>-15.514968416834767</v>
      </c>
      <c r="G178" s="306">
        <f t="shared" ref="G178:G191" si="96">K5*($Y6/$Y5-1)</f>
        <v>-62.493491475562422</v>
      </c>
      <c r="H178" s="306">
        <f t="shared" ref="H178:H191" si="97">M5*($Y6/$Y5-1)</f>
        <v>-186.48196513892765</v>
      </c>
      <c r="I178" s="306">
        <f t="shared" ref="I178:I191" si="98">O5*($Y6/$Y5-1)</f>
        <v>-123.12693735127668</v>
      </c>
      <c r="J178" s="306">
        <f t="shared" ref="J178:J191" si="99">Q5*($Y6/$Y5-1)</f>
        <v>-159.25095785120604</v>
      </c>
      <c r="K178" s="306">
        <f t="shared" ref="K178:K191" si="100">S5*($Y6/$Y5-1)</f>
        <v>-402.92116454507533</v>
      </c>
      <c r="L178" s="309">
        <f t="shared" ref="L178:L191" si="101">SUM(C178:K178)</f>
        <v>-1626.0882881975656</v>
      </c>
    </row>
    <row r="179" spans="1:12">
      <c r="A179" s="296">
        <f t="shared" si="92"/>
        <v>1999</v>
      </c>
      <c r="B179" s="306"/>
      <c r="C179" s="306">
        <f t="shared" si="91"/>
        <v>2452.7448262034677</v>
      </c>
      <c r="D179" s="306">
        <f t="shared" si="93"/>
        <v>198.77700925409869</v>
      </c>
      <c r="E179" s="306">
        <f t="shared" si="94"/>
        <v>5710.2420912745656</v>
      </c>
      <c r="F179" s="306">
        <f t="shared" si="95"/>
        <v>190.99998302435711</v>
      </c>
      <c r="G179" s="306">
        <f t="shared" si="96"/>
        <v>747.52629015843593</v>
      </c>
      <c r="H179" s="306">
        <f t="shared" si="97"/>
        <v>2514.3076529670166</v>
      </c>
      <c r="I179" s="306">
        <f t="shared" si="98"/>
        <v>1491.9233906689215</v>
      </c>
      <c r="J179" s="306">
        <f t="shared" si="99"/>
        <v>2079.0109417820695</v>
      </c>
      <c r="K179" s="306">
        <f t="shared" si="100"/>
        <v>5438.2503127483678</v>
      </c>
      <c r="L179" s="309">
        <f t="shared" si="101"/>
        <v>20823.782498081298</v>
      </c>
    </row>
    <row r="180" spans="1:12">
      <c r="A180" s="296">
        <f t="shared" si="92"/>
        <v>2000</v>
      </c>
      <c r="B180" s="306"/>
      <c r="C180" s="306">
        <f t="shared" si="91"/>
        <v>841.32032250631937</v>
      </c>
      <c r="D180" s="306">
        <f t="shared" si="93"/>
        <v>52.508078621993469</v>
      </c>
      <c r="E180" s="306">
        <f t="shared" si="94"/>
        <v>1899.7368276314958</v>
      </c>
      <c r="F180" s="306">
        <f t="shared" si="95"/>
        <v>64.118969939115217</v>
      </c>
      <c r="G180" s="306">
        <f t="shared" si="96"/>
        <v>247.55619759871431</v>
      </c>
      <c r="H180" s="306">
        <f t="shared" si="97"/>
        <v>928.0262082444948</v>
      </c>
      <c r="I180" s="306">
        <f t="shared" si="98"/>
        <v>503.17525658755858</v>
      </c>
      <c r="J180" s="306">
        <f t="shared" si="99"/>
        <v>729.57464870670185</v>
      </c>
      <c r="K180" s="306">
        <f t="shared" si="100"/>
        <v>1935.6562221855531</v>
      </c>
      <c r="L180" s="309">
        <f t="shared" si="101"/>
        <v>7201.6727320219461</v>
      </c>
    </row>
    <row r="181" spans="1:12">
      <c r="A181" s="296">
        <f t="shared" si="92"/>
        <v>2001</v>
      </c>
      <c r="B181" s="306"/>
      <c r="C181" s="306">
        <f t="shared" si="91"/>
        <v>1062.2285714905968</v>
      </c>
      <c r="D181" s="306">
        <f t="shared" si="93"/>
        <v>57.833966702615172</v>
      </c>
      <c r="E181" s="306">
        <f t="shared" si="94"/>
        <v>2386.3076592635912</v>
      </c>
      <c r="F181" s="306">
        <f t="shared" si="95"/>
        <v>81.179870392044606</v>
      </c>
      <c r="G181" s="306">
        <f t="shared" si="96"/>
        <v>329.91608338504727</v>
      </c>
      <c r="H181" s="306">
        <f t="shared" si="97"/>
        <v>1159.482946851188</v>
      </c>
      <c r="I181" s="306">
        <f t="shared" si="98"/>
        <v>618.65787376676997</v>
      </c>
      <c r="J181" s="306">
        <f t="shared" si="99"/>
        <v>965.81212514652714</v>
      </c>
      <c r="K181" s="306">
        <f t="shared" si="100"/>
        <v>2543.79957982425</v>
      </c>
      <c r="L181" s="309">
        <f t="shared" si="101"/>
        <v>9205.2186768226293</v>
      </c>
    </row>
    <row r="182" spans="1:12">
      <c r="A182" s="296">
        <f t="shared" si="92"/>
        <v>2002</v>
      </c>
      <c r="B182" s="306"/>
      <c r="C182" s="306">
        <f t="shared" si="91"/>
        <v>3030.8161861058993</v>
      </c>
      <c r="D182" s="306">
        <f t="shared" si="93"/>
        <v>141.80508024267996</v>
      </c>
      <c r="E182" s="306">
        <f t="shared" si="94"/>
        <v>6254.9224106237707</v>
      </c>
      <c r="F182" s="306">
        <f t="shared" si="95"/>
        <v>216.08559166037043</v>
      </c>
      <c r="G182" s="306">
        <f t="shared" si="96"/>
        <v>857.55566871234635</v>
      </c>
      <c r="H182" s="306">
        <f t="shared" si="97"/>
        <v>3180.2640944239465</v>
      </c>
      <c r="I182" s="306">
        <f t="shared" si="98"/>
        <v>1596.5074597678579</v>
      </c>
      <c r="J182" s="306">
        <f t="shared" si="99"/>
        <v>2817.5329982824519</v>
      </c>
      <c r="K182" s="306">
        <f t="shared" si="100"/>
        <v>6737.6590629216225</v>
      </c>
      <c r="L182" s="309">
        <f t="shared" si="101"/>
        <v>24833.148552740946</v>
      </c>
    </row>
    <row r="183" spans="1:12">
      <c r="A183" s="296">
        <f t="shared" si="92"/>
        <v>2003</v>
      </c>
      <c r="B183" s="306"/>
      <c r="C183" s="306">
        <f t="shared" si="91"/>
        <v>3049.282565492339</v>
      </c>
      <c r="D183" s="306">
        <f t="shared" si="93"/>
        <v>140.54863174807392</v>
      </c>
      <c r="E183" s="306">
        <f t="shared" si="94"/>
        <v>6196.5503840524289</v>
      </c>
      <c r="F183" s="306">
        <f t="shared" si="95"/>
        <v>217.48981958978911</v>
      </c>
      <c r="G183" s="306">
        <f t="shared" si="96"/>
        <v>841.8294891187478</v>
      </c>
      <c r="H183" s="306">
        <f t="shared" si="97"/>
        <v>3131.9382328525389</v>
      </c>
      <c r="I183" s="306">
        <f t="shared" si="98"/>
        <v>1570.7576455082915</v>
      </c>
      <c r="J183" s="306">
        <f t="shared" si="99"/>
        <v>2978.8938806551942</v>
      </c>
      <c r="K183" s="306">
        <f t="shared" si="100"/>
        <v>6819.1526087718885</v>
      </c>
      <c r="L183" s="309">
        <f t="shared" si="101"/>
        <v>24946.443257789291</v>
      </c>
    </row>
    <row r="184" spans="1:12">
      <c r="A184" s="296">
        <f t="shared" si="92"/>
        <v>2004</v>
      </c>
      <c r="B184" s="306"/>
      <c r="C184" s="306">
        <f t="shared" si="91"/>
        <v>3673.8878742229554</v>
      </c>
      <c r="D184" s="306">
        <f t="shared" si="93"/>
        <v>192.0072740721254</v>
      </c>
      <c r="E184" s="306">
        <f t="shared" si="94"/>
        <v>7478.9634163961227</v>
      </c>
      <c r="F184" s="306">
        <f t="shared" si="95"/>
        <v>253.47054733113382</v>
      </c>
      <c r="G184" s="306">
        <f t="shared" si="96"/>
        <v>1152.2848401851936</v>
      </c>
      <c r="H184" s="306">
        <f t="shared" si="97"/>
        <v>4139.5089940717562</v>
      </c>
      <c r="I184" s="306">
        <f t="shared" si="98"/>
        <v>1853.1590321455778</v>
      </c>
      <c r="J184" s="306">
        <f t="shared" si="99"/>
        <v>3713.8352570412176</v>
      </c>
      <c r="K184" s="306">
        <f t="shared" si="100"/>
        <v>8759.580882147673</v>
      </c>
      <c r="L184" s="309">
        <f t="shared" si="101"/>
        <v>31216.698117613756</v>
      </c>
    </row>
    <row r="185" spans="1:12">
      <c r="A185" s="296">
        <f t="shared" si="92"/>
        <v>2005</v>
      </c>
      <c r="B185" s="306"/>
      <c r="C185" s="306">
        <f t="shared" si="91"/>
        <v>3851.7146198529094</v>
      </c>
      <c r="D185" s="306">
        <f t="shared" si="93"/>
        <v>279.30203456343548</v>
      </c>
      <c r="E185" s="306">
        <f t="shared" si="94"/>
        <v>8969.5452953656677</v>
      </c>
      <c r="F185" s="306">
        <f t="shared" si="95"/>
        <v>294.97529367564289</v>
      </c>
      <c r="G185" s="306">
        <f t="shared" si="96"/>
        <v>1597.5113052359586</v>
      </c>
      <c r="H185" s="306">
        <f t="shared" si="97"/>
        <v>5086.5690183166207</v>
      </c>
      <c r="I185" s="306">
        <f t="shared" si="98"/>
        <v>2244.7418234189377</v>
      </c>
      <c r="J185" s="306">
        <f t="shared" si="99"/>
        <v>4651.0045417896954</v>
      </c>
      <c r="K185" s="306">
        <f t="shared" si="100"/>
        <v>10301.016346240511</v>
      </c>
      <c r="L185" s="309">
        <f t="shared" si="101"/>
        <v>37276.380278459379</v>
      </c>
    </row>
    <row r="186" spans="1:12">
      <c r="A186" s="296">
        <f t="shared" si="92"/>
        <v>2006</v>
      </c>
      <c r="B186" s="306"/>
      <c r="C186" s="306">
        <f t="shared" si="91"/>
        <v>4130.9688720585491</v>
      </c>
      <c r="D186" s="306">
        <f t="shared" si="93"/>
        <v>324.20147161292499</v>
      </c>
      <c r="E186" s="306">
        <f t="shared" si="94"/>
        <v>10238.417709612009</v>
      </c>
      <c r="F186" s="306">
        <f t="shared" si="95"/>
        <v>341.54508157160512</v>
      </c>
      <c r="G186" s="306">
        <f t="shared" si="96"/>
        <v>2148.4014920171921</v>
      </c>
      <c r="H186" s="306">
        <f t="shared" si="97"/>
        <v>6403.0801311314244</v>
      </c>
      <c r="I186" s="306">
        <f t="shared" si="98"/>
        <v>2636.9466734466782</v>
      </c>
      <c r="J186" s="306">
        <f t="shared" si="99"/>
        <v>5750.5547259495297</v>
      </c>
      <c r="K186" s="306">
        <f t="shared" si="100"/>
        <v>11790.920218424861</v>
      </c>
      <c r="L186" s="309">
        <f t="shared" si="101"/>
        <v>43765.036375824769</v>
      </c>
    </row>
    <row r="187" spans="1:12">
      <c r="A187" s="296">
        <f t="shared" si="92"/>
        <v>2007</v>
      </c>
      <c r="B187" s="306"/>
      <c r="C187" s="306">
        <f t="shared" si="91"/>
        <v>4802.4231701608778</v>
      </c>
      <c r="D187" s="306">
        <f t="shared" si="93"/>
        <v>468.96585186070752</v>
      </c>
      <c r="E187" s="306">
        <f t="shared" si="94"/>
        <v>12535.567588488249</v>
      </c>
      <c r="F187" s="306">
        <f t="shared" si="95"/>
        <v>404.98129431383524</v>
      </c>
      <c r="G187" s="306">
        <f t="shared" si="96"/>
        <v>2569.505911850355</v>
      </c>
      <c r="H187" s="306">
        <f t="shared" si="97"/>
        <v>8299.4998777669753</v>
      </c>
      <c r="I187" s="306">
        <f t="shared" si="98"/>
        <v>3074.3096409280593</v>
      </c>
      <c r="J187" s="306">
        <f t="shared" si="99"/>
        <v>7328.7435876502614</v>
      </c>
      <c r="K187" s="306">
        <f t="shared" si="100"/>
        <v>14269.635216783936</v>
      </c>
      <c r="L187" s="309">
        <f t="shared" si="101"/>
        <v>53753.63213980326</v>
      </c>
    </row>
    <row r="188" spans="1:12">
      <c r="A188" s="296">
        <f t="shared" si="92"/>
        <v>2008</v>
      </c>
      <c r="B188" s="306"/>
      <c r="C188" s="306">
        <f t="shared" si="91"/>
        <v>4691.3997819611968</v>
      </c>
      <c r="D188" s="306">
        <f t="shared" si="93"/>
        <v>444.99678163278895</v>
      </c>
      <c r="E188" s="306">
        <f t="shared" si="94"/>
        <v>11401.414770789939</v>
      </c>
      <c r="F188" s="306">
        <f t="shared" si="95"/>
        <v>375.42598561262025</v>
      </c>
      <c r="G188" s="306">
        <f t="shared" si="96"/>
        <v>2393.590890032865</v>
      </c>
      <c r="H188" s="306">
        <f t="shared" si="97"/>
        <v>7732.1114843496134</v>
      </c>
      <c r="I188" s="306">
        <f t="shared" si="98"/>
        <v>2767.7554468778312</v>
      </c>
      <c r="J188" s="306">
        <f t="shared" si="99"/>
        <v>7243.104415080008</v>
      </c>
      <c r="K188" s="306">
        <f t="shared" si="100"/>
        <v>13679.810433299514</v>
      </c>
      <c r="L188" s="309">
        <f t="shared" si="101"/>
        <v>50729.609989636374</v>
      </c>
    </row>
    <row r="189" spans="1:12">
      <c r="A189" s="296">
        <f t="shared" si="92"/>
        <v>2009</v>
      </c>
      <c r="B189" s="306"/>
      <c r="C189" s="306">
        <f t="shared" si="91"/>
        <v>-1765.6169259858264</v>
      </c>
      <c r="D189" s="306">
        <f t="shared" si="93"/>
        <v>-182.10848199287474</v>
      </c>
      <c r="E189" s="306">
        <f t="shared" si="94"/>
        <v>-4583.330788324145</v>
      </c>
      <c r="F189" s="306">
        <f t="shared" si="95"/>
        <v>-137.84419332083453</v>
      </c>
      <c r="G189" s="306">
        <f t="shared" si="96"/>
        <v>-967.80010624457498</v>
      </c>
      <c r="H189" s="306">
        <f t="shared" si="97"/>
        <v>-2997.296254985923</v>
      </c>
      <c r="I189" s="306">
        <f t="shared" si="98"/>
        <v>-1208.3734026127947</v>
      </c>
      <c r="J189" s="306">
        <f t="shared" si="99"/>
        <v>-2991.4517023301164</v>
      </c>
      <c r="K189" s="306">
        <f t="shared" si="100"/>
        <v>-5587.8155488589173</v>
      </c>
      <c r="L189" s="309">
        <f t="shared" si="101"/>
        <v>-20421.637404656005</v>
      </c>
    </row>
    <row r="190" spans="1:12">
      <c r="A190" s="296">
        <f t="shared" si="92"/>
        <v>2010</v>
      </c>
      <c r="B190" s="306"/>
      <c r="C190" s="306">
        <f t="shared" si="91"/>
        <v>-1646.8001229848726</v>
      </c>
      <c r="D190" s="306">
        <f t="shared" si="93"/>
        <v>-181.31282962732169</v>
      </c>
      <c r="E190" s="306">
        <f t="shared" si="94"/>
        <v>-4393.9064745012229</v>
      </c>
      <c r="F190" s="306">
        <f t="shared" si="95"/>
        <v>-157.69422902037678</v>
      </c>
      <c r="G190" s="306">
        <f t="shared" si="96"/>
        <v>-903.90289736399495</v>
      </c>
      <c r="H190" s="306">
        <f t="shared" si="97"/>
        <v>-2752.6103019778916</v>
      </c>
      <c r="I190" s="306">
        <f t="shared" si="98"/>
        <v>-1131.9993059144201</v>
      </c>
      <c r="J190" s="306">
        <f t="shared" si="99"/>
        <v>-2990.0210882324641</v>
      </c>
      <c r="K190" s="306">
        <f t="shared" si="100"/>
        <v>-5309.4977062244798</v>
      </c>
      <c r="L190" s="309">
        <f t="shared" si="101"/>
        <v>-19467.744955847047</v>
      </c>
    </row>
    <row r="191" spans="1:12" ht="13.5" thickBot="1">
      <c r="A191" s="296">
        <f t="shared" si="92"/>
        <v>2011</v>
      </c>
      <c r="B191" s="306"/>
      <c r="C191" s="306">
        <f t="shared" si="91"/>
        <v>3151.9860186557148</v>
      </c>
      <c r="D191" s="306">
        <f t="shared" si="93"/>
        <v>394.57175779387404</v>
      </c>
      <c r="E191" s="306">
        <f t="shared" si="94"/>
        <v>8117.6287087760365</v>
      </c>
      <c r="F191" s="306">
        <f t="shared" si="95"/>
        <v>271.77411771438517</v>
      </c>
      <c r="G191" s="306">
        <f t="shared" si="96"/>
        <v>1791.6460566127521</v>
      </c>
      <c r="H191" s="306">
        <f t="shared" si="97"/>
        <v>5421.1784533553682</v>
      </c>
      <c r="I191" s="306">
        <f t="shared" si="98"/>
        <v>2320.0507491257367</v>
      </c>
      <c r="J191" s="306">
        <f t="shared" si="99"/>
        <v>5699.0999498771516</v>
      </c>
      <c r="K191" s="306">
        <f t="shared" si="100"/>
        <v>10996.041376895688</v>
      </c>
      <c r="L191" s="310">
        <f t="shared" si="101"/>
        <v>38163.977188806712</v>
      </c>
    </row>
    <row r="193" spans="1:12">
      <c r="A193" s="311" t="s">
        <v>28</v>
      </c>
      <c r="B193" s="311"/>
      <c r="C193" s="306">
        <f>AVERAGE(C176:C191)</f>
        <v>2199.3786415276059</v>
      </c>
      <c r="D193" s="306">
        <f t="shared" ref="D193:L193" si="102">AVERAGE(D176:D191)</f>
        <v>167.47216269972176</v>
      </c>
      <c r="E193" s="306">
        <f t="shared" si="102"/>
        <v>5091.462321987442</v>
      </c>
      <c r="F193" s="306">
        <f t="shared" si="102"/>
        <v>169.81861314251853</v>
      </c>
      <c r="G193" s="306">
        <f t="shared" si="102"/>
        <v>887.82585407626777</v>
      </c>
      <c r="H193" s="306">
        <f t="shared" si="102"/>
        <v>2918.4809616957564</v>
      </c>
      <c r="I193" s="306">
        <f t="shared" si="102"/>
        <v>1290.9929239052026</v>
      </c>
      <c r="J193" s="306">
        <f t="shared" si="102"/>
        <v>2617.0330745171723</v>
      </c>
      <c r="K193" s="306">
        <f t="shared" si="102"/>
        <v>5703.0953472247047</v>
      </c>
      <c r="L193" s="306">
        <f t="shared" si="102"/>
        <v>21045.559900776389</v>
      </c>
    </row>
    <row r="194" spans="1:12">
      <c r="A194" s="311" t="s">
        <v>374</v>
      </c>
      <c r="B194" s="311"/>
      <c r="C194" s="306">
        <f>C191-C176</f>
        <v>3151.9860186557148</v>
      </c>
      <c r="D194" s="306">
        <f t="shared" ref="D194:L194" si="103">D191-D176</f>
        <v>394.57175779387404</v>
      </c>
      <c r="E194" s="306">
        <f t="shared" si="103"/>
        <v>8117.6287087760365</v>
      </c>
      <c r="F194" s="306">
        <f t="shared" si="103"/>
        <v>271.77411771438517</v>
      </c>
      <c r="G194" s="306">
        <f t="shared" si="103"/>
        <v>1791.6460566127521</v>
      </c>
      <c r="H194" s="306">
        <f t="shared" si="103"/>
        <v>5421.1784533553682</v>
      </c>
      <c r="I194" s="306">
        <f t="shared" si="103"/>
        <v>2320.0507491257367</v>
      </c>
      <c r="J194" s="306">
        <f t="shared" si="103"/>
        <v>5699.0999498771516</v>
      </c>
      <c r="K194" s="306">
        <f t="shared" si="103"/>
        <v>10996.041376895688</v>
      </c>
      <c r="L194" s="306">
        <f t="shared" si="103"/>
        <v>38163.977188806712</v>
      </c>
    </row>
    <row r="195" spans="1:12">
      <c r="A195" s="311" t="s">
        <v>375</v>
      </c>
      <c r="B195" s="311"/>
      <c r="C195" s="306">
        <f>STDEV(C176:C191)</f>
        <v>2129.7966889663794</v>
      </c>
      <c r="D195" s="306">
        <f t="shared" ref="D195:L195" si="104">STDEV(D176:D191)</f>
        <v>200.66534598492979</v>
      </c>
      <c r="E195" s="306">
        <f t="shared" si="104"/>
        <v>5255.8929797147748</v>
      </c>
      <c r="F195" s="306">
        <f t="shared" si="104"/>
        <v>173.37759697570883</v>
      </c>
      <c r="G195" s="306">
        <f t="shared" si="104"/>
        <v>1084.761477763097</v>
      </c>
      <c r="H195" s="306">
        <f t="shared" si="104"/>
        <v>3404.8054206791694</v>
      </c>
      <c r="I195" s="306">
        <f t="shared" si="104"/>
        <v>1333.0726906941088</v>
      </c>
      <c r="J195" s="306">
        <f t="shared" si="104"/>
        <v>3240.3488655310407</v>
      </c>
      <c r="K195" s="306">
        <f t="shared" si="104"/>
        <v>6266.1662454346233</v>
      </c>
      <c r="L195" s="306">
        <f t="shared" si="104"/>
        <v>22985.383502711324</v>
      </c>
    </row>
    <row r="197" spans="1:12" ht="13.5" thickBot="1"/>
    <row r="198" spans="1:12" ht="51">
      <c r="A198" s="303" t="s">
        <v>384</v>
      </c>
      <c r="C198" s="294" t="s">
        <v>1</v>
      </c>
      <c r="D198" s="294" t="s">
        <v>2</v>
      </c>
      <c r="E198" s="294" t="s">
        <v>4</v>
      </c>
      <c r="F198" s="294" t="s">
        <v>5</v>
      </c>
      <c r="G198" s="294" t="s">
        <v>6</v>
      </c>
      <c r="H198" s="294" t="s">
        <v>8</v>
      </c>
      <c r="I198" s="294" t="s">
        <v>9</v>
      </c>
      <c r="J198" s="294" t="s">
        <v>10</v>
      </c>
      <c r="K198" s="305" t="s">
        <v>371</v>
      </c>
      <c r="L198" s="308" t="s">
        <v>165</v>
      </c>
    </row>
    <row r="199" spans="1:12">
      <c r="A199" s="296" t="str">
        <f>A176</f>
        <v>1996</v>
      </c>
      <c r="L199" s="309"/>
    </row>
    <row r="200" spans="1:12">
      <c r="A200" s="296">
        <f t="shared" ref="A200:A214" si="105">A177</f>
        <v>1997</v>
      </c>
      <c r="C200" s="312">
        <f>C4*((B5/B4)-($Y5/$Y4))</f>
        <v>-2658.4045270019938</v>
      </c>
      <c r="D200" s="312">
        <f>E4*((D5/D4)-($Y5/$Y4))</f>
        <v>-562.33528978057427</v>
      </c>
      <c r="E200" s="312">
        <f>G4*((F5/F4)-($Y5/$Y4))</f>
        <v>-17056.239565644009</v>
      </c>
      <c r="F200" s="312">
        <f>I4*((H5/H4)-($Y5/$Y4))</f>
        <v>-90.558476183694395</v>
      </c>
      <c r="G200" s="312">
        <f>K4*((J5/J4)-($Y5/$Y4))</f>
        <v>700.50924812202049</v>
      </c>
      <c r="H200" s="312">
        <f>M4*((L5/L4)-($Y5/$Y4))</f>
        <v>1792.8445367484553</v>
      </c>
      <c r="I200" s="312">
        <f>O4*((N5/N4)-($Y5/$Y4))</f>
        <v>-6.5083358400532969</v>
      </c>
      <c r="J200" s="312">
        <f>Q4*((P5/P4)-($Y5/$Y4))</f>
        <v>3098.0953198791194</v>
      </c>
      <c r="K200" s="312">
        <f>S4*((R5/R4)-($Y5/$Y4))</f>
        <v>11831.316853111633</v>
      </c>
      <c r="L200" s="313">
        <f>SUM(C200:K200)</f>
        <v>-2951.280236589093</v>
      </c>
    </row>
    <row r="201" spans="1:12">
      <c r="A201" s="296">
        <f t="shared" si="105"/>
        <v>1998</v>
      </c>
      <c r="C201" s="312">
        <f t="shared" ref="C201:C214" si="106">C5*((B6/B5)-($Y6/$Y5))</f>
        <v>-1704.8239206210019</v>
      </c>
      <c r="D201" s="312">
        <f t="shared" ref="D201:D214" si="107">E5*((D6/D5)-($Y6/$Y5))</f>
        <v>-1661.2965388417645</v>
      </c>
      <c r="E201" s="312">
        <f t="shared" ref="E201:E214" si="108">G5*((F6/F5)-($Y6/$Y5))</f>
        <v>-8853.5866826092515</v>
      </c>
      <c r="F201" s="312">
        <f t="shared" ref="F201:F214" si="109">I5*((H6/H5)-($Y6/$Y5))</f>
        <v>-238.19630487969692</v>
      </c>
      <c r="G201" s="312">
        <f t="shared" ref="G201:G214" si="110">K5*((J6/J5)-($Y6/$Y5))</f>
        <v>-2198.4033878329128</v>
      </c>
      <c r="H201" s="312">
        <f t="shared" ref="H201:H214" si="111">M5*((L6/L5)-($Y6/$Y5))</f>
        <v>7250.3444527614911</v>
      </c>
      <c r="I201" s="312">
        <f t="shared" ref="I201:I214" si="112">O5*((N6/N5)-($Y6/$Y5))</f>
        <v>-3877.4530255099012</v>
      </c>
      <c r="J201" s="312">
        <f t="shared" ref="J201:J214" si="113">Q5*((P6/P5)-($Y6/$Y5))</f>
        <v>3495.1213487488512</v>
      </c>
      <c r="K201" s="312">
        <f t="shared" ref="K201:K214" si="114">S5*((R6/R5)-($Y6/$Y5))</f>
        <v>13390.355644898145</v>
      </c>
      <c r="L201" s="313">
        <f t="shared" ref="L201:L214" si="115">SUM(C201:K201)</f>
        <v>5602.0615861139595</v>
      </c>
    </row>
    <row r="202" spans="1:12">
      <c r="A202" s="296">
        <f t="shared" si="105"/>
        <v>1999</v>
      </c>
      <c r="C202" s="312">
        <f t="shared" si="106"/>
        <v>-2649.6437442681095</v>
      </c>
      <c r="D202" s="312">
        <f t="shared" si="107"/>
        <v>-803.41563548698582</v>
      </c>
      <c r="E202" s="312">
        <f t="shared" si="108"/>
        <v>-12806.529505176797</v>
      </c>
      <c r="F202" s="312">
        <f t="shared" si="109"/>
        <v>-291.70594797135419</v>
      </c>
      <c r="G202" s="312">
        <f t="shared" si="110"/>
        <v>-1233.3165460924386</v>
      </c>
      <c r="H202" s="312">
        <f t="shared" si="111"/>
        <v>9465.137962660734</v>
      </c>
      <c r="I202" s="312">
        <f t="shared" si="112"/>
        <v>-1241.4965171813876</v>
      </c>
      <c r="J202" s="312">
        <f t="shared" si="113"/>
        <v>2929.2748029243676</v>
      </c>
      <c r="K202" s="312">
        <f t="shared" si="114"/>
        <v>4100.5998596664303</v>
      </c>
      <c r="L202" s="313">
        <f t="shared" si="115"/>
        <v>-2531.0952709255425</v>
      </c>
    </row>
    <row r="203" spans="1:12">
      <c r="A203" s="296">
        <f t="shared" si="105"/>
        <v>2000</v>
      </c>
      <c r="C203" s="312">
        <f t="shared" si="106"/>
        <v>-2163.2050264486115</v>
      </c>
      <c r="D203" s="312">
        <f t="shared" si="107"/>
        <v>-363.52684961322063</v>
      </c>
      <c r="E203" s="312">
        <f t="shared" si="108"/>
        <v>-5836.0697469732995</v>
      </c>
      <c r="F203" s="312">
        <f t="shared" si="109"/>
        <v>-63.088198334106721</v>
      </c>
      <c r="G203" s="312">
        <f t="shared" si="110"/>
        <v>1701.9473905997334</v>
      </c>
      <c r="H203" s="312">
        <f t="shared" si="111"/>
        <v>-1668.2834238782398</v>
      </c>
      <c r="I203" s="312">
        <f t="shared" si="112"/>
        <v>-1373.283069709797</v>
      </c>
      <c r="J203" s="312">
        <f t="shared" si="113"/>
        <v>4257.7618857710104</v>
      </c>
      <c r="K203" s="312">
        <f t="shared" si="114"/>
        <v>6273.0011294117739</v>
      </c>
      <c r="L203" s="313">
        <f t="shared" si="115"/>
        <v>765.2540908252422</v>
      </c>
    </row>
    <row r="204" spans="1:12">
      <c r="A204" s="296">
        <f t="shared" si="105"/>
        <v>2001</v>
      </c>
      <c r="C204" s="312">
        <f t="shared" si="106"/>
        <v>7023.645796574302</v>
      </c>
      <c r="D204" s="312">
        <f t="shared" si="107"/>
        <v>-225.28755837981276</v>
      </c>
      <c r="E204" s="312">
        <f t="shared" si="108"/>
        <v>-9137.4753179915006</v>
      </c>
      <c r="F204" s="312">
        <f t="shared" si="109"/>
        <v>-104.05262576092726</v>
      </c>
      <c r="G204" s="312">
        <f t="shared" si="110"/>
        <v>-1783.8627298147214</v>
      </c>
      <c r="H204" s="312">
        <f t="shared" si="111"/>
        <v>708.19928603193819</v>
      </c>
      <c r="I204" s="312">
        <f t="shared" si="112"/>
        <v>-3076.0662484514155</v>
      </c>
      <c r="J204" s="312">
        <f t="shared" si="113"/>
        <v>8801.099409946235</v>
      </c>
      <c r="K204" s="312">
        <f t="shared" si="114"/>
        <v>-4529.1825438428905</v>
      </c>
      <c r="L204" s="313">
        <f t="shared" si="115"/>
        <v>-2322.9825316887927</v>
      </c>
    </row>
    <row r="205" spans="1:12">
      <c r="A205" s="296">
        <f t="shared" si="105"/>
        <v>2002</v>
      </c>
      <c r="C205" s="312">
        <f t="shared" si="106"/>
        <v>-659.16629106231983</v>
      </c>
      <c r="D205" s="312">
        <f t="shared" si="107"/>
        <v>-7.370314999762182</v>
      </c>
      <c r="E205" s="312">
        <f t="shared" si="108"/>
        <v>-4641.7064972977087</v>
      </c>
      <c r="F205" s="312">
        <f t="shared" si="109"/>
        <v>-134.8161947713478</v>
      </c>
      <c r="G205" s="312">
        <f t="shared" si="110"/>
        <v>-903.36839939519734</v>
      </c>
      <c r="H205" s="312">
        <f t="shared" si="111"/>
        <v>-3074.855394009564</v>
      </c>
      <c r="I205" s="312">
        <f t="shared" si="112"/>
        <v>-662.79586255112724</v>
      </c>
      <c r="J205" s="312">
        <f t="shared" si="113"/>
        <v>6803.0888499583134</v>
      </c>
      <c r="K205" s="312">
        <f t="shared" si="114"/>
        <v>2756.7092957080608</v>
      </c>
      <c r="L205" s="313">
        <f t="shared" si="115"/>
        <v>-524.28080842065219</v>
      </c>
    </row>
    <row r="206" spans="1:12">
      <c r="A206" s="296">
        <f t="shared" si="105"/>
        <v>2003</v>
      </c>
      <c r="C206" s="312">
        <f t="shared" si="106"/>
        <v>-6943.8531534604299</v>
      </c>
      <c r="D206" s="312">
        <f t="shared" si="107"/>
        <v>103.17275785511467</v>
      </c>
      <c r="E206" s="312">
        <f t="shared" si="108"/>
        <v>-12541.118184538054</v>
      </c>
      <c r="F206" s="312">
        <f t="shared" si="109"/>
        <v>-593.27520436284999</v>
      </c>
      <c r="G206" s="312">
        <f t="shared" si="110"/>
        <v>3064.2199822704597</v>
      </c>
      <c r="H206" s="312">
        <f t="shared" si="111"/>
        <v>6154.448088328968</v>
      </c>
      <c r="I206" s="312">
        <f t="shared" si="112"/>
        <v>-4697.2925100422271</v>
      </c>
      <c r="J206" s="312">
        <f t="shared" si="113"/>
        <v>-758.8053785853765</v>
      </c>
      <c r="K206" s="312">
        <f t="shared" si="114"/>
        <v>8316.5853876530855</v>
      </c>
      <c r="L206" s="313">
        <f t="shared" si="115"/>
        <v>-7895.918214881307</v>
      </c>
    </row>
    <row r="207" spans="1:12">
      <c r="A207" s="296">
        <f t="shared" si="105"/>
        <v>2004</v>
      </c>
      <c r="C207" s="312">
        <f t="shared" si="106"/>
        <v>-14622.176435966496</v>
      </c>
      <c r="D207" s="312">
        <f t="shared" si="107"/>
        <v>126.61037847876619</v>
      </c>
      <c r="E207" s="312">
        <f t="shared" si="108"/>
        <v>3669.5767982632328</v>
      </c>
      <c r="F207" s="312">
        <f t="shared" si="109"/>
        <v>-182.0697067766211</v>
      </c>
      <c r="G207" s="312">
        <f t="shared" si="110"/>
        <v>6212.4897939679868</v>
      </c>
      <c r="H207" s="312">
        <f t="shared" si="111"/>
        <v>3185.9513402080315</v>
      </c>
      <c r="I207" s="312">
        <f t="shared" si="112"/>
        <v>83.325978355943079</v>
      </c>
      <c r="J207" s="312">
        <f t="shared" si="113"/>
        <v>6182.2091290171838</v>
      </c>
      <c r="K207" s="312">
        <f t="shared" si="114"/>
        <v>-8878.0845685933764</v>
      </c>
      <c r="L207" s="313">
        <f t="shared" si="115"/>
        <v>-4222.1672930453487</v>
      </c>
    </row>
    <row r="208" spans="1:12">
      <c r="A208" s="296">
        <f t="shared" si="105"/>
        <v>2005</v>
      </c>
      <c r="C208" s="312">
        <f t="shared" si="106"/>
        <v>-10278.081311617541</v>
      </c>
      <c r="D208" s="312">
        <f t="shared" si="107"/>
        <v>-490.20586542734839</v>
      </c>
      <c r="E208" s="312">
        <f t="shared" si="108"/>
        <v>-5043.4833199863924</v>
      </c>
      <c r="F208" s="312">
        <f t="shared" si="109"/>
        <v>-100.67587041178454</v>
      </c>
      <c r="G208" s="312">
        <f t="shared" si="110"/>
        <v>6585.3218690910471</v>
      </c>
      <c r="H208" s="312">
        <f t="shared" si="111"/>
        <v>9712.2211083399343</v>
      </c>
      <c r="I208" s="312">
        <f t="shared" si="112"/>
        <v>-518.94028388111474</v>
      </c>
      <c r="J208" s="312">
        <f t="shared" si="113"/>
        <v>7003.5059157326968</v>
      </c>
      <c r="K208" s="312">
        <f t="shared" si="114"/>
        <v>-12604.381008963088</v>
      </c>
      <c r="L208" s="313">
        <f t="shared" si="115"/>
        <v>-5734.7187671235888</v>
      </c>
    </row>
    <row r="209" spans="1:12">
      <c r="A209" s="296">
        <f t="shared" si="105"/>
        <v>2006</v>
      </c>
      <c r="C209" s="312">
        <f t="shared" si="106"/>
        <v>-6306.3326014794502</v>
      </c>
      <c r="D209" s="312">
        <f t="shared" si="107"/>
        <v>-47.127588174490739</v>
      </c>
      <c r="E209" s="312">
        <f t="shared" si="108"/>
        <v>683.31410057263747</v>
      </c>
      <c r="F209" s="312">
        <f t="shared" si="109"/>
        <v>-204.73679585858616</v>
      </c>
      <c r="G209" s="312">
        <f t="shared" si="110"/>
        <v>-1481.0708779867143</v>
      </c>
      <c r="H209" s="312">
        <f t="shared" si="111"/>
        <v>8623.609329441535</v>
      </c>
      <c r="I209" s="312">
        <f t="shared" si="112"/>
        <v>-3493.471567563689</v>
      </c>
      <c r="J209" s="312">
        <f t="shared" si="113"/>
        <v>5573.6466149475273</v>
      </c>
      <c r="K209" s="312">
        <f t="shared" si="114"/>
        <v>-7079.5303471183834</v>
      </c>
      <c r="L209" s="313">
        <f t="shared" si="115"/>
        <v>-3731.6997332196142</v>
      </c>
    </row>
    <row r="210" spans="1:12">
      <c r="A210" s="296">
        <f t="shared" si="105"/>
        <v>2007</v>
      </c>
      <c r="C210" s="312">
        <f t="shared" si="106"/>
        <v>3190.9314756848412</v>
      </c>
      <c r="D210" s="312">
        <f t="shared" si="107"/>
        <v>318.85398509726582</v>
      </c>
      <c r="E210" s="312">
        <f t="shared" si="108"/>
        <v>-7424.3393742438966</v>
      </c>
      <c r="F210" s="312">
        <f t="shared" si="109"/>
        <v>-153.11267911349498</v>
      </c>
      <c r="G210" s="312">
        <f t="shared" si="110"/>
        <v>-1005.4993674729981</v>
      </c>
      <c r="H210" s="312">
        <f t="shared" si="111"/>
        <v>-3610.9109974938096</v>
      </c>
      <c r="I210" s="312">
        <f t="shared" si="112"/>
        <v>-2917.4317920291614</v>
      </c>
      <c r="J210" s="312">
        <f t="shared" si="113"/>
        <v>6870.0022051500946</v>
      </c>
      <c r="K210" s="312">
        <f t="shared" si="114"/>
        <v>1488.8320629307855</v>
      </c>
      <c r="L210" s="313">
        <f t="shared" si="115"/>
        <v>-3242.6744814903741</v>
      </c>
    </row>
    <row r="211" spans="1:12">
      <c r="A211" s="296">
        <f t="shared" si="105"/>
        <v>2008</v>
      </c>
      <c r="C211" s="312">
        <f t="shared" si="106"/>
        <v>-6030.9066956508814</v>
      </c>
      <c r="D211" s="312">
        <f t="shared" si="107"/>
        <v>-23.46017357447899</v>
      </c>
      <c r="E211" s="312">
        <f t="shared" si="108"/>
        <v>2140.2477676773869</v>
      </c>
      <c r="F211" s="312">
        <f t="shared" si="109"/>
        <v>-741.16599461881879</v>
      </c>
      <c r="G211" s="312">
        <f t="shared" si="110"/>
        <v>349.21940692277673</v>
      </c>
      <c r="H211" s="312">
        <f t="shared" si="111"/>
        <v>-6695.463791044489</v>
      </c>
      <c r="I211" s="312">
        <f t="shared" si="112"/>
        <v>5513.5487947333295</v>
      </c>
      <c r="J211" s="312">
        <f t="shared" si="113"/>
        <v>5046.1431837314203</v>
      </c>
      <c r="K211" s="312">
        <f t="shared" si="114"/>
        <v>3840.9950673405078</v>
      </c>
      <c r="L211" s="313">
        <f t="shared" si="115"/>
        <v>3399.1575655167539</v>
      </c>
    </row>
    <row r="212" spans="1:12">
      <c r="A212" s="296">
        <f t="shared" si="105"/>
        <v>2009</v>
      </c>
      <c r="C212" s="312">
        <f t="shared" si="106"/>
        <v>-1292.5650485749406</v>
      </c>
      <c r="D212" s="312">
        <f t="shared" si="107"/>
        <v>-325.00392157821221</v>
      </c>
      <c r="E212" s="312">
        <f t="shared" si="108"/>
        <v>-2885.6476501926954</v>
      </c>
      <c r="F212" s="312">
        <f t="shared" si="109"/>
        <v>855.30400145753219</v>
      </c>
      <c r="G212" s="312">
        <f t="shared" si="110"/>
        <v>-1054.4033087217747</v>
      </c>
      <c r="H212" s="312">
        <f t="shared" si="111"/>
        <v>-6992.8790016725698</v>
      </c>
      <c r="I212" s="312">
        <f t="shared" si="112"/>
        <v>-1137.3880008363237</v>
      </c>
      <c r="J212" s="312">
        <f t="shared" si="113"/>
        <v>6947.5139102030025</v>
      </c>
      <c r="K212" s="312">
        <f t="shared" si="114"/>
        <v>9408.0875987160289</v>
      </c>
      <c r="L212" s="313">
        <f t="shared" si="115"/>
        <v>3523.0185788000472</v>
      </c>
    </row>
    <row r="213" spans="1:12">
      <c r="A213" s="296">
        <f t="shared" si="105"/>
        <v>2010</v>
      </c>
      <c r="C213" s="312">
        <f t="shared" si="106"/>
        <v>-2606.3432835400531</v>
      </c>
      <c r="D213" s="312">
        <f t="shared" si="107"/>
        <v>451.03901248495305</v>
      </c>
      <c r="E213" s="312">
        <f t="shared" si="108"/>
        <v>-15533.53465895758</v>
      </c>
      <c r="F213" s="312">
        <f t="shared" si="109"/>
        <v>-1086.1255274642738</v>
      </c>
      <c r="G213" s="312">
        <f t="shared" si="110"/>
        <v>413.79744797700511</v>
      </c>
      <c r="H213" s="312">
        <f t="shared" si="111"/>
        <v>190.16249010109235</v>
      </c>
      <c r="I213" s="312">
        <f t="shared" si="112"/>
        <v>2878.7885691972383</v>
      </c>
      <c r="J213" s="312">
        <f t="shared" si="113"/>
        <v>-6499.714520356205</v>
      </c>
      <c r="K213" s="312">
        <f t="shared" si="114"/>
        <v>16966.468785319972</v>
      </c>
      <c r="L213" s="313">
        <f t="shared" si="115"/>
        <v>-4825.4616852378531</v>
      </c>
    </row>
    <row r="214" spans="1:12" ht="13.5" thickBot="1">
      <c r="A214" s="296">
        <f t="shared" si="105"/>
        <v>2011</v>
      </c>
      <c r="C214" s="312">
        <f t="shared" si="106"/>
        <v>-7249.7055877569965</v>
      </c>
      <c r="D214" s="312">
        <f t="shared" si="107"/>
        <v>-16.975110923575123</v>
      </c>
      <c r="E214" s="312">
        <f t="shared" si="108"/>
        <v>-53.977746319662529</v>
      </c>
      <c r="F214" s="312">
        <f t="shared" si="109"/>
        <v>-548.38617126695885</v>
      </c>
      <c r="G214" s="312">
        <f t="shared" si="110"/>
        <v>-677.89719006971541</v>
      </c>
      <c r="H214" s="312">
        <f t="shared" si="111"/>
        <v>-623.06318308158518</v>
      </c>
      <c r="I214" s="312">
        <f t="shared" si="112"/>
        <v>-66.395325703328638</v>
      </c>
      <c r="J214" s="312">
        <f t="shared" si="113"/>
        <v>1711.2843397721185</v>
      </c>
      <c r="K214" s="312">
        <f t="shared" si="114"/>
        <v>8655.7118471993308</v>
      </c>
      <c r="L214" s="314">
        <f t="shared" si="115"/>
        <v>1130.5958718496277</v>
      </c>
    </row>
    <row r="215" spans="1:12">
      <c r="C215" s="312"/>
      <c r="D215" s="312"/>
      <c r="E215" s="312"/>
      <c r="F215" s="312"/>
      <c r="G215" s="312"/>
      <c r="H215" s="312"/>
      <c r="I215" s="312"/>
      <c r="J215" s="312"/>
      <c r="K215" s="312"/>
      <c r="L215" s="312"/>
    </row>
    <row r="216" spans="1:12">
      <c r="A216" s="311" t="s">
        <v>28</v>
      </c>
      <c r="C216" s="299">
        <f>AVERAGE(C199:C214)</f>
        <v>-3663.3753570126455</v>
      </c>
      <c r="D216" s="299">
        <f t="shared" ref="D216:L216" si="116">AVERAGE(D199:D214)</f>
        <v>-235.08858085760841</v>
      </c>
      <c r="E216" s="299">
        <f t="shared" si="116"/>
        <v>-6354.7046388945055</v>
      </c>
      <c r="F216" s="299">
        <f t="shared" si="116"/>
        <v>-245.11077975446551</v>
      </c>
      <c r="G216" s="299">
        <f t="shared" si="116"/>
        <v>579.31222210430371</v>
      </c>
      <c r="H216" s="299">
        <f t="shared" si="116"/>
        <v>1627.8308535627946</v>
      </c>
      <c r="I216" s="299">
        <f t="shared" si="116"/>
        <v>-972.85727980086779</v>
      </c>
      <c r="J216" s="299">
        <f t="shared" si="116"/>
        <v>4097.3484677893584</v>
      </c>
      <c r="K216" s="299">
        <f t="shared" si="116"/>
        <v>3595.8323375625341</v>
      </c>
      <c r="L216" s="299">
        <f t="shared" si="116"/>
        <v>-1570.8127553011025</v>
      </c>
    </row>
    <row r="217" spans="1:12">
      <c r="A217" s="311" t="s">
        <v>374</v>
      </c>
      <c r="C217" s="299">
        <f>C214-C199</f>
        <v>-7249.7055877569965</v>
      </c>
      <c r="D217" s="299">
        <f t="shared" ref="D217:L217" si="117">D214-D199</f>
        <v>-16.975110923575123</v>
      </c>
      <c r="E217" s="299">
        <f t="shared" si="117"/>
        <v>-53.977746319662529</v>
      </c>
      <c r="F217" s="299">
        <f t="shared" si="117"/>
        <v>-548.38617126695885</v>
      </c>
      <c r="G217" s="299">
        <f t="shared" si="117"/>
        <v>-677.89719006971541</v>
      </c>
      <c r="H217" s="299">
        <f t="shared" si="117"/>
        <v>-623.06318308158518</v>
      </c>
      <c r="I217" s="299">
        <f t="shared" si="117"/>
        <v>-66.395325703328638</v>
      </c>
      <c r="J217" s="299">
        <f t="shared" si="117"/>
        <v>1711.2843397721185</v>
      </c>
      <c r="K217" s="299">
        <f t="shared" si="117"/>
        <v>8655.7118471993308</v>
      </c>
      <c r="L217" s="299">
        <f t="shared" si="117"/>
        <v>1130.5958718496277</v>
      </c>
    </row>
    <row r="218" spans="1:12">
      <c r="A218" s="311" t="s">
        <v>375</v>
      </c>
      <c r="C218" s="299">
        <f>STDEV(C199:C214)</f>
        <v>5245.0296834024821</v>
      </c>
      <c r="D218" s="299">
        <f t="shared" ref="D218:L218" si="118">STDEV(D199:D214)</f>
        <v>517.98597321981424</v>
      </c>
      <c r="E218" s="299">
        <f t="shared" si="118"/>
        <v>6395.5574646551377</v>
      </c>
      <c r="F218" s="299">
        <f t="shared" si="118"/>
        <v>422.89080691964523</v>
      </c>
      <c r="G218" s="299">
        <f t="shared" si="118"/>
        <v>2740.250474371981</v>
      </c>
      <c r="H218" s="299">
        <f t="shared" si="118"/>
        <v>5620.6037349767721</v>
      </c>
      <c r="I218" s="299">
        <f t="shared" si="118"/>
        <v>2635.0368890158229</v>
      </c>
      <c r="J218" s="299">
        <f t="shared" si="118"/>
        <v>3830.8336237912686</v>
      </c>
      <c r="K218" s="299">
        <f t="shared" si="118"/>
        <v>8597.5514304697226</v>
      </c>
      <c r="L218" s="299">
        <f t="shared" si="118"/>
        <v>3796.3660666501601</v>
      </c>
    </row>
    <row r="220" spans="1:12" ht="13.5" thickBot="1"/>
    <row r="221" spans="1:12" ht="51">
      <c r="A221" s="303" t="s">
        <v>385</v>
      </c>
      <c r="C221" s="294" t="s">
        <v>1</v>
      </c>
      <c r="D221" s="294" t="s">
        <v>2</v>
      </c>
      <c r="E221" s="294" t="s">
        <v>4</v>
      </c>
      <c r="F221" s="294" t="s">
        <v>5</v>
      </c>
      <c r="G221" s="294" t="s">
        <v>6</v>
      </c>
      <c r="H221" s="294" t="s">
        <v>8</v>
      </c>
      <c r="I221" s="294" t="s">
        <v>9</v>
      </c>
      <c r="J221" s="294" t="s">
        <v>10</v>
      </c>
      <c r="K221" s="305" t="s">
        <v>371</v>
      </c>
      <c r="L221" s="308" t="s">
        <v>165</v>
      </c>
    </row>
    <row r="222" spans="1:12">
      <c r="A222" s="296" t="str">
        <f>A199</f>
        <v>1996</v>
      </c>
      <c r="L222" s="309"/>
    </row>
    <row r="223" spans="1:12">
      <c r="A223" s="296">
        <f t="shared" ref="A223:A237" si="119">A200</f>
        <v>1997</v>
      </c>
      <c r="C223" s="306">
        <f>C4*((C5/C4)-(B5/B4))</f>
        <v>154.03874319381751</v>
      </c>
      <c r="D223" s="306">
        <f>E4*((E5/E4)-(D5/D4))</f>
        <v>-1645.6355076992568</v>
      </c>
      <c r="E223" s="306">
        <f>G4*((G5/G4)-(F5/F4))</f>
        <v>-892.2739850723309</v>
      </c>
      <c r="F223" s="306">
        <f>I4*((I5/I4)-(H5/H4))</f>
        <v>27.482729557707927</v>
      </c>
      <c r="G223" s="306">
        <f>K4*((K5/K4)-(J5/J4))</f>
        <v>26.53525291743161</v>
      </c>
      <c r="H223" s="306">
        <f>M4*((M5/M4)-(L5/L4))</f>
        <v>112.52924344860772</v>
      </c>
      <c r="I223" s="306">
        <f>O4*((O5/O4)-(N5/N4))</f>
        <v>195.21169233407937</v>
      </c>
      <c r="J223" s="306">
        <f>Q4*((Q5/Q4)-(P5/P4))</f>
        <v>348.44834824753269</v>
      </c>
      <c r="K223" s="306">
        <f>S4*((S5/S4)-(R5/R4))</f>
        <v>1201.0194745887113</v>
      </c>
      <c r="L223" s="313">
        <f>SUM(C223:K223)</f>
        <v>-472.64400848369974</v>
      </c>
    </row>
    <row r="224" spans="1:12">
      <c r="A224" s="296">
        <f t="shared" si="119"/>
        <v>1998</v>
      </c>
      <c r="C224" s="306">
        <f t="shared" ref="C224:C237" si="120">C5*((C6/C5)-(B6/B5))</f>
        <v>39.642452665254702</v>
      </c>
      <c r="D224" s="306">
        <f t="shared" ref="D224:D237" si="121">E5*((E6/E5)-(D6/D5))</f>
        <v>463.88794310054215</v>
      </c>
      <c r="E224" s="306">
        <f t="shared" ref="E224:E237" si="122">G5*((G6/G5)-(F6/F5))</f>
        <v>-2363.7227494192398</v>
      </c>
      <c r="F224" s="306">
        <f t="shared" ref="F224:F237" si="123">I5*((I6/I5)-(H6/H5))</f>
        <v>-124.41529823409878</v>
      </c>
      <c r="G224" s="306">
        <f t="shared" ref="G224:G237" si="124">K5*((K6/K5)-(J6/J5))</f>
        <v>-306.46502019372366</v>
      </c>
      <c r="H224" s="306">
        <f t="shared" ref="H224:H237" si="125">M5*((M6/M5)-(L6/L5))</f>
        <v>-1143.4663482048854</v>
      </c>
      <c r="I224" s="306">
        <f t="shared" ref="I224:I237" si="126">O5*((O6/O5)-(N6/N5))</f>
        <v>-142.31391422572025</v>
      </c>
      <c r="J224" s="306">
        <f t="shared" ref="J224:J237" si="127">Q5*((Q6/Q5)-(P6/P5))</f>
        <v>-1542.6046289378169</v>
      </c>
      <c r="K224" s="306">
        <f t="shared" ref="K224:K237" si="128">S5*((S6/S5)-(R6/R5))</f>
        <v>78.590550554087116</v>
      </c>
      <c r="L224" s="313">
        <f t="shared" ref="L224:L237" si="129">SUM(C224:K224)</f>
        <v>-5040.867012895601</v>
      </c>
    </row>
    <row r="225" spans="1:12">
      <c r="A225" s="296">
        <f t="shared" si="119"/>
        <v>1999</v>
      </c>
      <c r="C225" s="306">
        <f t="shared" si="120"/>
        <v>45.67901274062406</v>
      </c>
      <c r="D225" s="306">
        <f t="shared" si="121"/>
        <v>-1592.6683408329354</v>
      </c>
      <c r="E225" s="306">
        <f t="shared" si="122"/>
        <v>-1472.4296341608299</v>
      </c>
      <c r="F225" s="306">
        <f t="shared" si="123"/>
        <v>-105.70890265104215</v>
      </c>
      <c r="G225" s="306">
        <f t="shared" si="124"/>
        <v>-794.55379084659853</v>
      </c>
      <c r="H225" s="306">
        <f t="shared" si="125"/>
        <v>-2991.3878499475509</v>
      </c>
      <c r="I225" s="306">
        <f t="shared" si="126"/>
        <v>-1537.3411601606902</v>
      </c>
      <c r="J225" s="306">
        <f t="shared" si="127"/>
        <v>-2843.4234908119065</v>
      </c>
      <c r="K225" s="306">
        <f t="shared" si="128"/>
        <v>-78.215729898026098</v>
      </c>
      <c r="L225" s="313">
        <f t="shared" si="129"/>
        <v>-11370.049886568955</v>
      </c>
    </row>
    <row r="226" spans="1:12">
      <c r="A226" s="296">
        <f t="shared" si="119"/>
        <v>2000</v>
      </c>
      <c r="C226" s="306">
        <f t="shared" si="120"/>
        <v>170.93001821833491</v>
      </c>
      <c r="D226" s="306">
        <f t="shared" si="121"/>
        <v>-685.85172083996758</v>
      </c>
      <c r="E226" s="306">
        <f t="shared" si="122"/>
        <v>-1.7327935814226749</v>
      </c>
      <c r="F226" s="306">
        <f t="shared" si="123"/>
        <v>-64.152639918187361</v>
      </c>
      <c r="G226" s="306">
        <f t="shared" si="124"/>
        <v>-390.47391921584955</v>
      </c>
      <c r="H226" s="306">
        <f t="shared" si="125"/>
        <v>-1865.0682590715624</v>
      </c>
      <c r="I226" s="306">
        <f t="shared" si="126"/>
        <v>-1637.1821204201613</v>
      </c>
      <c r="J226" s="306">
        <f t="shared" si="127"/>
        <v>-1101.7858323161827</v>
      </c>
      <c r="K226" s="306">
        <f t="shared" si="128"/>
        <v>63.993480403899653</v>
      </c>
      <c r="L226" s="313">
        <f t="shared" si="129"/>
        <v>-5511.323786741099</v>
      </c>
    </row>
    <row r="227" spans="1:12">
      <c r="A227" s="296">
        <f t="shared" si="119"/>
        <v>2001</v>
      </c>
      <c r="C227" s="306">
        <f t="shared" si="120"/>
        <v>-1208.2687433441713</v>
      </c>
      <c r="D227" s="306">
        <f t="shared" si="121"/>
        <v>-400.08493030963126</v>
      </c>
      <c r="E227" s="306">
        <f t="shared" si="122"/>
        <v>-275.80866462259331</v>
      </c>
      <c r="F227" s="306">
        <f t="shared" si="123"/>
        <v>-82.279595588036813</v>
      </c>
      <c r="G227" s="306">
        <f t="shared" si="124"/>
        <v>189.77809698607027</v>
      </c>
      <c r="H227" s="306">
        <f t="shared" si="125"/>
        <v>442.92159213030828</v>
      </c>
      <c r="I227" s="306">
        <f t="shared" si="126"/>
        <v>-383.0903504843497</v>
      </c>
      <c r="J227" s="306">
        <f t="shared" si="127"/>
        <v>-1004.6742138700437</v>
      </c>
      <c r="K227" s="306">
        <f t="shared" si="128"/>
        <v>-2667.5158590450715</v>
      </c>
      <c r="L227" s="313">
        <f t="shared" si="129"/>
        <v>-5389.0226681475197</v>
      </c>
    </row>
    <row r="228" spans="1:12">
      <c r="A228" s="296">
        <f t="shared" si="119"/>
        <v>2002</v>
      </c>
      <c r="C228" s="306">
        <f t="shared" si="120"/>
        <v>27.273444498493919</v>
      </c>
      <c r="D228" s="306">
        <f t="shared" si="121"/>
        <v>-109.40025486398383</v>
      </c>
      <c r="E228" s="306">
        <f t="shared" si="122"/>
        <v>-630.32291048958734</v>
      </c>
      <c r="F228" s="306">
        <f t="shared" si="123"/>
        <v>93.369179635277064</v>
      </c>
      <c r="G228" s="306">
        <f t="shared" si="124"/>
        <v>-137.06152423244308</v>
      </c>
      <c r="H228" s="306">
        <f t="shared" si="125"/>
        <v>-372.54596185170578</v>
      </c>
      <c r="I228" s="306">
        <f t="shared" si="126"/>
        <v>-1129.0938216053614</v>
      </c>
      <c r="J228" s="306">
        <f t="shared" si="127"/>
        <v>-1460.3819120240212</v>
      </c>
      <c r="K228" s="306">
        <f t="shared" si="128"/>
        <v>-2498.2254440584115</v>
      </c>
      <c r="L228" s="313">
        <f t="shared" si="129"/>
        <v>-6216.3892049917431</v>
      </c>
    </row>
    <row r="229" spans="1:12">
      <c r="A229" s="296">
        <f t="shared" si="119"/>
        <v>2003</v>
      </c>
      <c r="C229" s="306">
        <f t="shared" si="120"/>
        <v>520.15547590103984</v>
      </c>
      <c r="D229" s="306">
        <f t="shared" si="121"/>
        <v>353.71310832758985</v>
      </c>
      <c r="E229" s="306">
        <f t="shared" si="122"/>
        <v>-76.526480350244967</v>
      </c>
      <c r="F229" s="306">
        <f t="shared" si="123"/>
        <v>-149.5258167111686</v>
      </c>
      <c r="G229" s="306">
        <f t="shared" si="124"/>
        <v>-253.29230556661511</v>
      </c>
      <c r="H229" s="306">
        <f t="shared" si="125"/>
        <v>-594.19454592299974</v>
      </c>
      <c r="I229" s="306">
        <f t="shared" si="126"/>
        <v>81.337654717776729</v>
      </c>
      <c r="J229" s="306">
        <f t="shared" si="127"/>
        <v>-1372.8154627694739</v>
      </c>
      <c r="K229" s="306">
        <f t="shared" si="128"/>
        <v>-4625.4680618241191</v>
      </c>
      <c r="L229" s="313">
        <f t="shared" si="129"/>
        <v>-6116.6164341982148</v>
      </c>
    </row>
    <row r="230" spans="1:12">
      <c r="A230" s="296">
        <f t="shared" si="119"/>
        <v>2004</v>
      </c>
      <c r="C230" s="306">
        <f t="shared" si="120"/>
        <v>-1629.0374880862873</v>
      </c>
      <c r="D230" s="306">
        <f t="shared" si="121"/>
        <v>1240.5948551981135</v>
      </c>
      <c r="E230" s="306">
        <f t="shared" si="122"/>
        <v>-4681.7577545689983</v>
      </c>
      <c r="F230" s="306">
        <f t="shared" si="123"/>
        <v>-108.34779554226094</v>
      </c>
      <c r="G230" s="306">
        <f t="shared" si="124"/>
        <v>-242.56915978338003</v>
      </c>
      <c r="H230" s="306">
        <f t="shared" si="125"/>
        <v>-278.13227276089697</v>
      </c>
      <c r="I230" s="306">
        <f t="shared" si="126"/>
        <v>297.92231385242991</v>
      </c>
      <c r="J230" s="306">
        <f t="shared" si="127"/>
        <v>-1087.0173767310519</v>
      </c>
      <c r="K230" s="306">
        <f t="shared" si="128"/>
        <v>1884.8371237774711</v>
      </c>
      <c r="L230" s="313">
        <f t="shared" si="129"/>
        <v>-4603.5075546448606</v>
      </c>
    </row>
    <row r="231" spans="1:12">
      <c r="A231" s="296">
        <f t="shared" si="119"/>
        <v>2005</v>
      </c>
      <c r="C231" s="306">
        <f t="shared" si="120"/>
        <v>-965.60644539119414</v>
      </c>
      <c r="D231" s="306">
        <f t="shared" si="121"/>
        <v>283.88896818656502</v>
      </c>
      <c r="E231" s="306">
        <f t="shared" si="122"/>
        <v>-5857.2628581479594</v>
      </c>
      <c r="F231" s="306">
        <f t="shared" si="123"/>
        <v>-138.19975100013858</v>
      </c>
      <c r="G231" s="306">
        <f t="shared" si="124"/>
        <v>-499.7092394147038</v>
      </c>
      <c r="H231" s="306">
        <f t="shared" si="125"/>
        <v>-1145.6838905676771</v>
      </c>
      <c r="I231" s="306">
        <f t="shared" si="126"/>
        <v>-364.69055429354177</v>
      </c>
      <c r="J231" s="306">
        <f t="shared" si="127"/>
        <v>-1745.612420374026</v>
      </c>
      <c r="K231" s="306">
        <f t="shared" si="128"/>
        <v>892.78391470947213</v>
      </c>
      <c r="L231" s="313">
        <f t="shared" si="129"/>
        <v>-9540.0922762932023</v>
      </c>
    </row>
    <row r="232" spans="1:12">
      <c r="A232" s="296">
        <f t="shared" si="119"/>
        <v>2006</v>
      </c>
      <c r="C232" s="306">
        <f t="shared" si="120"/>
        <v>450.80316603012284</v>
      </c>
      <c r="D232" s="306">
        <f t="shared" si="121"/>
        <v>1511.1554535913845</v>
      </c>
      <c r="E232" s="306">
        <f t="shared" si="122"/>
        <v>-1971.1430702903147</v>
      </c>
      <c r="F232" s="306">
        <f t="shared" si="123"/>
        <v>-113.90207431868896</v>
      </c>
      <c r="G232" s="306">
        <f t="shared" si="124"/>
        <v>-62.028408391870364</v>
      </c>
      <c r="H232" s="306">
        <f t="shared" si="125"/>
        <v>177.3097552476614</v>
      </c>
      <c r="I232" s="306">
        <f t="shared" si="126"/>
        <v>-61.523110992340854</v>
      </c>
      <c r="J232" s="306">
        <f t="shared" si="127"/>
        <v>-280.61169906305059</v>
      </c>
      <c r="K232" s="306">
        <f t="shared" si="128"/>
        <v>2112.2481927368144</v>
      </c>
      <c r="L232" s="313">
        <f t="shared" si="129"/>
        <v>1762.3082045497176</v>
      </c>
    </row>
    <row r="233" spans="1:12">
      <c r="A233" s="296">
        <f t="shared" si="119"/>
        <v>2007</v>
      </c>
      <c r="C233" s="306">
        <f t="shared" si="120"/>
        <v>399.1560671032961</v>
      </c>
      <c r="D233" s="306">
        <f t="shared" si="121"/>
        <v>-272.51997911726517</v>
      </c>
      <c r="E233" s="306">
        <f t="shared" si="122"/>
        <v>-2773.5723423485983</v>
      </c>
      <c r="F233" s="306">
        <f t="shared" si="123"/>
        <v>-12.136275360339193</v>
      </c>
      <c r="G233" s="306">
        <f t="shared" si="124"/>
        <v>226.02168583233458</v>
      </c>
      <c r="H233" s="306">
        <f t="shared" si="125"/>
        <v>1112.1306455190354</v>
      </c>
      <c r="I233" s="306">
        <f t="shared" si="126"/>
        <v>-241.93633702929253</v>
      </c>
      <c r="J233" s="306">
        <f t="shared" si="127"/>
        <v>550.55467043157932</v>
      </c>
      <c r="K233" s="306">
        <f t="shared" si="128"/>
        <v>3154.1782654099179</v>
      </c>
      <c r="L233" s="313">
        <f t="shared" si="129"/>
        <v>2141.876400440668</v>
      </c>
    </row>
    <row r="234" spans="1:12">
      <c r="A234" s="296">
        <f t="shared" si="119"/>
        <v>2008</v>
      </c>
      <c r="C234" s="306">
        <f t="shared" si="120"/>
        <v>480.76148513229441</v>
      </c>
      <c r="D234" s="306">
        <f t="shared" si="121"/>
        <v>391.02002085350068</v>
      </c>
      <c r="E234" s="306">
        <f t="shared" si="122"/>
        <v>2234.7739450079885</v>
      </c>
      <c r="F234" s="306">
        <f t="shared" si="123"/>
        <v>86.359673299618109</v>
      </c>
      <c r="G234" s="306">
        <f t="shared" si="124"/>
        <v>910.45174631595239</v>
      </c>
      <c r="H234" s="306">
        <f t="shared" si="125"/>
        <v>2881.729817528178</v>
      </c>
      <c r="I234" s="306">
        <f t="shared" si="126"/>
        <v>1398.0544098387097</v>
      </c>
      <c r="J234" s="306">
        <f t="shared" si="127"/>
        <v>2605.4254451708352</v>
      </c>
      <c r="K234" s="306">
        <f t="shared" si="128"/>
        <v>6819.9423550355004</v>
      </c>
      <c r="L234" s="313">
        <f t="shared" si="129"/>
        <v>17808.518898182578</v>
      </c>
    </row>
    <row r="235" spans="1:12">
      <c r="A235" s="296">
        <f t="shared" si="119"/>
        <v>2009</v>
      </c>
      <c r="C235" s="306">
        <f t="shared" si="120"/>
        <v>4097.6928862698214</v>
      </c>
      <c r="D235" s="306">
        <f t="shared" si="121"/>
        <v>1372.1820103011046</v>
      </c>
      <c r="E235" s="306">
        <f t="shared" si="122"/>
        <v>18038.064645029292</v>
      </c>
      <c r="F235" s="306">
        <f t="shared" si="123"/>
        <v>1289.9395985199226</v>
      </c>
      <c r="G235" s="306">
        <f t="shared" si="124"/>
        <v>2673.3885057314469</v>
      </c>
      <c r="H235" s="306">
        <f t="shared" si="125"/>
        <v>8912.1517627118992</v>
      </c>
      <c r="I235" s="306">
        <f t="shared" si="126"/>
        <v>3384.1041939470265</v>
      </c>
      <c r="J235" s="306">
        <f t="shared" si="127"/>
        <v>11023.987649826207</v>
      </c>
      <c r="K235" s="306">
        <f t="shared" si="128"/>
        <v>5931.7477380598293</v>
      </c>
      <c r="L235" s="313">
        <f t="shared" si="129"/>
        <v>56723.258990396542</v>
      </c>
    </row>
    <row r="236" spans="1:12">
      <c r="A236" s="296">
        <f t="shared" si="119"/>
        <v>2010</v>
      </c>
      <c r="C236" s="306">
        <f t="shared" si="120"/>
        <v>454.14340652492547</v>
      </c>
      <c r="D236" s="306">
        <f t="shared" si="121"/>
        <v>897.27381714236901</v>
      </c>
      <c r="E236" s="306">
        <f t="shared" si="122"/>
        <v>42.441133458796521</v>
      </c>
      <c r="F236" s="306">
        <f t="shared" si="123"/>
        <v>-122.18024351534918</v>
      </c>
      <c r="G236" s="306">
        <f t="shared" si="124"/>
        <v>458.1054493869928</v>
      </c>
      <c r="H236" s="306">
        <f t="shared" si="125"/>
        <v>1303.4478118767963</v>
      </c>
      <c r="I236" s="306">
        <f t="shared" si="126"/>
        <v>757.21073671717784</v>
      </c>
      <c r="J236" s="306">
        <f t="shared" si="127"/>
        <v>1797.7356085886765</v>
      </c>
      <c r="K236" s="306">
        <f t="shared" si="128"/>
        <v>3894.0289209045277</v>
      </c>
      <c r="L236" s="313">
        <f t="shared" si="129"/>
        <v>9482.2066410849129</v>
      </c>
    </row>
    <row r="237" spans="1:12" ht="13.5" thickBot="1">
      <c r="A237" s="296">
        <f t="shared" si="119"/>
        <v>2011</v>
      </c>
      <c r="C237" s="306">
        <f t="shared" si="120"/>
        <v>137.71956910127852</v>
      </c>
      <c r="D237" s="306">
        <f t="shared" si="121"/>
        <v>-116.59664687029829</v>
      </c>
      <c r="E237" s="306">
        <f t="shared" si="122"/>
        <v>190.34903754364313</v>
      </c>
      <c r="F237" s="306">
        <f t="shared" si="123"/>
        <v>114.61205355257381</v>
      </c>
      <c r="G237" s="306">
        <f t="shared" si="124"/>
        <v>573.25113345696479</v>
      </c>
      <c r="H237" s="306">
        <f t="shared" si="125"/>
        <v>1860.8847297262262</v>
      </c>
      <c r="I237" s="306">
        <f t="shared" si="126"/>
        <v>773.34457657758924</v>
      </c>
      <c r="J237" s="306">
        <f t="shared" si="127"/>
        <v>2250.6157103507312</v>
      </c>
      <c r="K237" s="306">
        <f t="shared" si="128"/>
        <v>3905.2467759049437</v>
      </c>
      <c r="L237" s="314">
        <f t="shared" si="129"/>
        <v>9689.4269393436516</v>
      </c>
    </row>
    <row r="239" spans="1:12">
      <c r="A239" s="311" t="s">
        <v>28</v>
      </c>
      <c r="C239" s="306">
        <f>AVERAGE(C222:C237)</f>
        <v>211.67220337051006</v>
      </c>
      <c r="D239" s="306">
        <f t="shared" ref="D239:L239" si="130">AVERAGE(D222:D237)</f>
        <v>112.73058641118875</v>
      </c>
      <c r="E239" s="306">
        <f t="shared" si="130"/>
        <v>-32.728298800826579</v>
      </c>
      <c r="F239" s="306">
        <f t="shared" si="130"/>
        <v>39.394322781719261</v>
      </c>
      <c r="G239" s="306">
        <f t="shared" si="130"/>
        <v>158.0919001988006</v>
      </c>
      <c r="H239" s="306">
        <f t="shared" si="130"/>
        <v>560.84174865742887</v>
      </c>
      <c r="I239" s="306">
        <f t="shared" si="130"/>
        <v>92.667613918222159</v>
      </c>
      <c r="J239" s="306">
        <f t="shared" si="130"/>
        <v>409.18935971453254</v>
      </c>
      <c r="K239" s="306">
        <f t="shared" si="130"/>
        <v>1337.9461131506364</v>
      </c>
      <c r="L239" s="306">
        <f t="shared" si="130"/>
        <v>2889.8055494022119</v>
      </c>
    </row>
    <row r="240" spans="1:12">
      <c r="A240" s="311" t="s">
        <v>374</v>
      </c>
      <c r="C240" s="306">
        <f>C237-C222</f>
        <v>137.71956910127852</v>
      </c>
      <c r="D240" s="306">
        <f t="shared" ref="D240:L240" si="131">D237-D222</f>
        <v>-116.59664687029829</v>
      </c>
      <c r="E240" s="306">
        <f t="shared" si="131"/>
        <v>190.34903754364313</v>
      </c>
      <c r="F240" s="306">
        <f t="shared" si="131"/>
        <v>114.61205355257381</v>
      </c>
      <c r="G240" s="306">
        <f t="shared" si="131"/>
        <v>573.25113345696479</v>
      </c>
      <c r="H240" s="306">
        <f t="shared" si="131"/>
        <v>1860.8847297262262</v>
      </c>
      <c r="I240" s="306">
        <f t="shared" si="131"/>
        <v>773.34457657758924</v>
      </c>
      <c r="J240" s="306">
        <f t="shared" si="131"/>
        <v>2250.6157103507312</v>
      </c>
      <c r="K240" s="306">
        <f t="shared" si="131"/>
        <v>3905.2467759049437</v>
      </c>
      <c r="L240" s="306">
        <f t="shared" si="131"/>
        <v>9689.4269393436516</v>
      </c>
    </row>
    <row r="241" spans="1:12">
      <c r="A241" s="311" t="s">
        <v>375</v>
      </c>
      <c r="C241" s="306">
        <f>STDEV(C222:C237)</f>
        <v>1262.4207105845287</v>
      </c>
      <c r="D241" s="306">
        <f t="shared" ref="D241:L241" si="132">STDEV(D222:D237)</f>
        <v>958.7499867906912</v>
      </c>
      <c r="E241" s="306">
        <f t="shared" si="132"/>
        <v>5393.2701041858099</v>
      </c>
      <c r="F241" s="306">
        <f t="shared" si="132"/>
        <v>357.52291624759812</v>
      </c>
      <c r="G241" s="306">
        <f t="shared" si="132"/>
        <v>823.77015601623305</v>
      </c>
      <c r="H241" s="306">
        <f t="shared" si="132"/>
        <v>2742.1036059663825</v>
      </c>
      <c r="I241" s="306">
        <f t="shared" si="132"/>
        <v>1232.4129651661733</v>
      </c>
      <c r="J241" s="306">
        <f t="shared" si="132"/>
        <v>3333.1612632695783</v>
      </c>
      <c r="K241" s="306">
        <f t="shared" si="132"/>
        <v>3164.8835652564426</v>
      </c>
      <c r="L241" s="306">
        <f t="shared" si="132"/>
        <v>16910.452330011802</v>
      </c>
    </row>
    <row r="243" spans="1:12" ht="13.5" thickBot="1"/>
    <row r="244" spans="1:12" ht="16.5" thickBot="1">
      <c r="A244" s="448" t="s">
        <v>386</v>
      </c>
      <c r="B244" s="449"/>
      <c r="C244" s="450"/>
    </row>
    <row r="246" spans="1:12">
      <c r="A246" s="296" t="str">
        <f>A222</f>
        <v>1996</v>
      </c>
    </row>
    <row r="247" spans="1:12">
      <c r="A247" s="296">
        <f t="shared" ref="A247:A261" si="133">A223</f>
        <v>1997</v>
      </c>
      <c r="B247" s="299">
        <f>L177+L200+L223</f>
        <v>11859.345107673338</v>
      </c>
      <c r="C247" s="299">
        <f>Z5-Z4</f>
        <v>11859.345107673085</v>
      </c>
    </row>
    <row r="248" spans="1:12">
      <c r="A248" s="296">
        <f t="shared" si="133"/>
        <v>1998</v>
      </c>
      <c r="B248" s="299">
        <f t="shared" ref="B248:B261" si="134">L178+L201+L224</f>
        <v>-1064.8937149792073</v>
      </c>
      <c r="C248" s="299">
        <f t="shared" ref="C248:C261" si="135">Z6-Z5</f>
        <v>-1064.8937149789417</v>
      </c>
    </row>
    <row r="249" spans="1:12">
      <c r="A249" s="296">
        <f t="shared" si="133"/>
        <v>1999</v>
      </c>
      <c r="B249" s="299">
        <f t="shared" si="134"/>
        <v>6922.6373405867998</v>
      </c>
      <c r="C249" s="299">
        <f t="shared" si="135"/>
        <v>6922.6373405866325</v>
      </c>
    </row>
    <row r="250" spans="1:12">
      <c r="A250" s="296">
        <f t="shared" si="133"/>
        <v>2000</v>
      </c>
      <c r="B250" s="299">
        <f t="shared" si="134"/>
        <v>2455.6030361060893</v>
      </c>
      <c r="C250" s="299">
        <f t="shared" si="135"/>
        <v>2455.6030361063313</v>
      </c>
    </row>
    <row r="251" spans="1:12">
      <c r="A251" s="296">
        <f t="shared" si="133"/>
        <v>2001</v>
      </c>
      <c r="B251" s="299">
        <f t="shared" si="134"/>
        <v>1493.2134769863169</v>
      </c>
      <c r="C251" s="299">
        <f t="shared" si="135"/>
        <v>1493.2134769862751</v>
      </c>
    </row>
    <row r="252" spans="1:12">
      <c r="A252" s="296">
        <f t="shared" si="133"/>
        <v>2002</v>
      </c>
      <c r="B252" s="299">
        <f t="shared" si="134"/>
        <v>18092.478539328549</v>
      </c>
      <c r="C252" s="299">
        <f t="shared" si="135"/>
        <v>18092.478539328557</v>
      </c>
    </row>
    <row r="253" spans="1:12">
      <c r="A253" s="296">
        <f t="shared" si="133"/>
        <v>2003</v>
      </c>
      <c r="B253" s="299">
        <f t="shared" si="134"/>
        <v>10933.908608709768</v>
      </c>
      <c r="C253" s="299">
        <f t="shared" si="135"/>
        <v>10933.908608709578</v>
      </c>
    </row>
    <row r="254" spans="1:12">
      <c r="A254" s="296">
        <f t="shared" si="133"/>
        <v>2004</v>
      </c>
      <c r="B254" s="299">
        <f t="shared" si="134"/>
        <v>22391.023269923546</v>
      </c>
      <c r="C254" s="299">
        <f t="shared" si="135"/>
        <v>22391.023269923753</v>
      </c>
    </row>
    <row r="255" spans="1:12">
      <c r="A255" s="296">
        <f t="shared" si="133"/>
        <v>2005</v>
      </c>
      <c r="B255" s="299">
        <f t="shared" si="134"/>
        <v>22001.569235042589</v>
      </c>
      <c r="C255" s="299">
        <f t="shared" si="135"/>
        <v>22001.569235042436</v>
      </c>
    </row>
    <row r="256" spans="1:12">
      <c r="A256" s="296">
        <f t="shared" si="133"/>
        <v>2006</v>
      </c>
      <c r="B256" s="299">
        <f t="shared" si="134"/>
        <v>41795.644847154879</v>
      </c>
      <c r="C256" s="299">
        <f t="shared" si="135"/>
        <v>41795.644847155083</v>
      </c>
    </row>
    <row r="257" spans="1:12">
      <c r="A257" s="296">
        <f t="shared" si="133"/>
        <v>2007</v>
      </c>
      <c r="B257" s="299">
        <f t="shared" si="134"/>
        <v>52652.834058753557</v>
      </c>
      <c r="C257" s="299">
        <f t="shared" si="135"/>
        <v>52652.83405875368</v>
      </c>
    </row>
    <row r="258" spans="1:12">
      <c r="A258" s="296">
        <f t="shared" si="133"/>
        <v>2008</v>
      </c>
      <c r="B258" s="299">
        <f t="shared" si="134"/>
        <v>71937.286453335706</v>
      </c>
      <c r="C258" s="299">
        <f t="shared" si="135"/>
        <v>71937.286453335546</v>
      </c>
    </row>
    <row r="259" spans="1:12">
      <c r="A259" s="296">
        <f t="shared" si="133"/>
        <v>2009</v>
      </c>
      <c r="B259" s="299">
        <f t="shared" si="134"/>
        <v>39824.640164540586</v>
      </c>
      <c r="C259" s="299">
        <f t="shared" si="135"/>
        <v>39824.640164540615</v>
      </c>
    </row>
    <row r="260" spans="1:12">
      <c r="A260" s="296">
        <f t="shared" si="133"/>
        <v>2010</v>
      </c>
      <c r="B260" s="299">
        <f t="shared" si="134"/>
        <v>-14810.999999999987</v>
      </c>
      <c r="C260" s="299">
        <f t="shared" si="135"/>
        <v>-14811</v>
      </c>
    </row>
    <row r="261" spans="1:12">
      <c r="A261" s="296">
        <f t="shared" si="133"/>
        <v>2011</v>
      </c>
      <c r="B261" s="299">
        <f t="shared" si="134"/>
        <v>48983.999999999985</v>
      </c>
      <c r="C261" s="299">
        <f t="shared" si="135"/>
        <v>48984</v>
      </c>
    </row>
    <row r="262" spans="1:12" ht="13.5" thickBot="1"/>
    <row r="263" spans="1:12" ht="13.5" thickBot="1">
      <c r="A263" s="293" t="s">
        <v>387</v>
      </c>
    </row>
    <row r="264" spans="1:12" ht="51">
      <c r="A264" s="303" t="s">
        <v>388</v>
      </c>
      <c r="C264" s="294" t="s">
        <v>1</v>
      </c>
      <c r="D264" s="294" t="s">
        <v>2</v>
      </c>
      <c r="E264" s="294" t="s">
        <v>4</v>
      </c>
      <c r="F264" s="294" t="s">
        <v>5</v>
      </c>
      <c r="G264" s="294" t="s">
        <v>6</v>
      </c>
      <c r="H264" s="294" t="s">
        <v>8</v>
      </c>
      <c r="I264" s="294" t="s">
        <v>9</v>
      </c>
      <c r="J264" s="294" t="s">
        <v>10</v>
      </c>
      <c r="K264" s="305" t="s">
        <v>371</v>
      </c>
      <c r="L264" s="308" t="s">
        <v>28</v>
      </c>
    </row>
    <row r="265" spans="1:12">
      <c r="A265" s="296" t="str">
        <f>A246</f>
        <v>1996</v>
      </c>
      <c r="C265" s="294"/>
      <c r="D265" s="306"/>
      <c r="E265" s="306"/>
      <c r="F265" s="306"/>
      <c r="G265" s="306"/>
      <c r="H265" s="306"/>
      <c r="I265" s="306"/>
      <c r="J265" s="306"/>
      <c r="K265" s="306"/>
      <c r="L265" s="309"/>
    </row>
    <row r="266" spans="1:12">
      <c r="A266" s="296">
        <f>A246+1</f>
        <v>1997</v>
      </c>
      <c r="C266" s="306">
        <f>LOG(C5/C$4)-LOG(B5/B$4)</f>
        <v>5.6116442598054279E-4</v>
      </c>
      <c r="D266" s="306">
        <f>LOG(E5/E$4)-LOG(D5/D$4)</f>
        <v>-6.195816933311573E-2</v>
      </c>
      <c r="E266" s="306">
        <f>LOG(G5/G$4)-LOG(F5/F$4)</f>
        <v>-1.3572148954799808E-3</v>
      </c>
      <c r="F266" s="306">
        <f>LOG(I5/I$4)-LOG(H5/H$4)</f>
        <v>1.2551988336106409E-3</v>
      </c>
      <c r="G266" s="306">
        <f>LOG(K5/K$4)-LOG(J5/J$4)</f>
        <v>3.0054867544446542E-4</v>
      </c>
      <c r="H266" s="306">
        <f>LOG(M5/M$4)-LOG(L5/L$4)</f>
        <v>4.2718721686934268E-4</v>
      </c>
      <c r="I266" s="306">
        <f>LOG(O5/O$4)-LOG(N5/N$4)</f>
        <v>1.12328609234891E-3</v>
      </c>
      <c r="J266" s="306">
        <f>LOG(Q5/Q$4)-LOG(P5/P$4)</f>
        <v>1.5509854701625872E-3</v>
      </c>
      <c r="K266" s="306">
        <f>LOG(S5/S$4)-LOG(R5/R$4)</f>
        <v>2.1142814101162456E-3</v>
      </c>
      <c r="L266" s="315">
        <f>AVERAGE(C266:K266)</f>
        <v>-6.2203035671181094E-3</v>
      </c>
    </row>
    <row r="267" spans="1:12">
      <c r="A267" s="296">
        <f t="shared" ref="A267:A294" si="136">A247+1</f>
        <v>1998</v>
      </c>
      <c r="C267" s="306">
        <f t="shared" ref="C267:C295" si="137">LOG(C6/C$4)-LOG(B6/B$4)</f>
        <v>7.0779910714099947E-4</v>
      </c>
      <c r="D267" s="306">
        <f t="shared" ref="D267:D295" si="138">LOG(E6/E$4)-LOG(D6/D$4)</f>
        <v>-4.0255747898503835E-2</v>
      </c>
      <c r="E267" s="306">
        <f t="shared" ref="E267:E295" si="139">LOG(G6/G$4)-LOG(F6/F$4)</f>
        <v>-5.0959658199731458E-3</v>
      </c>
      <c r="F267" s="306">
        <f t="shared" ref="F267:F295" si="140">LOG(I6/I$4)-LOG(H6/H$4)</f>
        <v>-4.613717649059889E-3</v>
      </c>
      <c r="G267" s="306">
        <f t="shared" ref="G267:G295" si="141">LOG(K6/K$4)-LOG(J6/J$4)</f>
        <v>-3.4024780566445541E-3</v>
      </c>
      <c r="H267" s="306">
        <f t="shared" ref="H267:H295" si="142">LOG(M6/M$4)-LOG(L6/L$4)</f>
        <v>-3.6786871080362535E-3</v>
      </c>
      <c r="I267" s="306">
        <f t="shared" ref="I267:I295" si="143">LOG(O6/O$4)-LOG(N6/N$4)</f>
        <v>2.5886810377671182E-4</v>
      </c>
      <c r="J267" s="306">
        <f t="shared" ref="J267:J295" si="144">LOG(Q6/Q$4)-LOG(P6/P$4)</f>
        <v>-5.1279819901141367E-3</v>
      </c>
      <c r="K267" s="306">
        <f t="shared" ref="K267:K295" si="145">LOG(S6/S$4)-LOG(R6/R$4)</f>
        <v>2.2453902354465441E-3</v>
      </c>
      <c r="L267" s="315">
        <f t="shared" ref="L267:L295" si="146">AVERAGE(C267:K267)</f>
        <v>-6.5513912306630609E-3</v>
      </c>
    </row>
    <row r="268" spans="1:12">
      <c r="A268" s="296">
        <f t="shared" si="136"/>
        <v>1999</v>
      </c>
      <c r="C268" s="306">
        <f t="shared" si="137"/>
        <v>8.7698485856802129E-4</v>
      </c>
      <c r="D268" s="306">
        <f t="shared" si="138"/>
        <v>-0.12575679227601327</v>
      </c>
      <c r="E268" s="306">
        <f t="shared" si="139"/>
        <v>-7.5039875715699547E-3</v>
      </c>
      <c r="F268" s="306">
        <f t="shared" si="140"/>
        <v>-9.7198647003165495E-3</v>
      </c>
      <c r="G268" s="306">
        <f t="shared" si="141"/>
        <v>-1.3288486678712564E-2</v>
      </c>
      <c r="H268" s="306">
        <f t="shared" si="142"/>
        <v>-1.3606712520351227E-2</v>
      </c>
      <c r="I268" s="306">
        <f t="shared" si="143"/>
        <v>-9.1569578998041221E-3</v>
      </c>
      <c r="J268" s="306">
        <f t="shared" si="144"/>
        <v>-1.7103495951325438E-2</v>
      </c>
      <c r="K268" s="306">
        <f t="shared" si="145"/>
        <v>2.1195189108498547E-3</v>
      </c>
      <c r="L268" s="315">
        <f t="shared" si="146"/>
        <v>-2.1459977092075026E-2</v>
      </c>
    </row>
    <row r="269" spans="1:12">
      <c r="A269" s="296">
        <f t="shared" si="136"/>
        <v>2000</v>
      </c>
      <c r="C269" s="306">
        <f t="shared" si="137"/>
        <v>1.5166957771395283E-3</v>
      </c>
      <c r="D269" s="306">
        <f t="shared" si="138"/>
        <v>-0.17048238856345849</v>
      </c>
      <c r="E269" s="306">
        <f t="shared" si="139"/>
        <v>-7.5068721512512038E-3</v>
      </c>
      <c r="F269" s="306">
        <f t="shared" si="140"/>
        <v>-1.284785094121293E-2</v>
      </c>
      <c r="G269" s="306">
        <f t="shared" si="141"/>
        <v>-1.7964888613245123E-2</v>
      </c>
      <c r="H269" s="306">
        <f t="shared" si="142"/>
        <v>-1.9950058783200199E-2</v>
      </c>
      <c r="I269" s="306">
        <f t="shared" si="143"/>
        <v>-1.9544337285263971E-2</v>
      </c>
      <c r="J269" s="306">
        <f t="shared" si="144"/>
        <v>-2.1611787784125286E-2</v>
      </c>
      <c r="K269" s="306">
        <f t="shared" si="145"/>
        <v>2.2194651365979451E-3</v>
      </c>
      <c r="L269" s="315">
        <f t="shared" si="146"/>
        <v>-2.9574669245335528E-2</v>
      </c>
    </row>
    <row r="270" spans="1:12">
      <c r="A270" s="296">
        <f t="shared" si="136"/>
        <v>2001</v>
      </c>
      <c r="C270" s="306">
        <f t="shared" si="137"/>
        <v>-2.7284926048707428E-3</v>
      </c>
      <c r="D270" s="306">
        <f t="shared" si="138"/>
        <v>-0.19967023778549881</v>
      </c>
      <c r="E270" s="306">
        <f t="shared" si="139"/>
        <v>-7.9784653227727501E-3</v>
      </c>
      <c r="F270" s="306">
        <f t="shared" si="140"/>
        <v>-1.6903443446692753E-2</v>
      </c>
      <c r="G270" s="306">
        <f t="shared" si="141"/>
        <v>-1.5590302823734838E-2</v>
      </c>
      <c r="H270" s="306">
        <f t="shared" si="142"/>
        <v>-1.8457170725897115E-2</v>
      </c>
      <c r="I270" s="306">
        <f t="shared" si="143"/>
        <v>-2.2104496058348751E-2</v>
      </c>
      <c r="J270" s="306">
        <f t="shared" si="144"/>
        <v>-2.5410817515243142E-2</v>
      </c>
      <c r="K270" s="306">
        <f t="shared" si="145"/>
        <v>-1.9965833477782469E-3</v>
      </c>
      <c r="L270" s="315">
        <f t="shared" si="146"/>
        <v>-3.4537778847870793E-2</v>
      </c>
    </row>
    <row r="271" spans="1:12">
      <c r="A271" s="296">
        <f t="shared" si="136"/>
        <v>2002</v>
      </c>
      <c r="C271" s="306">
        <f t="shared" si="137"/>
        <v>-2.6340307032593664E-3</v>
      </c>
      <c r="D271" s="306">
        <f t="shared" si="138"/>
        <v>-0.20781317368740793</v>
      </c>
      <c r="E271" s="306">
        <f t="shared" si="139"/>
        <v>-9.0513269205741431E-3</v>
      </c>
      <c r="F271" s="306">
        <f t="shared" si="140"/>
        <v>-1.2346135186997554E-2</v>
      </c>
      <c r="G271" s="306">
        <f t="shared" si="141"/>
        <v>-1.7306235748364446E-2</v>
      </c>
      <c r="H271" s="306">
        <f t="shared" si="142"/>
        <v>-1.9711485384327071E-2</v>
      </c>
      <c r="I271" s="306">
        <f t="shared" si="143"/>
        <v>-2.9629728747003828E-2</v>
      </c>
      <c r="J271" s="306">
        <f t="shared" si="144"/>
        <v>-3.0557208887143486E-2</v>
      </c>
      <c r="K271" s="306">
        <f t="shared" si="145"/>
        <v>-5.8481829081798997E-3</v>
      </c>
      <c r="L271" s="315">
        <f t="shared" si="146"/>
        <v>-3.7210834241473076E-2</v>
      </c>
    </row>
    <row r="272" spans="1:12">
      <c r="A272" s="296">
        <f t="shared" si="136"/>
        <v>2003</v>
      </c>
      <c r="C272" s="306">
        <f t="shared" si="137"/>
        <v>-7.7889349334555377E-4</v>
      </c>
      <c r="D272" s="306">
        <f t="shared" si="138"/>
        <v>-0.18303289297479708</v>
      </c>
      <c r="E272" s="306">
        <f t="shared" si="139"/>
        <v>-9.1850926822709539E-3</v>
      </c>
      <c r="F272" s="306">
        <f t="shared" si="140"/>
        <v>-1.9991564525891677E-2</v>
      </c>
      <c r="G272" s="306">
        <f t="shared" si="141"/>
        <v>-2.0170879105517368E-2</v>
      </c>
      <c r="H272" s="306">
        <f t="shared" si="142"/>
        <v>-2.1584256185549378E-2</v>
      </c>
      <c r="I272" s="306">
        <f t="shared" si="143"/>
        <v>-2.905547005985594E-2</v>
      </c>
      <c r="J272" s="306">
        <f t="shared" si="144"/>
        <v>-3.5363671852288739E-2</v>
      </c>
      <c r="K272" s="306">
        <f t="shared" si="145"/>
        <v>-1.2698085996173294E-2</v>
      </c>
      <c r="L272" s="315">
        <f t="shared" si="146"/>
        <v>-3.6873422986187766E-2</v>
      </c>
    </row>
    <row r="273" spans="1:12">
      <c r="A273" s="296">
        <f t="shared" si="136"/>
        <v>2004</v>
      </c>
      <c r="C273" s="306">
        <f t="shared" si="137"/>
        <v>-7.1950459181597745E-3</v>
      </c>
      <c r="D273" s="306">
        <f t="shared" si="138"/>
        <v>-0.10921680907669151</v>
      </c>
      <c r="E273" s="306">
        <f t="shared" si="139"/>
        <v>-1.7089873776780062E-2</v>
      </c>
      <c r="F273" s="306">
        <f t="shared" si="140"/>
        <v>-2.5569228447085746E-2</v>
      </c>
      <c r="G273" s="306">
        <f t="shared" si="141"/>
        <v>-2.2485306908188202E-2</v>
      </c>
      <c r="H273" s="306">
        <f t="shared" si="142"/>
        <v>-2.2419125815840782E-2</v>
      </c>
      <c r="I273" s="306">
        <f t="shared" si="143"/>
        <v>-2.7022352374194723E-2</v>
      </c>
      <c r="J273" s="306">
        <f t="shared" si="144"/>
        <v>-3.892096441692805E-2</v>
      </c>
      <c r="K273" s="306">
        <f t="shared" si="145"/>
        <v>-9.8926171396989532E-3</v>
      </c>
      <c r="L273" s="315">
        <f t="shared" si="146"/>
        <v>-3.1090147097063092E-2</v>
      </c>
    </row>
    <row r="274" spans="1:12">
      <c r="A274" s="296">
        <f t="shared" si="136"/>
        <v>2005</v>
      </c>
      <c r="C274" s="306">
        <f t="shared" si="137"/>
        <v>-1.1284610314707302E-2</v>
      </c>
      <c r="D274" s="306">
        <f t="shared" si="138"/>
        <v>-9.3544928425524185E-2</v>
      </c>
      <c r="E274" s="306">
        <f t="shared" si="139"/>
        <v>-2.7031485255184347E-2</v>
      </c>
      <c r="F274" s="306">
        <f t="shared" si="140"/>
        <v>-3.2624311206590415E-2</v>
      </c>
      <c r="G274" s="306">
        <f t="shared" si="141"/>
        <v>-2.655480454765366E-2</v>
      </c>
      <c r="H274" s="306">
        <f t="shared" si="142"/>
        <v>-2.5553011777193546E-2</v>
      </c>
      <c r="I274" s="306">
        <f t="shared" si="143"/>
        <v>-2.9446648460072625E-2</v>
      </c>
      <c r="J274" s="306">
        <f t="shared" si="144"/>
        <v>-4.4224419086499156E-2</v>
      </c>
      <c r="K274" s="306">
        <f t="shared" si="145"/>
        <v>-8.5595862734392514E-3</v>
      </c>
      <c r="L274" s="315">
        <f t="shared" si="146"/>
        <v>-3.32026450385405E-2</v>
      </c>
    </row>
    <row r="275" spans="1:12">
      <c r="A275" s="296">
        <f t="shared" si="136"/>
        <v>2006</v>
      </c>
      <c r="C275" s="306">
        <f t="shared" si="137"/>
        <v>-9.3289707934866711E-3</v>
      </c>
      <c r="D275" s="306">
        <f t="shared" si="138"/>
        <v>-2.0797282633341491E-2</v>
      </c>
      <c r="E275" s="306">
        <f t="shared" si="139"/>
        <v>-3.0287825509421173E-2</v>
      </c>
      <c r="F275" s="306">
        <f t="shared" si="140"/>
        <v>-3.8431615754809426E-2</v>
      </c>
      <c r="G275" s="306">
        <f t="shared" si="141"/>
        <v>-2.7056309308865656E-2</v>
      </c>
      <c r="H275" s="306">
        <f t="shared" si="142"/>
        <v>-2.5108700163790215E-2</v>
      </c>
      <c r="I275" s="306">
        <f t="shared" si="143"/>
        <v>-2.986243228786617E-2</v>
      </c>
      <c r="J275" s="306">
        <f t="shared" si="144"/>
        <v>-4.5019595369011678E-2</v>
      </c>
      <c r="K275" s="306">
        <f t="shared" si="145"/>
        <v>-5.4717097889515065E-3</v>
      </c>
      <c r="L275" s="315">
        <f t="shared" si="146"/>
        <v>-2.5707160178838218E-2</v>
      </c>
    </row>
    <row r="276" spans="1:12">
      <c r="A276" s="296">
        <f t="shared" si="136"/>
        <v>2007</v>
      </c>
      <c r="C276" s="306">
        <f t="shared" si="137"/>
        <v>-7.7316979522825471E-3</v>
      </c>
      <c r="D276" s="306">
        <f t="shared" si="138"/>
        <v>-3.2124055863465097E-2</v>
      </c>
      <c r="E276" s="306">
        <f t="shared" si="139"/>
        <v>-3.4822559716314941E-2</v>
      </c>
      <c r="F276" s="306">
        <f t="shared" si="140"/>
        <v>-3.9036954972814376E-2</v>
      </c>
      <c r="G276" s="306">
        <f t="shared" si="141"/>
        <v>-2.5283235371523965E-2</v>
      </c>
      <c r="H276" s="306">
        <f t="shared" si="142"/>
        <v>-2.2405057786580251E-2</v>
      </c>
      <c r="I276" s="306">
        <f t="shared" si="143"/>
        <v>-3.1497350739869673E-2</v>
      </c>
      <c r="J276" s="306">
        <f t="shared" si="144"/>
        <v>-4.3592906481530358E-2</v>
      </c>
      <c r="K276" s="306">
        <f t="shared" si="145"/>
        <v>-1.1294490179460104E-3</v>
      </c>
      <c r="L276" s="315">
        <f t="shared" si="146"/>
        <v>-2.6402585322480802E-2</v>
      </c>
    </row>
    <row r="277" spans="1:12">
      <c r="A277" s="296">
        <f t="shared" si="136"/>
        <v>2008</v>
      </c>
      <c r="B277" s="306"/>
      <c r="C277" s="306">
        <f t="shared" si="137"/>
        <v>-5.7917908903031765E-3</v>
      </c>
      <c r="D277" s="306">
        <f t="shared" si="138"/>
        <v>-1.6586140099278612E-2</v>
      </c>
      <c r="E277" s="306">
        <f t="shared" si="139"/>
        <v>-3.1342639055655055E-2</v>
      </c>
      <c r="F277" s="306">
        <f t="shared" si="140"/>
        <v>-3.4560471549061222E-2</v>
      </c>
      <c r="G277" s="306">
        <f t="shared" si="141"/>
        <v>-1.8543936655532417E-2</v>
      </c>
      <c r="H277" s="306">
        <f t="shared" si="142"/>
        <v>-1.5516289651873905E-2</v>
      </c>
      <c r="I277" s="306">
        <f t="shared" si="143"/>
        <v>-2.3194140127201019E-2</v>
      </c>
      <c r="J277" s="306">
        <f t="shared" si="144"/>
        <v>-3.7357152855087117E-2</v>
      </c>
      <c r="K277" s="306">
        <f t="shared" si="145"/>
        <v>7.6343277934666776E-3</v>
      </c>
      <c r="L277" s="315">
        <f t="shared" si="146"/>
        <v>-1.9473137010058428E-2</v>
      </c>
    </row>
    <row r="278" spans="1:12">
      <c r="A278" s="296">
        <f t="shared" si="136"/>
        <v>2009</v>
      </c>
      <c r="B278" s="306"/>
      <c r="C278" s="306">
        <f t="shared" si="137"/>
        <v>1.086368643424352E-2</v>
      </c>
      <c r="D278" s="306">
        <f t="shared" si="138"/>
        <v>3.6193085976935636E-2</v>
      </c>
      <c r="E278" s="306">
        <f t="shared" si="139"/>
        <v>-3.5110465210315515E-3</v>
      </c>
      <c r="F278" s="306">
        <f t="shared" si="140"/>
        <v>2.278064825252241E-2</v>
      </c>
      <c r="G278" s="306">
        <f t="shared" si="141"/>
        <v>1.325922731319068E-3</v>
      </c>
      <c r="H278" s="306">
        <f t="shared" si="142"/>
        <v>6.2833602411849765E-3</v>
      </c>
      <c r="I278" s="306">
        <f t="shared" si="143"/>
        <v>-3.1050230560543354E-3</v>
      </c>
      <c r="J278" s="306">
        <f t="shared" si="144"/>
        <v>-1.2444575721083651E-2</v>
      </c>
      <c r="K278" s="306">
        <f t="shared" si="145"/>
        <v>1.5033463542212466E-2</v>
      </c>
      <c r="L278" s="315">
        <f t="shared" si="146"/>
        <v>8.1577246533609468E-3</v>
      </c>
    </row>
    <row r="279" spans="1:12">
      <c r="A279" s="296">
        <f t="shared" si="136"/>
        <v>2010</v>
      </c>
      <c r="B279" s="306"/>
      <c r="C279" s="306">
        <f t="shared" si="137"/>
        <v>1.2744167903633433E-2</v>
      </c>
      <c r="D279" s="306">
        <f t="shared" si="138"/>
        <v>6.6866774538569068E-2</v>
      </c>
      <c r="E279" s="306">
        <f t="shared" si="139"/>
        <v>-3.4429519852884824E-3</v>
      </c>
      <c r="F279" s="306">
        <f t="shared" si="140"/>
        <v>1.6964945230631471E-2</v>
      </c>
      <c r="G279" s="306">
        <f t="shared" si="141"/>
        <v>4.668673281757435E-3</v>
      </c>
      <c r="H279" s="306">
        <f t="shared" si="142"/>
        <v>9.425971976866232E-3</v>
      </c>
      <c r="I279" s="306">
        <f t="shared" si="143"/>
        <v>1.1664106536802034E-3</v>
      </c>
      <c r="J279" s="306">
        <f t="shared" si="144"/>
        <v>-8.3169324173605896E-3</v>
      </c>
      <c r="K279" s="306">
        <f t="shared" si="145"/>
        <v>1.9670061821979418E-2</v>
      </c>
      <c r="L279" s="315">
        <f t="shared" si="146"/>
        <v>1.3305235667163132E-2</v>
      </c>
    </row>
    <row r="280" spans="1:12" hidden="1">
      <c r="A280" s="296">
        <f t="shared" si="136"/>
        <v>2011</v>
      </c>
      <c r="B280" s="306"/>
      <c r="C280" s="306">
        <f t="shared" si="137"/>
        <v>1.3335873402106443E-2</v>
      </c>
      <c r="D280" s="306">
        <f t="shared" si="138"/>
        <v>6.3109523273211524E-2</v>
      </c>
      <c r="E280" s="306">
        <f t="shared" si="139"/>
        <v>-3.1465057445457106E-3</v>
      </c>
      <c r="F280" s="306">
        <f t="shared" si="140"/>
        <v>2.2593371457819204E-2</v>
      </c>
      <c r="G280" s="306">
        <f t="shared" si="141"/>
        <v>8.7401747932726592E-3</v>
      </c>
      <c r="H280" s="306">
        <f t="shared" si="142"/>
        <v>1.3759101162918452E-2</v>
      </c>
      <c r="I280" s="306">
        <f t="shared" si="143"/>
        <v>5.3642473881833491E-3</v>
      </c>
      <c r="J280" s="306">
        <f t="shared" si="144"/>
        <v>-3.3949487972869119E-3</v>
      </c>
      <c r="K280" s="306">
        <f t="shared" si="145"/>
        <v>2.4037977393303128E-2</v>
      </c>
      <c r="L280" s="315">
        <f t="shared" si="146"/>
        <v>1.6044312703220237E-2</v>
      </c>
    </row>
    <row r="281" spans="1:12" hidden="1">
      <c r="A281" s="296">
        <f t="shared" si="136"/>
        <v>2012</v>
      </c>
      <c r="B281" s="306"/>
      <c r="C281" s="306" t="e">
        <f t="shared" si="137"/>
        <v>#NUM!</v>
      </c>
      <c r="D281" s="306" t="e">
        <f t="shared" si="138"/>
        <v>#NUM!</v>
      </c>
      <c r="E281" s="306" t="e">
        <f t="shared" si="139"/>
        <v>#NUM!</v>
      </c>
      <c r="F281" s="306" t="e">
        <f t="shared" si="140"/>
        <v>#NUM!</v>
      </c>
      <c r="G281" s="306" t="e">
        <f t="shared" si="141"/>
        <v>#NUM!</v>
      </c>
      <c r="H281" s="306" t="e">
        <f t="shared" si="142"/>
        <v>#NUM!</v>
      </c>
      <c r="I281" s="306" t="e">
        <f t="shared" si="143"/>
        <v>#NUM!</v>
      </c>
      <c r="J281" s="306" t="e">
        <f t="shared" si="144"/>
        <v>#NUM!</v>
      </c>
      <c r="K281" s="306" t="e">
        <f t="shared" si="145"/>
        <v>#NUM!</v>
      </c>
      <c r="L281" s="315" t="e">
        <f t="shared" si="146"/>
        <v>#NUM!</v>
      </c>
    </row>
    <row r="282" spans="1:12" hidden="1">
      <c r="A282" s="296">
        <f t="shared" si="136"/>
        <v>1</v>
      </c>
      <c r="B282" s="306"/>
      <c r="C282" s="306" t="e">
        <f t="shared" si="137"/>
        <v>#NUM!</v>
      </c>
      <c r="D282" s="306" t="e">
        <f t="shared" si="138"/>
        <v>#NUM!</v>
      </c>
      <c r="E282" s="306" t="e">
        <f t="shared" si="139"/>
        <v>#NUM!</v>
      </c>
      <c r="F282" s="306" t="e">
        <f t="shared" si="140"/>
        <v>#NUM!</v>
      </c>
      <c r="G282" s="306" t="e">
        <f t="shared" si="141"/>
        <v>#NUM!</v>
      </c>
      <c r="H282" s="306" t="e">
        <f t="shared" si="142"/>
        <v>#NUM!</v>
      </c>
      <c r="I282" s="306" t="e">
        <f t="shared" si="143"/>
        <v>#NUM!</v>
      </c>
      <c r="J282" s="306" t="e">
        <f t="shared" si="144"/>
        <v>#NUM!</v>
      </c>
      <c r="K282" s="306" t="e">
        <f t="shared" si="145"/>
        <v>#NUM!</v>
      </c>
      <c r="L282" s="315" t="e">
        <f t="shared" si="146"/>
        <v>#NUM!</v>
      </c>
    </row>
    <row r="283" spans="1:12" hidden="1">
      <c r="A283" s="296" t="e">
        <f t="shared" si="136"/>
        <v>#VALUE!</v>
      </c>
      <c r="B283" s="306"/>
      <c r="C283" s="306" t="e">
        <f t="shared" si="137"/>
        <v>#VALUE!</v>
      </c>
      <c r="D283" s="306" t="e">
        <f t="shared" si="138"/>
        <v>#VALUE!</v>
      </c>
      <c r="E283" s="306" t="e">
        <f t="shared" si="139"/>
        <v>#VALUE!</v>
      </c>
      <c r="F283" s="306" t="e">
        <f t="shared" si="140"/>
        <v>#VALUE!</v>
      </c>
      <c r="G283" s="306" t="e">
        <f t="shared" si="141"/>
        <v>#VALUE!</v>
      </c>
      <c r="H283" s="306" t="e">
        <f t="shared" si="142"/>
        <v>#VALUE!</v>
      </c>
      <c r="I283" s="306" t="e">
        <f t="shared" si="143"/>
        <v>#VALUE!</v>
      </c>
      <c r="J283" s="306" t="e">
        <f t="shared" si="144"/>
        <v>#VALUE!</v>
      </c>
      <c r="K283" s="306" t="e">
        <f t="shared" si="145"/>
        <v>#VALUE!</v>
      </c>
      <c r="L283" s="315" t="e">
        <f t="shared" si="146"/>
        <v>#VALUE!</v>
      </c>
    </row>
    <row r="284" spans="1:12" hidden="1">
      <c r="A284" s="296" t="e">
        <f t="shared" si="136"/>
        <v>#VALUE!</v>
      </c>
      <c r="B284" s="306"/>
      <c r="C284" s="306">
        <f t="shared" si="137"/>
        <v>0.3370074342050946</v>
      </c>
      <c r="D284" s="306">
        <f t="shared" si="138"/>
        <v>0.437565648467102</v>
      </c>
      <c r="E284" s="306">
        <f t="shared" si="139"/>
        <v>1.1244917843448388E-2</v>
      </c>
      <c r="F284" s="306">
        <f t="shared" si="140"/>
        <v>0.15313186734577</v>
      </c>
      <c r="G284" s="306">
        <f t="shared" si="141"/>
        <v>0.21010796771841367</v>
      </c>
      <c r="H284" s="306">
        <f t="shared" si="142"/>
        <v>0.19717861375182277</v>
      </c>
      <c r="I284" s="306">
        <f t="shared" si="143"/>
        <v>0.17111016225400988</v>
      </c>
      <c r="J284" s="306">
        <f t="shared" si="144"/>
        <v>3.085303733941247E-2</v>
      </c>
      <c r="K284" s="306">
        <f t="shared" si="145"/>
        <v>1.5475983751414013E-3</v>
      </c>
      <c r="L284" s="315">
        <f t="shared" si="146"/>
        <v>0.1721941385889128</v>
      </c>
    </row>
    <row r="285" spans="1:12" hidden="1">
      <c r="A285" s="296">
        <f t="shared" si="136"/>
        <v>1997</v>
      </c>
      <c r="B285" s="306"/>
      <c r="C285" s="306">
        <f t="shared" si="137"/>
        <v>0.33166658702158447</v>
      </c>
      <c r="D285" s="306">
        <f t="shared" si="138"/>
        <v>0.43499102589811312</v>
      </c>
      <c r="E285" s="306">
        <f t="shared" si="139"/>
        <v>1.1026544451703923E-2</v>
      </c>
      <c r="F285" s="306">
        <f t="shared" si="140"/>
        <v>0.15119200287390822</v>
      </c>
      <c r="G285" s="306">
        <f t="shared" si="141"/>
        <v>0.21951644934234205</v>
      </c>
      <c r="H285" s="306">
        <f t="shared" si="142"/>
        <v>0.1977987724598691</v>
      </c>
      <c r="I285" s="306">
        <f t="shared" si="143"/>
        <v>0.16278924781790272</v>
      </c>
      <c r="J285" s="306">
        <f t="shared" si="144"/>
        <v>2.8900870525097933E-2</v>
      </c>
      <c r="K285" s="306">
        <f t="shared" si="145"/>
        <v>-8.5394506034215389E-3</v>
      </c>
      <c r="L285" s="315">
        <f t="shared" si="146"/>
        <v>0.1699268944207889</v>
      </c>
    </row>
    <row r="286" spans="1:12" hidden="1">
      <c r="A286" s="296">
        <f t="shared" si="136"/>
        <v>1998</v>
      </c>
      <c r="B286" s="306"/>
      <c r="C286" s="306">
        <f t="shared" si="137"/>
        <v>0.3591552922190886</v>
      </c>
      <c r="D286" s="306">
        <f t="shared" si="138"/>
        <v>0.42952954769417184</v>
      </c>
      <c r="E286" s="306">
        <f t="shared" si="139"/>
        <v>9.9203526496740579E-3</v>
      </c>
      <c r="F286" s="306">
        <f t="shared" si="140"/>
        <v>0.15208994719389279</v>
      </c>
      <c r="G286" s="306">
        <f t="shared" si="141"/>
        <v>0.19409585040823885</v>
      </c>
      <c r="H286" s="306">
        <f t="shared" si="142"/>
        <v>0.19589711775219953</v>
      </c>
      <c r="I286" s="306">
        <f t="shared" si="143"/>
        <v>0.15874466465578729</v>
      </c>
      <c r="J286" s="306">
        <f t="shared" si="144"/>
        <v>2.9395424750823462E-2</v>
      </c>
      <c r="K286" s="306">
        <f t="shared" si="145"/>
        <v>5.1805073436472782E-4</v>
      </c>
      <c r="L286" s="315">
        <f t="shared" si="146"/>
        <v>0.16992736089536012</v>
      </c>
    </row>
    <row r="287" spans="1:12" hidden="1">
      <c r="A287" s="296">
        <f t="shared" si="136"/>
        <v>1999</v>
      </c>
      <c r="B287" s="306"/>
      <c r="C287" s="306">
        <f t="shared" si="137"/>
        <v>0.32171903460474716</v>
      </c>
      <c r="D287" s="306">
        <f t="shared" si="138"/>
        <v>0.29587874807956949</v>
      </c>
      <c r="E287" s="306">
        <f t="shared" si="139"/>
        <v>1.421663398245343E-2</v>
      </c>
      <c r="F287" s="306">
        <f t="shared" si="140"/>
        <v>0.15463763643913975</v>
      </c>
      <c r="G287" s="306">
        <f t="shared" si="141"/>
        <v>0.17461038877280588</v>
      </c>
      <c r="H287" s="306">
        <f t="shared" si="142"/>
        <v>0.19401719634296999</v>
      </c>
      <c r="I287" s="306">
        <f t="shared" si="143"/>
        <v>0.15189007238924024</v>
      </c>
      <c r="J287" s="306">
        <f t="shared" si="144"/>
        <v>3.3370839213517023E-2</v>
      </c>
      <c r="K287" s="306">
        <f t="shared" si="145"/>
        <v>-6.9344874078396401E-3</v>
      </c>
      <c r="L287" s="315">
        <f t="shared" si="146"/>
        <v>0.14815622915740037</v>
      </c>
    </row>
    <row r="288" spans="1:12" hidden="1">
      <c r="A288" s="296">
        <f t="shared" si="136"/>
        <v>2000</v>
      </c>
      <c r="B288" s="306"/>
      <c r="C288" s="306">
        <f t="shared" si="137"/>
        <v>0.31754104934041139</v>
      </c>
      <c r="D288" s="306">
        <f t="shared" si="138"/>
        <v>0.28931918782117094</v>
      </c>
      <c r="E288" s="306">
        <f t="shared" si="139"/>
        <v>1.6220094522673811E-2</v>
      </c>
      <c r="F288" s="306">
        <f t="shared" si="140"/>
        <v>0.16618236928835373</v>
      </c>
      <c r="G288" s="306">
        <f t="shared" si="141"/>
        <v>0.16757761756590517</v>
      </c>
      <c r="H288" s="306">
        <f t="shared" si="142"/>
        <v>0.194789851070444</v>
      </c>
      <c r="I288" s="306">
        <f t="shared" si="143"/>
        <v>0.14445111780030917</v>
      </c>
      <c r="J288" s="306">
        <f t="shared" si="144"/>
        <v>2.4979014999464422E-2</v>
      </c>
      <c r="K288" s="306">
        <f t="shared" si="145"/>
        <v>-4.1226378507230876E-3</v>
      </c>
      <c r="L288" s="315">
        <f t="shared" si="146"/>
        <v>0.14632640717311218</v>
      </c>
    </row>
    <row r="289" spans="1:15" hidden="1">
      <c r="A289" s="296">
        <f t="shared" si="136"/>
        <v>2001</v>
      </c>
      <c r="B289" s="306"/>
      <c r="C289" s="306">
        <f t="shared" si="137"/>
        <v>0.3313067908664713</v>
      </c>
      <c r="D289" s="306">
        <f t="shared" si="138"/>
        <v>0.26702801500736273</v>
      </c>
      <c r="E289" s="306">
        <f t="shared" si="139"/>
        <v>1.5263235011965914E-2</v>
      </c>
      <c r="F289" s="306">
        <f t="shared" si="140"/>
        <v>0.18179322451065261</v>
      </c>
      <c r="G289" s="306">
        <f t="shared" si="141"/>
        <v>0.27404020037423971</v>
      </c>
      <c r="H289" s="306">
        <f t="shared" si="142"/>
        <v>0.21896398498403258</v>
      </c>
      <c r="I289" s="306">
        <f t="shared" si="143"/>
        <v>0.13788904773201827</v>
      </c>
      <c r="J289" s="306">
        <f t="shared" si="144"/>
        <v>1.5000056190139777E-2</v>
      </c>
      <c r="K289" s="306">
        <f t="shared" si="145"/>
        <v>1.9068242463036178E-3</v>
      </c>
      <c r="L289" s="315">
        <f t="shared" si="146"/>
        <v>0.16035459765813184</v>
      </c>
    </row>
    <row r="290" spans="1:15" hidden="1">
      <c r="A290" s="296">
        <f t="shared" si="136"/>
        <v>2002</v>
      </c>
      <c r="B290" s="306"/>
      <c r="C290" s="306">
        <f t="shared" si="137"/>
        <v>0.32300192622386459</v>
      </c>
      <c r="D290" s="306">
        <f t="shared" si="138"/>
        <v>0.2138150908834362</v>
      </c>
      <c r="E290" s="306">
        <f t="shared" si="139"/>
        <v>1.4562342332685052E-2</v>
      </c>
      <c r="F290" s="306">
        <f t="shared" si="140"/>
        <v>0.20678479902815594</v>
      </c>
      <c r="G290" s="306">
        <f t="shared" si="141"/>
        <v>0.14720523720994527</v>
      </c>
      <c r="H290" s="306">
        <f t="shared" si="142"/>
        <v>0.21961179099063477</v>
      </c>
      <c r="I290" s="306">
        <f t="shared" si="143"/>
        <v>0.13930378359353579</v>
      </c>
      <c r="J290" s="306">
        <f t="shared" si="144"/>
        <v>9.9861383776125301E-3</v>
      </c>
      <c r="K290" s="306">
        <f t="shared" si="145"/>
        <v>1.2460095510542502E-3</v>
      </c>
      <c r="L290" s="315">
        <f t="shared" si="146"/>
        <v>0.14172412424343606</v>
      </c>
    </row>
    <row r="291" spans="1:15" hidden="1">
      <c r="A291" s="296">
        <f t="shared" si="136"/>
        <v>2003</v>
      </c>
      <c r="B291" s="306"/>
      <c r="C291" s="306">
        <f t="shared" si="137"/>
        <v>0.34179391719149255</v>
      </c>
      <c r="D291" s="306">
        <f t="shared" si="138"/>
        <v>0.22395023547061932</v>
      </c>
      <c r="E291" s="306">
        <f t="shared" si="139"/>
        <v>1.7141997063384373E-2</v>
      </c>
      <c r="F291" s="306">
        <f t="shared" si="140"/>
        <v>0.14120110614037351</v>
      </c>
      <c r="G291" s="306">
        <f t="shared" si="141"/>
        <v>0.1354153997423202</v>
      </c>
      <c r="H291" s="306">
        <f t="shared" si="142"/>
        <v>0.22291428363694354</v>
      </c>
      <c r="I291" s="306">
        <f t="shared" si="143"/>
        <v>0.14190535295104301</v>
      </c>
      <c r="J291" s="306">
        <f t="shared" si="144"/>
        <v>1.3239222345593049E-2</v>
      </c>
      <c r="K291" s="306">
        <f t="shared" si="145"/>
        <v>5.2440947437837337E-5</v>
      </c>
      <c r="L291" s="315">
        <f t="shared" si="146"/>
        <v>0.13751266172102306</v>
      </c>
    </row>
    <row r="292" spans="1:15" hidden="1">
      <c r="A292" s="296">
        <f t="shared" si="136"/>
        <v>2004</v>
      </c>
      <c r="B292" s="306"/>
      <c r="C292" s="306">
        <f t="shared" si="137"/>
        <v>0.3394742382947169</v>
      </c>
      <c r="D292" s="306">
        <f t="shared" si="138"/>
        <v>0.22603705275339081</v>
      </c>
      <c r="E292" s="306">
        <f t="shared" si="139"/>
        <v>1.6325541096313234E-2</v>
      </c>
      <c r="F292" s="306">
        <f t="shared" si="140"/>
        <v>0.14332583025122503</v>
      </c>
      <c r="G292" s="306">
        <f t="shared" si="141"/>
        <v>0.13647671748555656</v>
      </c>
      <c r="H292" s="306">
        <f t="shared" si="142"/>
        <v>0.22300566774471298</v>
      </c>
      <c r="I292" s="306">
        <f t="shared" si="143"/>
        <v>0.14019837109227806</v>
      </c>
      <c r="J292" s="306">
        <f t="shared" si="144"/>
        <v>1.3926963942486381E-2</v>
      </c>
      <c r="K292" s="306">
        <f t="shared" si="145"/>
        <v>-1.5055200697462467E-3</v>
      </c>
      <c r="L292" s="315">
        <f t="shared" si="146"/>
        <v>0.13747387362121485</v>
      </c>
    </row>
    <row r="293" spans="1:15" hidden="1">
      <c r="A293" s="296">
        <f t="shared" si="136"/>
        <v>2005</v>
      </c>
      <c r="B293" s="306"/>
      <c r="C293" s="306">
        <f t="shared" si="137"/>
        <v>0.30122472939120071</v>
      </c>
      <c r="D293" s="306">
        <f t="shared" si="138"/>
        <v>0.19352875498295452</v>
      </c>
      <c r="E293" s="306">
        <f t="shared" si="139"/>
        <v>1.6153871868135106E-2</v>
      </c>
      <c r="F293" s="306">
        <f t="shared" si="140"/>
        <v>0.14803314127285061</v>
      </c>
      <c r="G293" s="306">
        <f t="shared" si="141"/>
        <v>0.14271091383559487</v>
      </c>
      <c r="H293" s="306">
        <f t="shared" si="142"/>
        <v>0.22057070335201345</v>
      </c>
      <c r="I293" s="306">
        <f t="shared" si="143"/>
        <v>0.14273913056621002</v>
      </c>
      <c r="J293" s="306">
        <f t="shared" si="144"/>
        <v>3.345353236373505E-2</v>
      </c>
      <c r="K293" s="306">
        <f t="shared" si="145"/>
        <v>-1.6369358907333265E-3</v>
      </c>
      <c r="L293" s="315">
        <f t="shared" si="146"/>
        <v>0.13297531574910679</v>
      </c>
    </row>
    <row r="294" spans="1:15" hidden="1">
      <c r="A294" s="296">
        <f t="shared" si="136"/>
        <v>2006</v>
      </c>
      <c r="B294" s="306"/>
      <c r="C294" s="306">
        <f t="shared" si="137"/>
        <v>0.32839228411109644</v>
      </c>
      <c r="D294" s="306">
        <f t="shared" si="138"/>
        <v>0.1813374144325941</v>
      </c>
      <c r="E294" s="306">
        <f t="shared" si="139"/>
        <v>1.4496027686448976E-2</v>
      </c>
      <c r="F294" s="306">
        <f t="shared" si="140"/>
        <v>0.14751186613727363</v>
      </c>
      <c r="G294" s="306">
        <f t="shared" si="141"/>
        <v>0.13140745605149284</v>
      </c>
      <c r="H294" s="306">
        <f t="shared" si="142"/>
        <v>0.22227671450523756</v>
      </c>
      <c r="I294" s="306">
        <f t="shared" si="143"/>
        <v>0.14307517949164694</v>
      </c>
      <c r="J294" s="306">
        <f t="shared" si="144"/>
        <v>2.5591054476328701E-2</v>
      </c>
      <c r="K294" s="306">
        <f t="shared" si="145"/>
        <v>-1.4149515423942383E-3</v>
      </c>
      <c r="L294" s="315">
        <f t="shared" si="146"/>
        <v>0.13251922726108056</v>
      </c>
    </row>
    <row r="295" spans="1:15" ht="13.5" thickBot="1">
      <c r="A295" s="296">
        <f>A261</f>
        <v>2011</v>
      </c>
      <c r="C295" s="306">
        <f t="shared" si="137"/>
        <v>0.33427456101113107</v>
      </c>
      <c r="D295" s="306">
        <f t="shared" si="138"/>
        <v>0.1921358671154656</v>
      </c>
      <c r="E295" s="306">
        <f t="shared" si="139"/>
        <v>1.4713432121348902E-2</v>
      </c>
      <c r="F295" s="306">
        <f t="shared" si="140"/>
        <v>0.14728045579013616</v>
      </c>
      <c r="G295" s="306">
        <f t="shared" si="141"/>
        <v>0.12917374094903078</v>
      </c>
      <c r="H295" s="306">
        <f t="shared" si="142"/>
        <v>0.22335804816469151</v>
      </c>
      <c r="I295" s="306">
        <f t="shared" si="143"/>
        <v>0.1452057363519077</v>
      </c>
      <c r="J295" s="306">
        <f t="shared" si="144"/>
        <v>2.5127780836729841E-2</v>
      </c>
      <c r="K295" s="306">
        <f t="shared" si="145"/>
        <v>-6.6422277296762644E-4</v>
      </c>
      <c r="L295" s="316">
        <f t="shared" si="146"/>
        <v>0.13451171106305265</v>
      </c>
    </row>
    <row r="297" spans="1:15" hidden="1"/>
    <row r="298" spans="1:15" hidden="1">
      <c r="A298" s="324" t="s">
        <v>402</v>
      </c>
      <c r="B298" s="317" t="s">
        <v>277</v>
      </c>
      <c r="C298" s="317" t="s">
        <v>280</v>
      </c>
      <c r="D298" s="317" t="s">
        <v>18</v>
      </c>
      <c r="E298" s="317" t="s">
        <v>363</v>
      </c>
      <c r="F298" s="317" t="s">
        <v>365</v>
      </c>
      <c r="G298" s="317" t="s">
        <v>366</v>
      </c>
      <c r="H298" s="317" t="s">
        <v>367</v>
      </c>
      <c r="I298" s="317" t="s">
        <v>368</v>
      </c>
      <c r="J298" s="317">
        <v>2009</v>
      </c>
      <c r="K298" s="318"/>
      <c r="L298" s="318"/>
      <c r="M298" s="318"/>
      <c r="N298" s="318"/>
      <c r="O298" s="318"/>
    </row>
    <row r="299" spans="1:15" hidden="1">
      <c r="A299" s="320" t="s">
        <v>391</v>
      </c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</row>
    <row r="300" spans="1:15" hidden="1">
      <c r="A300" s="320" t="s">
        <v>393</v>
      </c>
      <c r="B300" s="301">
        <v>0.97258475612515694</v>
      </c>
      <c r="C300" s="301">
        <v>0.99183534538010509</v>
      </c>
      <c r="D300" s="301">
        <v>1.0039346275228893</v>
      </c>
      <c r="E300" s="301">
        <v>1.0205804567863117</v>
      </c>
      <c r="F300" s="301">
        <v>1.0175802290498082</v>
      </c>
      <c r="G300" s="301">
        <v>1.0235518733146196</v>
      </c>
      <c r="H300" s="301">
        <v>1.0267615095480365</v>
      </c>
      <c r="I300" s="301">
        <v>1.0138628217620365</v>
      </c>
      <c r="J300" s="301">
        <v>0.98958535883134569</v>
      </c>
      <c r="K300" s="325"/>
      <c r="L300" s="325"/>
      <c r="M300" s="325"/>
      <c r="N300" s="325"/>
      <c r="O300" s="325"/>
    </row>
    <row r="301" spans="1:15" hidden="1">
      <c r="A301" s="320" t="s">
        <v>394</v>
      </c>
      <c r="B301" s="301">
        <v>0.16137512420212141</v>
      </c>
      <c r="C301" s="301">
        <v>0.12294611260468939</v>
      </c>
      <c r="D301" s="301">
        <v>0.10385773136024244</v>
      </c>
      <c r="E301" s="301">
        <v>0.11130080619322726</v>
      </c>
      <c r="F301" s="301">
        <v>0.13971396878633524</v>
      </c>
      <c r="G301" s="301">
        <v>0.16542210092401485</v>
      </c>
      <c r="H301" s="301">
        <v>0.1610565193948143</v>
      </c>
      <c r="I301" s="301">
        <v>0.16411154560048696</v>
      </c>
      <c r="J301" s="301">
        <v>0.16453531860943998</v>
      </c>
      <c r="K301" s="325"/>
      <c r="L301" s="325"/>
      <c r="M301" s="325"/>
      <c r="N301" s="325"/>
      <c r="O301" s="325"/>
    </row>
    <row r="302" spans="1:15" hidden="1">
      <c r="A302" s="323" t="s">
        <v>63</v>
      </c>
      <c r="B302" s="301"/>
      <c r="C302" s="301"/>
      <c r="D302" s="301"/>
      <c r="E302" s="301"/>
      <c r="F302" s="301"/>
      <c r="G302" s="301"/>
      <c r="H302" s="301"/>
      <c r="I302" s="301"/>
      <c r="J302" s="301"/>
      <c r="K302" s="325"/>
      <c r="L302" s="325"/>
      <c r="M302" s="325"/>
      <c r="N302" s="325"/>
      <c r="O302" s="325"/>
    </row>
    <row r="303" spans="1:15" hidden="1">
      <c r="A303" s="320" t="s">
        <v>395</v>
      </c>
      <c r="B303" s="301">
        <v>1.4744370192694616</v>
      </c>
      <c r="C303" s="301">
        <v>1.4748921383483744</v>
      </c>
      <c r="D303" s="301">
        <v>1.4997370542689068</v>
      </c>
      <c r="E303" s="301">
        <v>1.5176272044733021</v>
      </c>
      <c r="F303" s="301">
        <v>1.4877649608926242</v>
      </c>
      <c r="G303" s="301">
        <v>1.478501401368395</v>
      </c>
      <c r="H303" s="301">
        <v>1.4616913325133916</v>
      </c>
      <c r="I303" s="301">
        <v>1.4477591955701583</v>
      </c>
      <c r="J303" s="301">
        <v>1.4719371394810514</v>
      </c>
      <c r="K303" s="325"/>
      <c r="L303" s="325"/>
      <c r="M303" s="325"/>
      <c r="N303" s="325"/>
      <c r="O303" s="325"/>
    </row>
    <row r="304" spans="1:15" hidden="1">
      <c r="A304" s="320" t="s">
        <v>396</v>
      </c>
      <c r="B304" s="301">
        <v>0.88344502644116729</v>
      </c>
      <c r="C304" s="301">
        <v>0.87921885616701045</v>
      </c>
      <c r="D304" s="301">
        <v>0.89178979750839338</v>
      </c>
      <c r="E304" s="301">
        <v>0.8869416227443252</v>
      </c>
      <c r="F304" s="301">
        <v>0.88003467966994675</v>
      </c>
      <c r="G304" s="301">
        <v>0.86952722433536722</v>
      </c>
      <c r="H304" s="301">
        <v>0.86769965903731472</v>
      </c>
      <c r="I304" s="301">
        <v>0.86173086570062607</v>
      </c>
      <c r="J304" s="301">
        <v>0.85113994149162875</v>
      </c>
      <c r="K304" s="325"/>
      <c r="L304" s="325"/>
      <c r="M304" s="325"/>
      <c r="N304" s="325"/>
      <c r="O304" s="325"/>
    </row>
    <row r="305" spans="1:25" hidden="1">
      <c r="A305" s="320" t="s">
        <v>397</v>
      </c>
      <c r="B305" s="301">
        <v>0.77149198552647202</v>
      </c>
      <c r="C305" s="301">
        <v>0.76151992395829782</v>
      </c>
      <c r="D305" s="301">
        <v>0.76995612141116598</v>
      </c>
      <c r="E305" s="301">
        <v>0.77424859935434565</v>
      </c>
      <c r="F305" s="301">
        <v>0.77923201271272757</v>
      </c>
      <c r="G305" s="301">
        <v>0.77924934257569367</v>
      </c>
      <c r="H305" s="301">
        <v>0.78168842635512592</v>
      </c>
      <c r="I305" s="301">
        <v>0.7802729667389573</v>
      </c>
      <c r="J305" s="301">
        <v>0.7751498391798971</v>
      </c>
      <c r="K305" s="325"/>
      <c r="L305" s="325"/>
      <c r="M305" s="325"/>
      <c r="N305" s="325"/>
      <c r="O305" s="325"/>
    </row>
    <row r="306" spans="1:25" hidden="1">
      <c r="A306" s="323" t="s">
        <v>392</v>
      </c>
      <c r="B306" s="301"/>
      <c r="C306" s="301"/>
      <c r="D306" s="301"/>
      <c r="E306" s="301"/>
      <c r="F306" s="301"/>
      <c r="G306" s="301"/>
      <c r="H306" s="301"/>
      <c r="I306" s="301"/>
      <c r="J306" s="301"/>
      <c r="K306" s="325"/>
      <c r="L306" s="325"/>
      <c r="M306" s="325"/>
      <c r="N306" s="325"/>
      <c r="O306" s="325"/>
    </row>
    <row r="307" spans="1:25" hidden="1">
      <c r="A307" s="320" t="s">
        <v>398</v>
      </c>
      <c r="B307" s="301">
        <v>0.73482134576373459</v>
      </c>
      <c r="C307" s="301">
        <v>0.7247925163013631</v>
      </c>
      <c r="D307" s="301">
        <v>0.72930660365738353</v>
      </c>
      <c r="E307" s="301">
        <v>0.735040882120785</v>
      </c>
      <c r="F307" s="301">
        <v>0.74387608494558999</v>
      </c>
      <c r="G307" s="301">
        <v>0.74551731667546484</v>
      </c>
      <c r="H307" s="301">
        <v>0.74949976488858183</v>
      </c>
      <c r="I307" s="301">
        <v>0.74850724028722571</v>
      </c>
      <c r="J307" s="301">
        <v>0.74392721536945883</v>
      </c>
      <c r="K307" s="325"/>
      <c r="L307" s="325"/>
      <c r="M307" s="325"/>
      <c r="N307" s="325"/>
      <c r="O307" s="325"/>
    </row>
    <row r="308" spans="1:25" hidden="1">
      <c r="A308" s="320" t="s">
        <v>399</v>
      </c>
      <c r="B308" s="301">
        <v>1.1146716728129447</v>
      </c>
      <c r="C308" s="301">
        <v>1.1097788780255704</v>
      </c>
      <c r="D308" s="301">
        <v>1.0754015428073711</v>
      </c>
      <c r="E308" s="301">
        <v>1.095961304135644</v>
      </c>
      <c r="F308" s="301">
        <v>1.1183138570834168</v>
      </c>
      <c r="G308" s="301">
        <v>1.1186516394747901</v>
      </c>
      <c r="H308" s="301">
        <v>1.113580153501168</v>
      </c>
      <c r="I308" s="301">
        <v>1.1159207264088982</v>
      </c>
      <c r="J308" s="301">
        <v>1.0870638920164284</v>
      </c>
      <c r="K308" s="325"/>
      <c r="L308" s="325"/>
      <c r="M308" s="325"/>
      <c r="N308" s="325"/>
      <c r="O308" s="325"/>
    </row>
    <row r="309" spans="1:25" hidden="1">
      <c r="A309" s="320" t="s">
        <v>400</v>
      </c>
      <c r="B309" s="301">
        <v>0.93753491543905321</v>
      </c>
      <c r="C309" s="301">
        <v>0.91732570488469833</v>
      </c>
      <c r="D309" s="301">
        <v>0.90756483796010623</v>
      </c>
      <c r="E309" s="301">
        <v>0.90854647134957689</v>
      </c>
      <c r="F309" s="301">
        <v>0.90919806587658225</v>
      </c>
      <c r="G309" s="301">
        <v>0.90866082947102644</v>
      </c>
      <c r="H309" s="301">
        <v>0.91080083943735135</v>
      </c>
      <c r="I309" s="301">
        <v>0.90799758801090547</v>
      </c>
      <c r="J309" s="301">
        <v>0.90028683558566724</v>
      </c>
      <c r="K309" s="325"/>
      <c r="L309" s="325"/>
      <c r="M309" s="325"/>
      <c r="N309" s="325"/>
      <c r="O309" s="325"/>
    </row>
    <row r="310" spans="1:25" hidden="1">
      <c r="A310" s="321" t="s">
        <v>401</v>
      </c>
      <c r="B310" s="322">
        <v>1.0524250694774702</v>
      </c>
      <c r="C310" s="322">
        <v>1.0763399609124646</v>
      </c>
      <c r="D310" s="322">
        <v>1.0783957606700736</v>
      </c>
      <c r="E310" s="322">
        <v>1.0744954902662327</v>
      </c>
      <c r="F310" s="322">
        <v>1.1079979007240524</v>
      </c>
      <c r="G310" s="322">
        <v>1.1172875605514296</v>
      </c>
      <c r="H310" s="322">
        <v>1.1276405342762406</v>
      </c>
      <c r="I310" s="322">
        <v>1.1308827107407144</v>
      </c>
      <c r="J310" s="322">
        <v>1.1236761697126401</v>
      </c>
      <c r="K310" s="325"/>
      <c r="L310" s="325"/>
      <c r="M310" s="325"/>
      <c r="N310" s="325"/>
      <c r="O310" s="325"/>
    </row>
    <row r="311" spans="1:25" hidden="1"/>
    <row r="312" spans="1:25" hidden="1">
      <c r="A312" s="324" t="s">
        <v>402</v>
      </c>
      <c r="B312" s="317" t="s">
        <v>277</v>
      </c>
      <c r="C312" s="317" t="s">
        <v>280</v>
      </c>
      <c r="D312" s="317" t="s">
        <v>18</v>
      </c>
      <c r="E312" s="317" t="s">
        <v>363</v>
      </c>
      <c r="F312" s="317" t="s">
        <v>365</v>
      </c>
      <c r="G312" s="317" t="s">
        <v>366</v>
      </c>
      <c r="H312" s="317" t="s">
        <v>367</v>
      </c>
      <c r="I312" s="317" t="s">
        <v>368</v>
      </c>
      <c r="J312" s="317">
        <v>2009</v>
      </c>
    </row>
    <row r="313" spans="1:25" hidden="1">
      <c r="A313" s="320" t="s">
        <v>391</v>
      </c>
      <c r="B313" s="318"/>
      <c r="C313" s="318"/>
      <c r="D313" s="318"/>
      <c r="E313" s="318"/>
      <c r="F313" s="318"/>
      <c r="G313" s="318"/>
      <c r="H313" s="318"/>
      <c r="I313" s="318"/>
      <c r="J313" s="318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</row>
    <row r="314" spans="1:25" hidden="1">
      <c r="A314" s="320" t="s">
        <v>393</v>
      </c>
      <c r="B314" s="299">
        <v>-3380.7552760143685</v>
      </c>
      <c r="C314" s="299">
        <v>-965.4337561004603</v>
      </c>
      <c r="D314" s="299">
        <v>491.50061601637833</v>
      </c>
      <c r="E314" s="299">
        <v>2460.8345716076578</v>
      </c>
      <c r="F314" s="299">
        <v>1762.9405378980612</v>
      </c>
      <c r="G314" s="299">
        <v>2307.9100853462705</v>
      </c>
      <c r="H314" s="299">
        <v>2834.1853614603647</v>
      </c>
      <c r="I314" s="299">
        <v>1476.2386080584261</v>
      </c>
      <c r="J314" s="299">
        <v>-1006.2565651259214</v>
      </c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</row>
    <row r="315" spans="1:25" hidden="1">
      <c r="A315" s="320" t="s">
        <v>394</v>
      </c>
      <c r="B315" s="299">
        <v>-66218.378783438733</v>
      </c>
      <c r="C315" s="299">
        <v>-52215.606725788581</v>
      </c>
      <c r="D315" s="299">
        <v>-49876.545073907437</v>
      </c>
      <c r="E315" s="299">
        <v>-50923.570257189</v>
      </c>
      <c r="F315" s="299">
        <v>-49314.002016913873</v>
      </c>
      <c r="G315" s="299">
        <v>-49419.719881394711</v>
      </c>
      <c r="H315" s="299">
        <v>-53726.431562886886</v>
      </c>
      <c r="I315" s="299">
        <v>-56701.988822680214</v>
      </c>
      <c r="J315" s="299">
        <v>-55495.386294965283</v>
      </c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</row>
    <row r="316" spans="1:25" hidden="1">
      <c r="A316" s="323" t="s">
        <v>63</v>
      </c>
      <c r="B316" s="301"/>
      <c r="C316" s="301"/>
      <c r="D316" s="301"/>
      <c r="E316" s="299"/>
      <c r="F316" s="299"/>
      <c r="G316" s="299"/>
      <c r="H316" s="299"/>
      <c r="I316" s="299"/>
      <c r="J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</row>
    <row r="317" spans="1:25" hidden="1">
      <c r="A317" s="320" t="s">
        <v>395</v>
      </c>
      <c r="B317" s="299">
        <v>96016.562414275817</v>
      </c>
      <c r="C317" s="299">
        <v>85269.538109363013</v>
      </c>
      <c r="D317" s="299">
        <v>84924.468655364588</v>
      </c>
      <c r="E317" s="299">
        <v>84735.900122243314</v>
      </c>
      <c r="F317" s="299">
        <v>82918.753489029943</v>
      </c>
      <c r="G317" s="299">
        <v>84726.703273370746</v>
      </c>
      <c r="H317" s="299">
        <v>83429.139145583627</v>
      </c>
      <c r="I317" s="299">
        <v>86593.687583886538</v>
      </c>
      <c r="J317" s="299">
        <v>91160.456014566807</v>
      </c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</row>
    <row r="318" spans="1:25" hidden="1">
      <c r="A318" s="320" t="s">
        <v>396</v>
      </c>
      <c r="B318" s="299">
        <v>-1245.3710984792488</v>
      </c>
      <c r="C318" s="299">
        <v>-1227.8738123337557</v>
      </c>
      <c r="D318" s="299">
        <v>-1085.4003262795743</v>
      </c>
      <c r="E318" s="299">
        <v>-1073.2289117713635</v>
      </c>
      <c r="F318" s="299">
        <v>-1150.1450045331533</v>
      </c>
      <c r="G318" s="299">
        <v>-1269.2244908197031</v>
      </c>
      <c r="H318" s="299">
        <v>-1326.8593189298856</v>
      </c>
      <c r="I318" s="299">
        <v>-1351.5405632688298</v>
      </c>
      <c r="J318" s="299">
        <v>-1430.6583514877711</v>
      </c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</row>
    <row r="319" spans="1:25" hidden="1">
      <c r="A319" s="320" t="s">
        <v>397</v>
      </c>
      <c r="B319" s="299">
        <v>-10975.474021572771</v>
      </c>
      <c r="C319" s="299">
        <v>-10807.138085764082</v>
      </c>
      <c r="D319" s="299">
        <v>-10344.888964974216</v>
      </c>
      <c r="E319" s="299">
        <v>-11160.402081372133</v>
      </c>
      <c r="F319" s="299">
        <v>-15034.153929584529</v>
      </c>
      <c r="G319" s="299">
        <v>-15198.754853274297</v>
      </c>
      <c r="H319" s="299">
        <v>-15484.224626956729</v>
      </c>
      <c r="I319" s="299">
        <v>-16650.442567200527</v>
      </c>
      <c r="J319" s="299">
        <v>-16847.682169840151</v>
      </c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</row>
    <row r="320" spans="1:25" hidden="1">
      <c r="A320" s="323" t="s">
        <v>392</v>
      </c>
      <c r="B320" s="301"/>
      <c r="C320" s="301"/>
      <c r="D320" s="301"/>
      <c r="E320" s="299"/>
      <c r="F320" s="299"/>
      <c r="G320" s="299"/>
      <c r="H320" s="299"/>
      <c r="I320" s="299"/>
      <c r="J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</row>
    <row r="321" spans="1:25" hidden="1">
      <c r="A321" s="320" t="s">
        <v>398</v>
      </c>
      <c r="B321" s="299">
        <v>-39997.471335869559</v>
      </c>
      <c r="C321" s="299">
        <v>-49121.673901084869</v>
      </c>
      <c r="D321" s="299">
        <v>-47811.984722912355</v>
      </c>
      <c r="E321" s="299">
        <v>-49565.589070950104</v>
      </c>
      <c r="F321" s="299">
        <v>-54452.068250832555</v>
      </c>
      <c r="G321" s="299">
        <v>-59151.884861954721</v>
      </c>
      <c r="H321" s="299">
        <v>-59860.522374403634</v>
      </c>
      <c r="I321" s="299">
        <v>-61536.641530517387</v>
      </c>
      <c r="J321" s="299">
        <v>-57407.535284879064</v>
      </c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</row>
    <row r="322" spans="1:25" hidden="1">
      <c r="A322" s="320" t="s">
        <v>399</v>
      </c>
      <c r="B322" s="299">
        <v>7636.7031620489679</v>
      </c>
      <c r="C322" s="299">
        <v>6952.1755690897289</v>
      </c>
      <c r="D322" s="299">
        <v>4587.1017475735362</v>
      </c>
      <c r="E322" s="299">
        <v>5389.7350549439534</v>
      </c>
      <c r="F322" s="299">
        <v>6890.3408652149956</v>
      </c>
      <c r="G322" s="299">
        <v>6808.7644640896106</v>
      </c>
      <c r="H322" s="299">
        <v>6540.207305412152</v>
      </c>
      <c r="I322" s="299">
        <v>7672.7939077701812</v>
      </c>
      <c r="J322" s="299">
        <v>5356.2125254570765</v>
      </c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</row>
    <row r="323" spans="1:25" hidden="1">
      <c r="A323" s="320" t="s">
        <v>400</v>
      </c>
      <c r="B323" s="299">
        <v>-6186.8736858727816</v>
      </c>
      <c r="C323" s="299">
        <v>-9166.0877199357928</v>
      </c>
      <c r="D323" s="299">
        <v>-12478.9544194789</v>
      </c>
      <c r="E323" s="299">
        <v>-12417.935592917869</v>
      </c>
      <c r="F323" s="299">
        <v>-14185.539987653088</v>
      </c>
      <c r="G323" s="299">
        <v>-15383.325468778678</v>
      </c>
      <c r="H323" s="299">
        <v>-16432.435360507072</v>
      </c>
      <c r="I323" s="299">
        <v>-18518.03999247406</v>
      </c>
      <c r="J323" s="299">
        <v>-21041.200136232794</v>
      </c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</row>
    <row r="324" spans="1:25" hidden="1">
      <c r="A324" s="321" t="s">
        <v>401</v>
      </c>
      <c r="B324" s="299">
        <v>11491.740536153031</v>
      </c>
      <c r="C324" s="299">
        <v>19138.028029028916</v>
      </c>
      <c r="D324" s="299">
        <v>20389.012297019835</v>
      </c>
      <c r="E324" s="299">
        <v>20172.990840786035</v>
      </c>
      <c r="F324" s="299">
        <v>28388.044686561494</v>
      </c>
      <c r="G324" s="299">
        <v>31280.72739223604</v>
      </c>
      <c r="H324" s="299">
        <v>35877.14871344393</v>
      </c>
      <c r="I324" s="299">
        <v>39522.366185645507</v>
      </c>
      <c r="J324" s="299">
        <v>38752.665874441336</v>
      </c>
    </row>
    <row r="325" spans="1:25" hidden="1"/>
    <row r="326" spans="1:25" hidden="1">
      <c r="A326" s="324" t="s">
        <v>402</v>
      </c>
      <c r="B326" s="317" t="s">
        <v>277</v>
      </c>
      <c r="C326" s="317" t="s">
        <v>280</v>
      </c>
      <c r="D326" s="317" t="s">
        <v>18</v>
      </c>
      <c r="E326" s="317" t="s">
        <v>363</v>
      </c>
      <c r="F326" s="317" t="s">
        <v>365</v>
      </c>
      <c r="G326" s="317" t="s">
        <v>366</v>
      </c>
      <c r="H326" s="317" t="s">
        <v>367</v>
      </c>
      <c r="I326" s="317" t="s">
        <v>368</v>
      </c>
      <c r="J326" s="317">
        <v>2009</v>
      </c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</row>
    <row r="327" spans="1:25" hidden="1">
      <c r="A327" s="320" t="s">
        <v>391</v>
      </c>
      <c r="B327" s="318"/>
      <c r="C327" s="318"/>
      <c r="D327" s="318"/>
      <c r="E327" s="318"/>
      <c r="F327" s="318"/>
      <c r="G327" s="318"/>
      <c r="H327" s="318"/>
      <c r="I327" s="318"/>
      <c r="J327" s="318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</row>
    <row r="328" spans="1:25" hidden="1">
      <c r="A328" s="320" t="s">
        <v>393</v>
      </c>
      <c r="B328" s="301">
        <v>0.11756954861043931</v>
      </c>
      <c r="C328" s="301">
        <v>0.11349173956387305</v>
      </c>
      <c r="D328" s="301">
        <v>0.12054657903492361</v>
      </c>
      <c r="E328" s="301">
        <v>0.11537180343110633</v>
      </c>
      <c r="F328" s="301">
        <v>9.1415365971227819E-2</v>
      </c>
      <c r="G328" s="301">
        <v>8.6182628745772497E-2</v>
      </c>
      <c r="H328" s="301">
        <v>8.8778387595169483E-2</v>
      </c>
      <c r="I328" s="301">
        <v>8.2117584645891237E-2</v>
      </c>
      <c r="J328" s="301">
        <v>7.2958219552221662E-2</v>
      </c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</row>
    <row r="329" spans="1:25" hidden="1">
      <c r="A329" s="320" t="s">
        <v>394</v>
      </c>
      <c r="B329" s="301">
        <v>1.1303162464722599E-2</v>
      </c>
      <c r="C329" s="301">
        <v>6.4019656453377831E-3</v>
      </c>
      <c r="D329" s="301">
        <v>4.9832901409647967E-3</v>
      </c>
      <c r="E329" s="301">
        <v>5.4352791119587672E-3</v>
      </c>
      <c r="F329" s="301">
        <v>6.617271101516697E-3</v>
      </c>
      <c r="G329" s="301">
        <v>7.8094229551265151E-3</v>
      </c>
      <c r="H329" s="301">
        <v>7.7944613465319506E-3</v>
      </c>
      <c r="I329" s="301">
        <v>7.8863904838534678E-3</v>
      </c>
      <c r="J329" s="301">
        <v>7.8334018640491086E-3</v>
      </c>
    </row>
    <row r="330" spans="1:25" hidden="1">
      <c r="A330" s="323" t="s">
        <v>63</v>
      </c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</row>
    <row r="331" spans="1:25" hidden="1">
      <c r="A331" s="320" t="s">
        <v>395</v>
      </c>
      <c r="B331" s="301">
        <v>0.35453073014328207</v>
      </c>
      <c r="C331" s="301">
        <v>0.29895543485026826</v>
      </c>
      <c r="D331" s="301">
        <v>0.27979992111048319</v>
      </c>
      <c r="E331" s="301">
        <v>0.26675568340623795</v>
      </c>
      <c r="F331" s="301">
        <v>0.26198621900482838</v>
      </c>
      <c r="G331" s="301">
        <v>0.26118727400484493</v>
      </c>
      <c r="H331" s="301">
        <v>0.24697996648418941</v>
      </c>
      <c r="I331" s="301">
        <v>0.24501328505147577</v>
      </c>
      <c r="J331" s="301">
        <v>0.25345004007670696</v>
      </c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</row>
    <row r="332" spans="1:25" hidden="1">
      <c r="A332" s="320" t="s">
        <v>396</v>
      </c>
      <c r="B332" s="301">
        <v>8.3489055082661481E-3</v>
      </c>
      <c r="C332" s="301">
        <v>7.8287304056700747E-3</v>
      </c>
      <c r="D332" s="301">
        <v>7.7326556519682343E-3</v>
      </c>
      <c r="E332" s="301">
        <v>7.1878747936640263E-3</v>
      </c>
      <c r="F332" s="301">
        <v>6.9736818323297839E-3</v>
      </c>
      <c r="G332" s="301">
        <v>6.7364504130391443E-3</v>
      </c>
      <c r="H332" s="301">
        <v>6.5683631654634388E-3</v>
      </c>
      <c r="I332" s="301">
        <v>5.9556879546379905E-3</v>
      </c>
      <c r="J332" s="301">
        <v>5.8514880446424045E-3</v>
      </c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</row>
    <row r="333" spans="1:25" hidden="1">
      <c r="A333" s="320" t="s">
        <v>397</v>
      </c>
      <c r="B333" s="301">
        <v>3.3595018747750005E-2</v>
      </c>
      <c r="C333" s="301">
        <v>3.0918411722294318E-2</v>
      </c>
      <c r="D333" s="301">
        <v>3.0610817350286007E-2</v>
      </c>
      <c r="E333" s="301">
        <v>3.3531971998288806E-2</v>
      </c>
      <c r="F333" s="301">
        <v>4.5540509760357603E-2</v>
      </c>
      <c r="G333" s="301">
        <v>4.4323185683164817E-2</v>
      </c>
      <c r="H333" s="301">
        <v>4.3377903482371055E-2</v>
      </c>
      <c r="I333" s="301">
        <v>4.3361182782283646E-2</v>
      </c>
      <c r="J333" s="301">
        <v>4.3084996032124866E-2</v>
      </c>
    </row>
    <row r="334" spans="1:25" hidden="1">
      <c r="A334" s="323" t="s">
        <v>392</v>
      </c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</row>
    <row r="335" spans="1:25" hidden="1">
      <c r="A335" s="320" t="s">
        <v>398</v>
      </c>
      <c r="B335" s="301">
        <v>0.1076872003640883</v>
      </c>
      <c r="C335" s="301">
        <v>0.12667085084377708</v>
      </c>
      <c r="D335" s="301">
        <v>0.12422904906133504</v>
      </c>
      <c r="E335" s="301">
        <v>0.13192802902248393</v>
      </c>
      <c r="F335" s="301">
        <v>0.14917591222153553</v>
      </c>
      <c r="G335" s="301">
        <v>0.15885919486524819</v>
      </c>
      <c r="H335" s="301">
        <v>0.15513803568376608</v>
      </c>
      <c r="I335" s="301">
        <v>0.14775066999419612</v>
      </c>
      <c r="J335" s="301">
        <v>0.13456743604236709</v>
      </c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</row>
    <row r="336" spans="1:25" hidden="1">
      <c r="A336" s="320" t="s">
        <v>399</v>
      </c>
      <c r="B336" s="301">
        <v>6.9648029508097675E-2</v>
      </c>
      <c r="C336" s="301">
        <v>6.505225009068373E-2</v>
      </c>
      <c r="D336" s="301">
        <v>5.9458195165136438E-2</v>
      </c>
      <c r="E336" s="301">
        <v>5.5048338639123867E-2</v>
      </c>
      <c r="F336" s="301">
        <v>5.6477627964707906E-2</v>
      </c>
      <c r="G336" s="301">
        <v>5.3497895920997088E-2</v>
      </c>
      <c r="H336" s="301">
        <v>5.0511699055585425E-2</v>
      </c>
      <c r="I336" s="301">
        <v>5.4759147512381257E-2</v>
      </c>
      <c r="J336" s="301">
        <v>4.9935711280732473E-2</v>
      </c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</row>
    <row r="337" spans="1:25" hidden="1">
      <c r="A337" s="320" t="s">
        <v>400</v>
      </c>
      <c r="B337" s="301">
        <v>8.8672695456232908E-2</v>
      </c>
      <c r="C337" s="301">
        <v>9.6957126562461138E-2</v>
      </c>
      <c r="D337" s="301">
        <v>0.1174478340988884</v>
      </c>
      <c r="E337" s="301">
        <v>0.1167801806016958</v>
      </c>
      <c r="F337" s="301">
        <v>0.13197561363928234</v>
      </c>
      <c r="G337" s="301">
        <v>0.13773693958605035</v>
      </c>
      <c r="H337" s="301">
        <v>0.14392744109251907</v>
      </c>
      <c r="I337" s="301">
        <v>0.14739044224802292</v>
      </c>
      <c r="J337" s="301">
        <v>0.15621022292182751</v>
      </c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</row>
    <row r="338" spans="1:25" hidden="1">
      <c r="A338" s="321" t="s">
        <v>401</v>
      </c>
      <c r="B338" s="301">
        <v>0.25368707580066269</v>
      </c>
      <c r="C338" s="301">
        <v>0.30634022595414295</v>
      </c>
      <c r="D338" s="301">
        <v>0.31681491521034344</v>
      </c>
      <c r="E338" s="301">
        <v>0.32737338978046709</v>
      </c>
      <c r="F338" s="301">
        <v>0.31416361513156771</v>
      </c>
      <c r="G338" s="301">
        <v>0.30842751974137722</v>
      </c>
      <c r="H338" s="301">
        <v>0.3117736687927477</v>
      </c>
      <c r="I338" s="301">
        <v>0.315832123586549</v>
      </c>
      <c r="J338" s="301">
        <v>0.33404086580810644</v>
      </c>
    </row>
    <row r="339" spans="1:25" hidden="1"/>
    <row r="340" spans="1:25" hidden="1">
      <c r="A340" s="324" t="s">
        <v>402</v>
      </c>
      <c r="B340" s="317" t="s">
        <v>277</v>
      </c>
      <c r="C340" s="317" t="s">
        <v>280</v>
      </c>
      <c r="D340" s="317" t="s">
        <v>18</v>
      </c>
      <c r="E340" s="317" t="s">
        <v>363</v>
      </c>
      <c r="F340" s="317" t="s">
        <v>365</v>
      </c>
      <c r="G340" s="317" t="s">
        <v>366</v>
      </c>
      <c r="H340" s="317" t="s">
        <v>367</v>
      </c>
      <c r="I340" s="317" t="s">
        <v>368</v>
      </c>
      <c r="J340" s="317">
        <v>2009</v>
      </c>
    </row>
    <row r="341" spans="1:25" hidden="1">
      <c r="A341" s="320" t="s">
        <v>391</v>
      </c>
      <c r="B341" s="318"/>
      <c r="C341" s="318"/>
      <c r="D341" s="318"/>
      <c r="E341" s="318"/>
      <c r="F341" s="318"/>
      <c r="G341" s="318"/>
      <c r="H341" s="318"/>
      <c r="I341" s="318"/>
      <c r="J341" s="318"/>
    </row>
    <row r="342" spans="1:25" hidden="1">
      <c r="A342" s="320" t="s">
        <v>393</v>
      </c>
      <c r="B342" s="301">
        <v>1.7875773624801254</v>
      </c>
      <c r="C342" s="301">
        <v>1.807377212571355</v>
      </c>
      <c r="D342" s="301">
        <v>1.6652148441929198</v>
      </c>
      <c r="E342" s="301">
        <v>1.7282438775352005</v>
      </c>
      <c r="F342" s="301">
        <v>1.8981949787806782</v>
      </c>
      <c r="G342" s="301">
        <v>1.8003076764116932</v>
      </c>
      <c r="H342" s="301">
        <v>1.680639609019615</v>
      </c>
      <c r="I342" s="301">
        <v>1.9136762488830767</v>
      </c>
      <c r="J342" s="301">
        <v>1.8912243296342675</v>
      </c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</row>
    <row r="343" spans="1:25" hidden="1">
      <c r="A343" s="320" t="s">
        <v>394</v>
      </c>
      <c r="B343" s="301">
        <v>2.5887317123194054</v>
      </c>
      <c r="C343" s="301">
        <v>3.0796666104974433</v>
      </c>
      <c r="D343" s="301">
        <v>2.8006393886606036</v>
      </c>
      <c r="E343" s="301">
        <v>2.8383359988395465</v>
      </c>
      <c r="F343" s="301">
        <v>2.213762309153962</v>
      </c>
      <c r="G343" s="301">
        <v>1.9001481556235811</v>
      </c>
      <c r="H343" s="301">
        <v>1.9734655917069064</v>
      </c>
      <c r="I343" s="301">
        <v>3.7885601095283965</v>
      </c>
      <c r="J343" s="301">
        <v>3.7198517952459271</v>
      </c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</row>
    <row r="344" spans="1:25" hidden="1">
      <c r="A344" s="323" t="s">
        <v>63</v>
      </c>
    </row>
    <row r="345" spans="1:25" hidden="1">
      <c r="A345" s="320" t="s">
        <v>395</v>
      </c>
      <c r="B345" s="301">
        <v>1.1298005232050905</v>
      </c>
      <c r="C345" s="301">
        <v>1.1570777520418765</v>
      </c>
      <c r="D345" s="301">
        <v>1.1433141976240246</v>
      </c>
      <c r="E345" s="301">
        <v>1.1253393424560694</v>
      </c>
      <c r="F345" s="301">
        <v>1.1741047387367904</v>
      </c>
      <c r="G345" s="301">
        <v>1.1961585993622648</v>
      </c>
      <c r="H345" s="301">
        <v>1.2293267421828109</v>
      </c>
      <c r="I345" s="301">
        <v>1.2141589723289401</v>
      </c>
      <c r="J345" s="301">
        <v>1.1964214667218156</v>
      </c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</row>
    <row r="346" spans="1:25" hidden="1">
      <c r="A346" s="320" t="s">
        <v>396</v>
      </c>
      <c r="B346" s="301">
        <v>1.3638448483224612</v>
      </c>
      <c r="C346" s="301">
        <v>1.4245228616471377</v>
      </c>
      <c r="D346" s="301">
        <v>1.6093969050966832</v>
      </c>
      <c r="E346" s="301">
        <v>1.4033351332073054</v>
      </c>
      <c r="F346" s="301">
        <v>1.4781418330569915</v>
      </c>
      <c r="G346" s="301">
        <v>1.4966803867407317</v>
      </c>
      <c r="H346" s="301">
        <v>1.5186430254371286</v>
      </c>
      <c r="I346" s="301">
        <v>1.4727398507805731</v>
      </c>
      <c r="J346" s="301">
        <v>1.4480565780160386</v>
      </c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</row>
    <row r="347" spans="1:25" hidden="1">
      <c r="A347" s="320" t="s">
        <v>397</v>
      </c>
      <c r="B347" s="301">
        <v>1.6369058253830939</v>
      </c>
      <c r="C347" s="301">
        <v>1.5507158253739026</v>
      </c>
      <c r="D347" s="301">
        <v>1.4456178816542848</v>
      </c>
      <c r="E347" s="301">
        <v>1.4430001207644589</v>
      </c>
      <c r="F347" s="301">
        <v>1.4877730260533959</v>
      </c>
      <c r="G347" s="301">
        <v>1.457445026556816</v>
      </c>
      <c r="H347" s="301">
        <v>1.4315342974527823</v>
      </c>
      <c r="I347" s="301">
        <v>1.4284699189873804</v>
      </c>
      <c r="J347" s="301">
        <v>1.3996980802863177</v>
      </c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</row>
    <row r="348" spans="1:25" hidden="1">
      <c r="A348" s="323" t="s">
        <v>392</v>
      </c>
    </row>
    <row r="349" spans="1:25" hidden="1">
      <c r="A349" s="320" t="s">
        <v>398</v>
      </c>
      <c r="B349" s="301">
        <v>1.5943946503211668</v>
      </c>
      <c r="C349" s="301">
        <v>1.6219073636324424</v>
      </c>
      <c r="D349" s="301">
        <v>1.7463310484075805</v>
      </c>
      <c r="E349" s="301">
        <v>1.7441251873978609</v>
      </c>
      <c r="F349" s="301">
        <v>1.7740997097093654</v>
      </c>
      <c r="G349" s="301">
        <v>1.7485498419997916</v>
      </c>
      <c r="H349" s="301">
        <v>1.7455319484220078</v>
      </c>
      <c r="I349" s="301">
        <v>1.6901425614068639</v>
      </c>
      <c r="J349" s="301">
        <v>1.6667837163978907</v>
      </c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</row>
    <row r="350" spans="1:25" hidden="1">
      <c r="A350" s="320" t="s">
        <v>399</v>
      </c>
      <c r="B350" s="301">
        <v>1.5420171098888826</v>
      </c>
      <c r="C350" s="301">
        <v>1.4923476812468688</v>
      </c>
      <c r="D350" s="301">
        <v>1.5428256852764342</v>
      </c>
      <c r="E350" s="301">
        <v>1.5114822838481088</v>
      </c>
      <c r="F350" s="301">
        <v>1.4799431367791378</v>
      </c>
      <c r="G350" s="301">
        <v>1.5120170322384188</v>
      </c>
      <c r="H350" s="301">
        <v>1.5347143348484662</v>
      </c>
      <c r="I350" s="301">
        <v>1.5063638809931941</v>
      </c>
      <c r="J350" s="301">
        <v>1.5001033589908161</v>
      </c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</row>
    <row r="351" spans="1:25" hidden="1">
      <c r="A351" s="320" t="s">
        <v>400</v>
      </c>
      <c r="B351" s="301">
        <v>1.1138578155817009</v>
      </c>
      <c r="C351" s="301">
        <v>1.1531642806705893</v>
      </c>
      <c r="D351" s="301">
        <v>1.1660441964913346</v>
      </c>
      <c r="E351" s="301">
        <v>1.2232409947609602</v>
      </c>
      <c r="F351" s="301">
        <v>1.2583649442307776</v>
      </c>
      <c r="G351" s="301">
        <v>1.258078481975226</v>
      </c>
      <c r="H351" s="301">
        <v>1.2154341412784697</v>
      </c>
      <c r="I351" s="301">
        <v>1.2162023048925523</v>
      </c>
      <c r="J351" s="301">
        <v>1.1840006585760781</v>
      </c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</row>
    <row r="352" spans="1:25" hidden="1">
      <c r="A352" s="321" t="s">
        <v>401</v>
      </c>
      <c r="B352" s="301">
        <v>0.99395757609525159</v>
      </c>
      <c r="C352" s="301">
        <v>0.96020386317093143</v>
      </c>
      <c r="D352" s="301">
        <v>1.0040999136896969</v>
      </c>
      <c r="E352" s="301">
        <v>1.0166455116503617</v>
      </c>
      <c r="F352" s="301">
        <v>0.99470346631050854</v>
      </c>
      <c r="G352" s="301">
        <v>1.027295370306065</v>
      </c>
      <c r="H352" s="301">
        <v>1.0221280813163749</v>
      </c>
      <c r="I352" s="301">
        <v>1.0077452457491103</v>
      </c>
      <c r="J352" s="301">
        <v>0.98708892548824445</v>
      </c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</row>
    <row r="354" spans="1:5">
      <c r="B354" s="292" t="str">
        <f>A40</f>
        <v>Location Quotients</v>
      </c>
      <c r="C354" s="292" t="str">
        <f>A92</f>
        <v>Diversity</v>
      </c>
      <c r="D354" s="292" t="str">
        <f>A134</f>
        <v>Competition</v>
      </c>
      <c r="E354" s="292" t="str">
        <f>L40</f>
        <v>Actual vs Necessary Employment</v>
      </c>
    </row>
    <row r="355" spans="1:5">
      <c r="A355" s="292">
        <v>1996</v>
      </c>
      <c r="B355" s="306">
        <f>AVERAGE(C41:K41)</f>
        <v>0.90030965753576886</v>
      </c>
      <c r="C355" s="306">
        <f>L93</f>
        <v>0.11611581850512875</v>
      </c>
      <c r="D355" s="306">
        <f>L135</f>
        <v>1.527898087554745</v>
      </c>
      <c r="E355" s="306">
        <f>V41/1000</f>
        <v>-1.4288131153043397</v>
      </c>
    </row>
    <row r="356" spans="1:5">
      <c r="A356" s="292">
        <f>A355+1</f>
        <v>1997</v>
      </c>
      <c r="B356" s="306">
        <f t="shared" ref="B356:B370" si="147">AVERAGE(C42:K42)</f>
        <v>0.90226400129283058</v>
      </c>
      <c r="C356" s="306">
        <f t="shared" ref="C356:C370" si="148">L94</f>
        <v>0.11614638231334368</v>
      </c>
      <c r="D356" s="306">
        <f t="shared" ref="D356:D370" si="149">L136</f>
        <v>1.5885234004158775</v>
      </c>
      <c r="E356" s="306">
        <f t="shared" ref="E356:E370" si="150">V42/1000</f>
        <v>-1.4538547106442659</v>
      </c>
    </row>
    <row r="357" spans="1:5">
      <c r="A357" s="292">
        <f t="shared" ref="A357:A370" si="151">A356+1</f>
        <v>1998</v>
      </c>
      <c r="B357" s="306">
        <f t="shared" si="147"/>
        <v>0.89764852369358494</v>
      </c>
      <c r="C357" s="306">
        <f t="shared" si="148"/>
        <v>0.1165668047576628</v>
      </c>
      <c r="D357" s="306">
        <f t="shared" si="149"/>
        <v>1.5872795643725781</v>
      </c>
      <c r="E357" s="306">
        <f t="shared" si="150"/>
        <v>-1.3148677141207283</v>
      </c>
    </row>
    <row r="358" spans="1:5">
      <c r="A358" s="292">
        <f t="shared" si="151"/>
        <v>1999</v>
      </c>
      <c r="B358" s="306">
        <f t="shared" si="147"/>
        <v>0.89548329523166581</v>
      </c>
      <c r="C358" s="306">
        <f t="shared" si="148"/>
        <v>0.11695931512436458</v>
      </c>
      <c r="D358" s="306">
        <f t="shared" si="149"/>
        <v>1.5828651462781398</v>
      </c>
      <c r="E358" s="306">
        <f t="shared" si="150"/>
        <v>-1.3487772557464159</v>
      </c>
    </row>
    <row r="359" spans="1:5">
      <c r="A359" s="292">
        <f t="shared" si="151"/>
        <v>2000</v>
      </c>
      <c r="B359" s="306">
        <f t="shared" si="147"/>
        <v>0.89219058864371115</v>
      </c>
      <c r="C359" s="306">
        <f t="shared" si="148"/>
        <v>0.11759453463995634</v>
      </c>
      <c r="D359" s="306">
        <f t="shared" si="149"/>
        <v>1.6223579656135092</v>
      </c>
      <c r="E359" s="306">
        <f t="shared" si="150"/>
        <v>-1.2996236062843851</v>
      </c>
    </row>
    <row r="360" spans="1:5">
      <c r="A360" s="292">
        <f t="shared" si="151"/>
        <v>2001</v>
      </c>
      <c r="B360" s="306">
        <f t="shared" si="147"/>
        <v>0.89457697581025697</v>
      </c>
      <c r="C360" s="306">
        <f t="shared" si="148"/>
        <v>0.11760653400257556</v>
      </c>
      <c r="D360" s="306">
        <f t="shared" si="149"/>
        <v>1.689089492115712</v>
      </c>
      <c r="E360" s="306">
        <f t="shared" si="150"/>
        <v>-1.2271699109226619</v>
      </c>
    </row>
    <row r="361" spans="1:5">
      <c r="A361" s="292">
        <f t="shared" si="151"/>
        <v>2002</v>
      </c>
      <c r="B361" s="306">
        <f t="shared" si="147"/>
        <v>0.8959986659239243</v>
      </c>
      <c r="C361" s="306">
        <f t="shared" si="148"/>
        <v>0.11797089500061768</v>
      </c>
      <c r="D361" s="306">
        <f t="shared" si="149"/>
        <v>1.5684464336324595</v>
      </c>
      <c r="E361" s="306">
        <f t="shared" si="150"/>
        <v>-1.2418402105369464</v>
      </c>
    </row>
    <row r="362" spans="1:5">
      <c r="A362" s="292">
        <f t="shared" si="151"/>
        <v>2003</v>
      </c>
      <c r="B362" s="306">
        <f t="shared" si="147"/>
        <v>0.90275153890235083</v>
      </c>
      <c r="C362" s="306">
        <f t="shared" si="148"/>
        <v>0.11771223136718187</v>
      </c>
      <c r="D362" s="306">
        <f t="shared" si="149"/>
        <v>1.5593606726789639</v>
      </c>
      <c r="E362" s="306">
        <f t="shared" si="150"/>
        <v>-1.3757612735425657</v>
      </c>
    </row>
    <row r="363" spans="1:5">
      <c r="A363" s="292">
        <f t="shared" si="151"/>
        <v>2004</v>
      </c>
      <c r="B363" s="306">
        <f t="shared" si="147"/>
        <v>0.90637831926549262</v>
      </c>
      <c r="C363" s="306">
        <f t="shared" si="148"/>
        <v>0.11843315552029174</v>
      </c>
      <c r="D363" s="306">
        <f t="shared" si="149"/>
        <v>1.5402746461680534</v>
      </c>
      <c r="E363" s="306">
        <f t="shared" si="150"/>
        <v>-1.4186407813779709</v>
      </c>
    </row>
    <row r="364" spans="1:5">
      <c r="A364" s="292">
        <f t="shared" si="151"/>
        <v>2005</v>
      </c>
      <c r="B364" s="306">
        <f t="shared" si="147"/>
        <v>0.90930669603630754</v>
      </c>
      <c r="C364" s="306">
        <f t="shared" si="148"/>
        <v>0.11825904669778645</v>
      </c>
      <c r="D364" s="306">
        <f t="shared" si="149"/>
        <v>1.5284570939276145</v>
      </c>
      <c r="E364" s="306">
        <f t="shared" si="150"/>
        <v>-1.5744363097597105</v>
      </c>
    </row>
    <row r="365" spans="1:5">
      <c r="A365" s="292">
        <f t="shared" si="151"/>
        <v>2006</v>
      </c>
      <c r="B365" s="306">
        <f t="shared" si="147"/>
        <v>0.91181581718723415</v>
      </c>
      <c r="C365" s="306">
        <f t="shared" si="148"/>
        <v>0.11830906929630497</v>
      </c>
      <c r="D365" s="306">
        <f t="shared" si="149"/>
        <v>1.487824116448935</v>
      </c>
      <c r="E365" s="306">
        <f t="shared" si="150"/>
        <v>-1.6983248803922408</v>
      </c>
    </row>
    <row r="366" spans="1:5">
      <c r="A366" s="292">
        <f t="shared" si="151"/>
        <v>2007</v>
      </c>
      <c r="B366" s="306">
        <f t="shared" si="147"/>
        <v>0.91114442503691917</v>
      </c>
      <c r="C366" s="306">
        <f t="shared" si="148"/>
        <v>0.11721071195455673</v>
      </c>
      <c r="D366" s="306">
        <f t="shared" si="149"/>
        <v>1.5022905852927426</v>
      </c>
      <c r="E366" s="306">
        <f t="shared" si="150"/>
        <v>-2.0125831549282611</v>
      </c>
    </row>
    <row r="367" spans="1:5">
      <c r="A367" s="292">
        <f t="shared" si="151"/>
        <v>2008</v>
      </c>
      <c r="B367" s="306">
        <f t="shared" si="147"/>
        <v>0.90784715651813719</v>
      </c>
      <c r="C367" s="306">
        <f t="shared" si="148"/>
        <v>0.11668086753437645</v>
      </c>
      <c r="D367" s="306">
        <f t="shared" si="149"/>
        <v>1.4676847907923911</v>
      </c>
      <c r="E367" s="306">
        <f t="shared" si="150"/>
        <v>-2.1605465608197316</v>
      </c>
    </row>
    <row r="368" spans="1:5">
      <c r="A368" s="292">
        <f t="shared" si="151"/>
        <v>2009</v>
      </c>
      <c r="B368" s="306">
        <f t="shared" si="147"/>
        <v>0.91686366819321619</v>
      </c>
      <c r="C368" s="306">
        <f t="shared" si="148"/>
        <v>0.1169605132937009</v>
      </c>
      <c r="D368" s="306">
        <f t="shared" si="149"/>
        <v>1.3813040249227175</v>
      </c>
      <c r="E368" s="306">
        <f t="shared" si="150"/>
        <v>-2.1110669368310169</v>
      </c>
    </row>
    <row r="369" spans="1:5">
      <c r="A369" s="292">
        <f t="shared" si="151"/>
        <v>2010</v>
      </c>
      <c r="B369" s="306">
        <f t="shared" si="147"/>
        <v>0.91752964277922056</v>
      </c>
      <c r="C369" s="306">
        <f t="shared" si="148"/>
        <v>0.11758207910365821</v>
      </c>
      <c r="D369" s="306">
        <f t="shared" si="149"/>
        <v>1.3688199387969686</v>
      </c>
      <c r="E369" s="306">
        <f t="shared" si="150"/>
        <v>-2.2903547611433979</v>
      </c>
    </row>
    <row r="370" spans="1:5">
      <c r="A370" s="292">
        <f t="shared" si="151"/>
        <v>2011</v>
      </c>
      <c r="B370" s="306">
        <f t="shared" si="147"/>
        <v>0.91697031738451096</v>
      </c>
      <c r="C370" s="306">
        <f t="shared" si="148"/>
        <v>0.11891238098347549</v>
      </c>
      <c r="D370" s="306">
        <f t="shared" si="149"/>
        <v>1.3511078291204588</v>
      </c>
      <c r="E370" s="306">
        <f t="shared" si="150"/>
        <v>-2.3266710077604422</v>
      </c>
    </row>
    <row r="371" spans="1:5">
      <c r="B371" s="306"/>
      <c r="C371" s="306"/>
    </row>
    <row r="372" spans="1:5">
      <c r="B372" s="306" t="str">
        <f>A175</f>
        <v>National Share</v>
      </c>
      <c r="C372" s="306" t="str">
        <f>A198</f>
        <v>Industry Mix</v>
      </c>
      <c r="D372" s="292" t="str">
        <f>A221</f>
        <v>Regional Shift</v>
      </c>
      <c r="E372" s="292" t="str">
        <f>A244</f>
        <v>Total Employment Change</v>
      </c>
    </row>
    <row r="373" spans="1:5">
      <c r="A373" s="292">
        <f t="shared" ref="A373:A379" si="152">A356</f>
        <v>1997</v>
      </c>
      <c r="B373" s="306">
        <f>L177</f>
        <v>15283.269352746131</v>
      </c>
      <c r="C373" s="306">
        <f>L200</f>
        <v>-2951.280236589093</v>
      </c>
      <c r="D373" s="299">
        <f>L223</f>
        <v>-472.64400848369974</v>
      </c>
      <c r="E373" s="299">
        <f>C247</f>
        <v>11859.345107673085</v>
      </c>
    </row>
    <row r="374" spans="1:5">
      <c r="A374" s="292">
        <f t="shared" si="152"/>
        <v>1998</v>
      </c>
      <c r="B374" s="306">
        <f t="shared" ref="B374:B387" si="153">L178</f>
        <v>-1626.0882881975656</v>
      </c>
      <c r="C374" s="306">
        <f t="shared" ref="C374:C387" si="154">L201</f>
        <v>5602.0615861139595</v>
      </c>
      <c r="D374" s="299">
        <f t="shared" ref="D374:D387" si="155">L224</f>
        <v>-5040.867012895601</v>
      </c>
      <c r="E374" s="299">
        <f t="shared" ref="E374:E387" si="156">C248</f>
        <v>-1064.8937149789417</v>
      </c>
    </row>
    <row r="375" spans="1:5">
      <c r="A375" s="292">
        <f t="shared" si="152"/>
        <v>1999</v>
      </c>
      <c r="B375" s="306">
        <f t="shared" si="153"/>
        <v>20823.782498081298</v>
      </c>
      <c r="C375" s="306">
        <f t="shared" si="154"/>
        <v>-2531.0952709255425</v>
      </c>
      <c r="D375" s="299">
        <f t="shared" si="155"/>
        <v>-11370.049886568955</v>
      </c>
      <c r="E375" s="299">
        <f t="shared" si="156"/>
        <v>6922.6373405866325</v>
      </c>
    </row>
    <row r="376" spans="1:5">
      <c r="A376" s="292">
        <f t="shared" si="152"/>
        <v>2000</v>
      </c>
      <c r="B376" s="306">
        <f t="shared" si="153"/>
        <v>7201.6727320219461</v>
      </c>
      <c r="C376" s="306">
        <f t="shared" si="154"/>
        <v>765.2540908252422</v>
      </c>
      <c r="D376" s="299">
        <f t="shared" si="155"/>
        <v>-5511.323786741099</v>
      </c>
      <c r="E376" s="299">
        <f t="shared" si="156"/>
        <v>2455.6030361063313</v>
      </c>
    </row>
    <row r="377" spans="1:5">
      <c r="A377" s="292">
        <f t="shared" si="152"/>
        <v>2001</v>
      </c>
      <c r="B377" s="306">
        <f t="shared" si="153"/>
        <v>9205.2186768226293</v>
      </c>
      <c r="C377" s="306">
        <f t="shared" si="154"/>
        <v>-2322.9825316887927</v>
      </c>
      <c r="D377" s="299">
        <f t="shared" si="155"/>
        <v>-5389.0226681475197</v>
      </c>
      <c r="E377" s="299">
        <f t="shared" si="156"/>
        <v>1493.2134769862751</v>
      </c>
    </row>
    <row r="378" spans="1:5">
      <c r="A378" s="292">
        <f t="shared" si="152"/>
        <v>2002</v>
      </c>
      <c r="B378" s="306">
        <f t="shared" si="153"/>
        <v>24833.148552740946</v>
      </c>
      <c r="C378" s="306">
        <f t="shared" si="154"/>
        <v>-524.28080842065219</v>
      </c>
      <c r="D378" s="299">
        <f t="shared" si="155"/>
        <v>-6216.3892049917431</v>
      </c>
      <c r="E378" s="299">
        <f t="shared" si="156"/>
        <v>18092.478539328557</v>
      </c>
    </row>
    <row r="379" spans="1:5">
      <c r="A379" s="292">
        <f t="shared" si="152"/>
        <v>2003</v>
      </c>
      <c r="B379" s="306">
        <f t="shared" si="153"/>
        <v>24946.443257789291</v>
      </c>
      <c r="C379" s="306">
        <f t="shared" si="154"/>
        <v>-7895.918214881307</v>
      </c>
      <c r="D379" s="299">
        <f t="shared" si="155"/>
        <v>-6116.6164341982148</v>
      </c>
      <c r="E379" s="299">
        <f t="shared" si="156"/>
        <v>10933.908608709578</v>
      </c>
    </row>
    <row r="380" spans="1:5">
      <c r="A380" s="292">
        <f t="shared" ref="A380:A387" si="157">A363</f>
        <v>2004</v>
      </c>
      <c r="B380" s="306">
        <f t="shared" si="153"/>
        <v>31216.698117613756</v>
      </c>
      <c r="C380" s="306">
        <f t="shared" si="154"/>
        <v>-4222.1672930453487</v>
      </c>
      <c r="D380" s="299">
        <f t="shared" si="155"/>
        <v>-4603.5075546448606</v>
      </c>
      <c r="E380" s="299">
        <f t="shared" si="156"/>
        <v>22391.023269923753</v>
      </c>
    </row>
    <row r="381" spans="1:5">
      <c r="A381" s="292">
        <f t="shared" si="157"/>
        <v>2005</v>
      </c>
      <c r="B381" s="306">
        <f t="shared" si="153"/>
        <v>37276.380278459379</v>
      </c>
      <c r="C381" s="306">
        <f t="shared" si="154"/>
        <v>-5734.7187671235888</v>
      </c>
      <c r="D381" s="299">
        <f t="shared" si="155"/>
        <v>-9540.0922762932023</v>
      </c>
      <c r="E381" s="299">
        <f t="shared" si="156"/>
        <v>22001.569235042436</v>
      </c>
    </row>
    <row r="382" spans="1:5">
      <c r="A382" s="292">
        <f t="shared" si="157"/>
        <v>2006</v>
      </c>
      <c r="B382" s="306">
        <f t="shared" si="153"/>
        <v>43765.036375824769</v>
      </c>
      <c r="C382" s="306">
        <f t="shared" si="154"/>
        <v>-3731.6997332196142</v>
      </c>
      <c r="D382" s="299">
        <f t="shared" si="155"/>
        <v>1762.3082045497176</v>
      </c>
      <c r="E382" s="299">
        <f t="shared" si="156"/>
        <v>41795.644847155083</v>
      </c>
    </row>
    <row r="383" spans="1:5">
      <c r="A383" s="292">
        <f t="shared" si="157"/>
        <v>2007</v>
      </c>
      <c r="B383" s="306">
        <f t="shared" si="153"/>
        <v>53753.63213980326</v>
      </c>
      <c r="C383" s="306">
        <f t="shared" si="154"/>
        <v>-3242.6744814903741</v>
      </c>
      <c r="D383" s="299">
        <f t="shared" si="155"/>
        <v>2141.876400440668</v>
      </c>
      <c r="E383" s="299">
        <f t="shared" si="156"/>
        <v>52652.83405875368</v>
      </c>
    </row>
    <row r="384" spans="1:5">
      <c r="A384" s="292">
        <f t="shared" si="157"/>
        <v>2008</v>
      </c>
      <c r="B384" s="306">
        <f t="shared" si="153"/>
        <v>50729.609989636374</v>
      </c>
      <c r="C384" s="306">
        <f t="shared" si="154"/>
        <v>3399.1575655167539</v>
      </c>
      <c r="D384" s="299">
        <f t="shared" si="155"/>
        <v>17808.518898182578</v>
      </c>
      <c r="E384" s="299">
        <f t="shared" si="156"/>
        <v>71937.286453335546</v>
      </c>
    </row>
    <row r="385" spans="1:5">
      <c r="A385" s="292">
        <f t="shared" si="157"/>
        <v>2009</v>
      </c>
      <c r="B385" s="306">
        <f t="shared" si="153"/>
        <v>-20421.637404656005</v>
      </c>
      <c r="C385" s="306">
        <f t="shared" si="154"/>
        <v>3523.0185788000472</v>
      </c>
      <c r="D385" s="299">
        <f t="shared" si="155"/>
        <v>56723.258990396542</v>
      </c>
      <c r="E385" s="299">
        <f t="shared" si="156"/>
        <v>39824.640164540615</v>
      </c>
    </row>
    <row r="386" spans="1:5">
      <c r="A386" s="292">
        <f t="shared" si="157"/>
        <v>2010</v>
      </c>
      <c r="B386" s="306">
        <f t="shared" si="153"/>
        <v>-19467.744955847047</v>
      </c>
      <c r="C386" s="306">
        <f t="shared" si="154"/>
        <v>-4825.4616852378531</v>
      </c>
      <c r="D386" s="299">
        <f t="shared" si="155"/>
        <v>9482.2066410849129</v>
      </c>
      <c r="E386" s="299">
        <f t="shared" si="156"/>
        <v>-14811</v>
      </c>
    </row>
    <row r="387" spans="1:5">
      <c r="A387" s="292">
        <f t="shared" si="157"/>
        <v>2011</v>
      </c>
      <c r="B387" s="306">
        <f t="shared" si="153"/>
        <v>38163.977188806712</v>
      </c>
      <c r="C387" s="306">
        <f t="shared" si="154"/>
        <v>1130.5958718496277</v>
      </c>
      <c r="D387" s="299">
        <f t="shared" si="155"/>
        <v>9689.4269393436516</v>
      </c>
      <c r="E387" s="299">
        <f t="shared" si="156"/>
        <v>48984</v>
      </c>
    </row>
  </sheetData>
  <mergeCells count="35">
    <mergeCell ref="V2:W2"/>
    <mergeCell ref="Y2:Z2"/>
    <mergeCell ref="B2:C2"/>
    <mergeCell ref="D2:E2"/>
    <mergeCell ref="F2:G2"/>
    <mergeCell ref="H2:I2"/>
    <mergeCell ref="J2:K2"/>
    <mergeCell ref="L2:M2"/>
    <mergeCell ref="V115:W115"/>
    <mergeCell ref="A244:C244"/>
    <mergeCell ref="N21:O21"/>
    <mergeCell ref="P21:Q21"/>
    <mergeCell ref="R21:S21"/>
    <mergeCell ref="V21:W21"/>
    <mergeCell ref="B115:C115"/>
    <mergeCell ref="D115:E115"/>
    <mergeCell ref="F115:G115"/>
    <mergeCell ref="H115:I115"/>
    <mergeCell ref="J115:K115"/>
    <mergeCell ref="L115:M115"/>
    <mergeCell ref="B21:C21"/>
    <mergeCell ref="D21:E21"/>
    <mergeCell ref="F21:G21"/>
    <mergeCell ref="H21:I21"/>
    <mergeCell ref="A1:L1"/>
    <mergeCell ref="N115:O115"/>
    <mergeCell ref="P115:Q115"/>
    <mergeCell ref="R115:S115"/>
    <mergeCell ref="T115:U115"/>
    <mergeCell ref="J21:K21"/>
    <mergeCell ref="L21:M21"/>
    <mergeCell ref="N2:O2"/>
    <mergeCell ref="P2:Q2"/>
    <mergeCell ref="R2:S2"/>
    <mergeCell ref="T2:U2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Introduction</vt:lpstr>
      <vt:lpstr>Summary</vt:lpstr>
      <vt:lpstr>Sector Summary</vt:lpstr>
      <vt:lpstr>Annual</vt:lpstr>
      <vt:lpstr>Quarterly</vt:lpstr>
      <vt:lpstr>Seasonal</vt:lpstr>
      <vt:lpstr>Growth Rates Annualised</vt:lpstr>
      <vt:lpstr>Growth Rates SeaAdj</vt:lpstr>
      <vt:lpstr>Prov Contributions</vt:lpstr>
      <vt:lpstr>National Contributions</vt:lpstr>
      <vt:lpstr>GDP Durban</vt:lpstr>
      <vt:lpstr>GDP PMB</vt:lpstr>
      <vt:lpstr>GDP RBay</vt:lpstr>
      <vt:lpstr>GDP Port Shepstone</vt:lpstr>
      <vt:lpstr>GDP Newcastle</vt:lpstr>
      <vt:lpstr>Growth Rates</vt:lpstr>
      <vt:lpstr>Contr Rates</vt:lpstr>
      <vt:lpstr>Budget</vt:lpstr>
      <vt:lpstr>SocioEcon</vt:lpstr>
      <vt:lpstr>Sector Ratings</vt:lpstr>
      <vt:lpstr>Economics</vt:lpstr>
    </vt:vector>
  </TitlesOfParts>
  <Company>Finance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Felleng</dc:creator>
  <cp:lastModifiedBy>user</cp:lastModifiedBy>
  <cp:lastPrinted>2008-06-09T12:23:56Z</cp:lastPrinted>
  <dcterms:created xsi:type="dcterms:W3CDTF">2008-06-04T09:18:24Z</dcterms:created>
  <dcterms:modified xsi:type="dcterms:W3CDTF">2014-03-05T17:31:06Z</dcterms:modified>
</cp:coreProperties>
</file>