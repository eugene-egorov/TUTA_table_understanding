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240" yWindow="60" windowWidth="8460" windowHeight="6030" firstSheet="2" activeTab="8"/>
  </bookViews>
  <sheets>
    <sheet name="04" sheetId="1" r:id="rId1"/>
    <sheet name="JAN- MAR 04" sheetId="2" r:id="rId2"/>
    <sheet name="imp 2004" sheetId="5" r:id="rId3"/>
    <sheet name="exp 2004" sheetId="6" r:id="rId4"/>
    <sheet name="05" sheetId="9" r:id="rId5"/>
    <sheet name="06" sheetId="4" r:id="rId6"/>
    <sheet name="exp 2003" sheetId="7" r:id="rId7"/>
    <sheet name="mp 2003" sheetId="8" r:id="rId8"/>
    <sheet name="2005 last updated" sheetId="3" r:id="rId9"/>
  </sheets>
  <calcPr calcId="144525" refMode="R1C1"/>
</workbook>
</file>

<file path=xl/calcChain.xml><?xml version="1.0" encoding="utf-8"?>
<calcChain xmlns="http://schemas.openxmlformats.org/spreadsheetml/2006/main">
  <c r="C20" i="3" l="1"/>
  <c r="E10" i="3"/>
  <c r="J20" i="9"/>
  <c r="D20" i="9"/>
  <c r="I21" i="9"/>
  <c r="K10" i="9"/>
  <c r="K11" i="9"/>
  <c r="K12" i="9"/>
  <c r="K13" i="9"/>
  <c r="K14" i="9"/>
  <c r="K15" i="9"/>
  <c r="K16" i="9"/>
  <c r="K17" i="9"/>
  <c r="K18" i="9"/>
  <c r="K19" i="9"/>
  <c r="K20" i="9"/>
  <c r="K21" i="9"/>
  <c r="J21" i="9"/>
  <c r="C21" i="9"/>
  <c r="E10" i="9"/>
  <c r="E21" i="9"/>
  <c r="E11" i="9"/>
  <c r="E12" i="9"/>
  <c r="E13" i="9"/>
  <c r="E14" i="9"/>
  <c r="E15" i="9"/>
  <c r="E16" i="9"/>
  <c r="E17" i="9"/>
  <c r="E18" i="9"/>
  <c r="E19" i="9"/>
  <c r="E20" i="9"/>
  <c r="D21" i="9"/>
  <c r="J19" i="9"/>
  <c r="D19" i="9"/>
  <c r="J18" i="9"/>
  <c r="D18" i="9"/>
  <c r="J17" i="9"/>
  <c r="D17" i="9"/>
  <c r="J16" i="9"/>
  <c r="D16" i="9"/>
  <c r="J15" i="9"/>
  <c r="D15" i="9"/>
  <c r="J14" i="9"/>
  <c r="D14" i="9"/>
  <c r="J13" i="9"/>
  <c r="D13" i="9"/>
  <c r="J12" i="9"/>
  <c r="D12" i="9"/>
  <c r="J11" i="9"/>
  <c r="D11" i="9"/>
  <c r="J10" i="9"/>
  <c r="D10" i="9"/>
  <c r="I20" i="4"/>
  <c r="K9" i="4"/>
  <c r="K10" i="4"/>
  <c r="K11" i="4"/>
  <c r="K12" i="4"/>
  <c r="K13" i="4"/>
  <c r="K14" i="4"/>
  <c r="K15" i="4"/>
  <c r="K16" i="4"/>
  <c r="K17" i="4"/>
  <c r="K18" i="4"/>
  <c r="K19" i="4"/>
  <c r="K20" i="4"/>
  <c r="J20" i="4"/>
  <c r="C20" i="4"/>
  <c r="E9" i="4"/>
  <c r="E20" i="4"/>
  <c r="E10" i="4"/>
  <c r="E11" i="4"/>
  <c r="E12" i="4"/>
  <c r="E13" i="4"/>
  <c r="E14" i="4"/>
  <c r="E15" i="4"/>
  <c r="E16" i="4"/>
  <c r="E17" i="4"/>
  <c r="E18" i="4"/>
  <c r="E19" i="4"/>
  <c r="D20" i="4"/>
  <c r="J19" i="4"/>
  <c r="D19" i="4"/>
  <c r="J18" i="4"/>
  <c r="D18" i="4"/>
  <c r="J17" i="4"/>
  <c r="D17" i="4"/>
  <c r="J16" i="4"/>
  <c r="D16" i="4"/>
  <c r="J15" i="4"/>
  <c r="D15" i="4"/>
  <c r="J14" i="4"/>
  <c r="D14" i="4"/>
  <c r="J13" i="4"/>
  <c r="D13" i="4"/>
  <c r="J12" i="4"/>
  <c r="D12" i="4"/>
  <c r="J11" i="4"/>
  <c r="D11" i="4"/>
  <c r="J10" i="4"/>
  <c r="D10" i="4"/>
  <c r="J9" i="4"/>
  <c r="D9" i="4"/>
  <c r="C23" i="1"/>
  <c r="I20" i="3"/>
  <c r="K9" i="3"/>
  <c r="E9" i="3"/>
  <c r="E13" i="3"/>
  <c r="E17" i="3"/>
  <c r="J19" i="3"/>
  <c r="D19" i="3"/>
  <c r="J18" i="3"/>
  <c r="D18" i="3"/>
  <c r="J17" i="3"/>
  <c r="D17" i="3"/>
  <c r="J16" i="3"/>
  <c r="D16" i="3"/>
  <c r="J15" i="3"/>
  <c r="D15" i="3"/>
  <c r="J14" i="3"/>
  <c r="D14" i="3"/>
  <c r="J13" i="3"/>
  <c r="D13" i="3"/>
  <c r="J12" i="3"/>
  <c r="D12" i="3"/>
  <c r="J11" i="3"/>
  <c r="D11" i="3"/>
  <c r="J10" i="3"/>
  <c r="D10" i="3"/>
  <c r="J9" i="3"/>
  <c r="D9" i="3"/>
  <c r="K11" i="2"/>
  <c r="K22" i="2"/>
  <c r="K21" i="2"/>
  <c r="K12" i="2"/>
  <c r="C22" i="2"/>
  <c r="E13" i="2"/>
  <c r="D21" i="2"/>
  <c r="E12" i="2"/>
  <c r="E14" i="2"/>
  <c r="E16" i="2"/>
  <c r="E18" i="2"/>
  <c r="E20" i="2"/>
  <c r="E11" i="2"/>
  <c r="E12" i="1"/>
  <c r="E13" i="1"/>
  <c r="E14" i="1"/>
  <c r="E23" i="1"/>
  <c r="E15" i="1"/>
  <c r="E16" i="1"/>
  <c r="E17" i="1"/>
  <c r="E18" i="1"/>
  <c r="E19" i="1"/>
  <c r="E20" i="1"/>
  <c r="E21" i="1"/>
  <c r="E22" i="1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J11" i="2"/>
  <c r="D12" i="2"/>
  <c r="D13" i="2"/>
  <c r="D14" i="2"/>
  <c r="D15" i="2"/>
  <c r="D16" i="2"/>
  <c r="D17" i="2"/>
  <c r="D18" i="2"/>
  <c r="D19" i="2"/>
  <c r="D20" i="2"/>
  <c r="D11" i="2"/>
  <c r="J17" i="1"/>
  <c r="D20" i="1"/>
  <c r="D17" i="1"/>
  <c r="J21" i="1"/>
  <c r="J20" i="1"/>
  <c r="I21" i="2"/>
  <c r="J21" i="2"/>
  <c r="D22" i="2"/>
  <c r="D23" i="1"/>
  <c r="D22" i="1"/>
  <c r="D21" i="1"/>
  <c r="D19" i="1"/>
  <c r="J15" i="1"/>
  <c r="D18" i="1"/>
  <c r="J18" i="1"/>
  <c r="J19" i="1"/>
  <c r="D16" i="1"/>
  <c r="J16" i="1"/>
  <c r="D15" i="1"/>
  <c r="J14" i="1"/>
  <c r="D14" i="1"/>
  <c r="J12" i="1"/>
  <c r="D13" i="1"/>
  <c r="J13" i="1"/>
  <c r="D12" i="1"/>
  <c r="I23" i="1"/>
  <c r="K13" i="1"/>
  <c r="K14" i="1"/>
  <c r="K15" i="1"/>
  <c r="K16" i="1"/>
  <c r="K17" i="1"/>
  <c r="K18" i="1"/>
  <c r="K19" i="1"/>
  <c r="K20" i="1"/>
  <c r="K21" i="1"/>
  <c r="K22" i="1"/>
  <c r="K12" i="1"/>
  <c r="K23" i="1"/>
  <c r="J23" i="1"/>
  <c r="J22" i="1"/>
  <c r="E19" i="3"/>
  <c r="E15" i="3"/>
  <c r="E11" i="3"/>
  <c r="D20" i="3"/>
  <c r="E18" i="3"/>
  <c r="E16" i="3"/>
  <c r="E14" i="3"/>
  <c r="E12" i="3"/>
  <c r="E20" i="3"/>
  <c r="K16" i="3"/>
  <c r="J20" i="3"/>
  <c r="K12" i="3"/>
  <c r="K18" i="3"/>
  <c r="K14" i="3"/>
  <c r="K10" i="3"/>
  <c r="K19" i="3"/>
  <c r="K17" i="3"/>
  <c r="K15" i="3"/>
  <c r="K13" i="3"/>
  <c r="K11" i="3"/>
  <c r="E21" i="2"/>
  <c r="E19" i="2"/>
  <c r="E17" i="2"/>
  <c r="E15" i="2"/>
  <c r="E22" i="2"/>
  <c r="K20" i="3"/>
</calcChain>
</file>

<file path=xl/sharedStrings.xml><?xml version="1.0" encoding="utf-8"?>
<sst xmlns="http://schemas.openxmlformats.org/spreadsheetml/2006/main" count="213" uniqueCount="67">
  <si>
    <t>Kingdom of Bahrain</t>
  </si>
  <si>
    <t xml:space="preserve">Ministry of Commerce </t>
  </si>
  <si>
    <t>Foreign Trade Relations Directorate</t>
  </si>
  <si>
    <t>Rank</t>
  </si>
  <si>
    <t>Country Name</t>
  </si>
  <si>
    <t>BD</t>
  </si>
  <si>
    <t>US $</t>
  </si>
  <si>
    <t>% of Total</t>
  </si>
  <si>
    <t>Japan</t>
  </si>
  <si>
    <t>USA</t>
  </si>
  <si>
    <t>Saudi Arabia</t>
  </si>
  <si>
    <t>Germany</t>
  </si>
  <si>
    <t>Taiwan</t>
  </si>
  <si>
    <t>Australia</t>
  </si>
  <si>
    <t>UAE</t>
  </si>
  <si>
    <t>UK</t>
  </si>
  <si>
    <t>Qatar</t>
  </si>
  <si>
    <t>China</t>
  </si>
  <si>
    <t>India</t>
  </si>
  <si>
    <t>Korea, South</t>
  </si>
  <si>
    <t>France</t>
  </si>
  <si>
    <t>Remaining 81 Countries</t>
  </si>
  <si>
    <t>TOTAL (In all 82 countires)</t>
  </si>
  <si>
    <t xml:space="preserve">* Provisional </t>
  </si>
  <si>
    <t>Kingdom of Bahrain Imports (excluding oil imports) (Millions)</t>
  </si>
  <si>
    <t>Kingdom of Bahrain Exports (excluding oil exports) (Millions)</t>
  </si>
  <si>
    <t xml:space="preserve">    Important 10 Countries Among All Countries in the World for the Year 2004 (JAN-MAR)</t>
  </si>
  <si>
    <t>Malaysia</t>
  </si>
  <si>
    <t>Kuwait</t>
  </si>
  <si>
    <t>Austria</t>
  </si>
  <si>
    <t>TOTAL (In all 80  countires)</t>
  </si>
  <si>
    <t>Singapore</t>
  </si>
  <si>
    <t>Thailand</t>
  </si>
  <si>
    <t>Netherlands</t>
  </si>
  <si>
    <t>Kingdom of Bahrain Imports (excluding oil imports)</t>
  </si>
  <si>
    <t>(Millions)</t>
  </si>
  <si>
    <t>Kingdom of Bahrain Exports (excluding oil exports)</t>
  </si>
  <si>
    <t>**US $ = BD 0.378</t>
  </si>
  <si>
    <t>Source: Central Information Organization</t>
  </si>
  <si>
    <t>* Tentative</t>
  </si>
  <si>
    <t xml:space="preserve">                     </t>
  </si>
  <si>
    <t>Important 10 Countries Among All Countries in the World for the Year 2004 (JAN-DEC)</t>
  </si>
  <si>
    <t>Remaining 84 Countries</t>
  </si>
  <si>
    <t>TOTAL (In all 94 countires)</t>
  </si>
  <si>
    <t>Remaining 100 Countries</t>
  </si>
  <si>
    <t>TOTAL (In all 110 countires)</t>
  </si>
  <si>
    <t>TOTAL (In all94 countires)</t>
  </si>
  <si>
    <t xml:space="preserve">    Important 10 Countries Among All Countries in the World for the Year 2004 (JAN-DEC)*</t>
  </si>
  <si>
    <t xml:space="preserve">Ministry of Industry and Commerce </t>
  </si>
  <si>
    <t>Kingdom of Bahrain Imports (excluding oil imports)(Millions)</t>
  </si>
  <si>
    <t>Kingdom of Bahrain Exports (excluding oil exports)(Millions)</t>
  </si>
  <si>
    <t xml:space="preserve">Ministry of Indusrtry &amp; Commerce </t>
  </si>
  <si>
    <t>TOTAL (In all 112 countires)</t>
  </si>
  <si>
    <t>Remaining 102 Countries</t>
  </si>
  <si>
    <t>Korea,South</t>
  </si>
  <si>
    <t>v</t>
  </si>
  <si>
    <t>Important 10 Countries Among All Countries in the World for the Year 2006 (JAN-DEC)</t>
  </si>
  <si>
    <t>Italy</t>
  </si>
  <si>
    <t xml:space="preserve">Ministry of Industry &amp; Commerce </t>
  </si>
  <si>
    <t xml:space="preserve">Ministry of  Industry &amp; Commerce </t>
  </si>
  <si>
    <t>Remaining 133 Countries</t>
  </si>
  <si>
    <t>TOTAL (In all 143 countires)</t>
  </si>
  <si>
    <t>Remaining 83 Countries</t>
  </si>
  <si>
    <t>TOTAL (In all 93 countires)</t>
  </si>
  <si>
    <t>Important 10 Countries Among All Countries in the World for the Year 2007 (JAN-DEC)</t>
  </si>
  <si>
    <t>Remaining 96 Countries</t>
  </si>
  <si>
    <t>TOTAL (In all 106 countires)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</si>
</sst>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-* #,##0.00_-;_-* #,##0.00\-;_-* &quot;-&quot;??_-;_-@_-"/>
    <numFmt numFmtId="172" formatCode="0.0"/>
    <numFmt numFmtId="173" formatCode="_-* #,##0_-;_-* #,##0\-;_-* &quot;-&quot;??_-;_-@_-"/>
  </numFmts>
  <fonts count="12">
    <font>
      <sz val="10"/>
      <name val="Arial"/>
      <charset val="178"/>
    </font>
    <font>
      <sz val="10"/>
      <name val="Arial"/>
      <charset val="178"/>
    </font>
    <font>
      <b/>
      <sz val="14"/>
      <name val="Times New Roman (Arabic)"/>
      <charset val="178"/>
    </font>
    <font>
      <b/>
      <sz val="12"/>
      <name val="Times New Roman"/>
      <family val="1"/>
      <charset val="178"/>
    </font>
    <font>
      <b/>
      <sz val="16"/>
      <name val="Times New Roman"/>
      <family val="1"/>
      <charset val="178"/>
    </font>
    <font>
      <b/>
      <sz val="12"/>
      <name val="Times New Roman (Arabic)"/>
      <charset val="178"/>
    </font>
    <font>
      <b/>
      <sz val="14"/>
      <name val="Times New Roman (Arabic)"/>
      <family val="1"/>
      <charset val="178"/>
    </font>
    <font>
      <sz val="14"/>
      <name val="Times New Roman"/>
      <family val="1"/>
      <charset val="178"/>
    </font>
    <font>
      <sz val="8"/>
      <name val="Arial"/>
      <family val="2"/>
    </font>
    <font>
      <sz val="12"/>
      <name val="Times New Roman (Arabic)"/>
      <charset val="178"/>
    </font>
    <font>
      <sz val="12"/>
      <name val="Times New Roman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 applyAlignment="1">
      <alignment horizontal="centerContinuous" vertical="top"/>
    </xf>
    <xf numFmtId="0" fontId="0" fillId="0" borderId="0" xfId="0" applyAlignment="1">
      <alignment horizontal="centerContinuous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6" fillId="0" borderId="3" xfId="0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172" fontId="0" fillId="0" borderId="5" xfId="1" applyNumberFormat="1" applyFont="1" applyBorder="1" applyAlignment="1">
      <alignment horizontal="center"/>
    </xf>
    <xf numFmtId="1" fontId="0" fillId="0" borderId="5" xfId="1" applyNumberFormat="1" applyFon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172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72" fontId="0" fillId="0" borderId="9" xfId="0" applyNumberFormat="1" applyBorder="1" applyAlignment="1">
      <alignment horizont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73" fontId="6" fillId="0" borderId="11" xfId="1" applyNumberFormat="1" applyFont="1" applyBorder="1" applyAlignment="1">
      <alignment horizontal="center" vertical="center"/>
    </xf>
    <xf numFmtId="172" fontId="6" fillId="0" borderId="12" xfId="0" applyNumberFormat="1" applyFont="1" applyBorder="1" applyAlignment="1">
      <alignment horizontal="center" vertical="center"/>
    </xf>
    <xf numFmtId="172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2" fontId="0" fillId="0" borderId="0" xfId="0" applyNumberFormat="1"/>
    <xf numFmtId="0" fontId="7" fillId="0" borderId="0" xfId="0" applyFont="1" applyAlignment="1">
      <alignment horizontal="left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9" fillId="0" borderId="1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/>
    <xf numFmtId="0" fontId="9" fillId="0" borderId="4" xfId="0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173" fontId="6" fillId="0" borderId="15" xfId="1" applyNumberFormat="1" applyFont="1" applyBorder="1" applyAlignment="1">
      <alignment horizontal="center" vertical="center"/>
    </xf>
    <xf numFmtId="172" fontId="6" fillId="0" borderId="16" xfId="0" applyNumberFormat="1" applyFont="1" applyBorder="1" applyAlignment="1">
      <alignment horizontal="center" vertical="center"/>
    </xf>
    <xf numFmtId="172" fontId="9" fillId="0" borderId="17" xfId="0" applyNumberFormat="1" applyFont="1" applyBorder="1" applyAlignment="1">
      <alignment horizontal="center"/>
    </xf>
    <xf numFmtId="172" fontId="6" fillId="0" borderId="11" xfId="1" applyNumberFormat="1" applyFont="1" applyBorder="1" applyAlignment="1">
      <alignment horizontal="center" vertical="center"/>
    </xf>
    <xf numFmtId="172" fontId="10" fillId="0" borderId="17" xfId="0" applyNumberFormat="1" applyFont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172" fontId="0" fillId="0" borderId="20" xfId="1" applyNumberFormat="1" applyFont="1" applyBorder="1" applyAlignment="1">
      <alignment horizontal="center"/>
    </xf>
    <xf numFmtId="1" fontId="0" fillId="0" borderId="20" xfId="1" applyNumberFormat="1" applyFont="1" applyBorder="1" applyAlignment="1">
      <alignment horizontal="center"/>
    </xf>
    <xf numFmtId="1" fontId="0" fillId="0" borderId="0" xfId="0" applyNumberFormat="1"/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21" xfId="0" applyFill="1" applyBorder="1"/>
    <xf numFmtId="14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6" fillId="0" borderId="23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tyles" Target="styles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r-AE"/>
              <a:t>اهم الدول التي تستورد منها البحرين (2004)</a:t>
            </a:r>
          </a:p>
        </c:rich>
      </c:tx>
      <c:layout>
        <c:manualLayout>
          <c:xMode val="edge"/>
          <c:yMode val="edge"/>
          <c:x val="0.37538779731127198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126163391933817"/>
          <c:y val="0.15423728813559323"/>
          <c:w val="0.45501551189245087"/>
          <c:h val="0.74576271186440679"/>
        </c:manualLayout>
      </c:layout>
      <c:pie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D05-48EA-B55F-9C9B7BCAB4A5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05-48EA-B55F-9C9B7BCAB4A5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D05-48EA-B55F-9C9B7BCAB4A5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05-48EA-B55F-9C9B7BCAB4A5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D05-48EA-B55F-9C9B7BCAB4A5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05-48EA-B55F-9C9B7BCAB4A5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D05-48EA-B55F-9C9B7BCAB4A5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05-48EA-B55F-9C9B7BCAB4A5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D05-48EA-B55F-9C9B7BCAB4A5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D05-48EA-B55F-9C9B7BCAB4A5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D05-48EA-B55F-9C9B7BCAB4A5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'06'!$B$9:$B$19</c:f>
              <c:strCache>
                <c:ptCount val="11"/>
                <c:pt idx="0">
                  <c:v>Japan</c:v>
                </c:pt>
                <c:pt idx="1">
                  <c:v>Australia</c:v>
                </c:pt>
                <c:pt idx="2">
                  <c:v>Saudi Arabia</c:v>
                </c:pt>
                <c:pt idx="3">
                  <c:v>China</c:v>
                </c:pt>
                <c:pt idx="4">
                  <c:v>USA</c:v>
                </c:pt>
                <c:pt idx="5">
                  <c:v>Germany</c:v>
                </c:pt>
                <c:pt idx="6">
                  <c:v>UK</c:v>
                </c:pt>
                <c:pt idx="7">
                  <c:v>UAE</c:v>
                </c:pt>
                <c:pt idx="8">
                  <c:v>Italy</c:v>
                </c:pt>
                <c:pt idx="9">
                  <c:v>India</c:v>
                </c:pt>
                <c:pt idx="10">
                  <c:v>Remaining 133 Countries</c:v>
                </c:pt>
              </c:strCache>
            </c:strRef>
          </c:cat>
          <c:val>
            <c:numRef>
              <c:f>'06'!$C$9:$C$19</c:f>
              <c:numCache>
                <c:formatCode>0.0</c:formatCode>
                <c:ptCount val="11"/>
                <c:pt idx="0">
                  <c:v>264.74</c:v>
                </c:pt>
                <c:pt idx="1">
                  <c:v>244.46799999999999</c:v>
                </c:pt>
                <c:pt idx="2">
                  <c:v>195.721</c:v>
                </c:pt>
                <c:pt idx="3">
                  <c:v>187.27099999999999</c:v>
                </c:pt>
                <c:pt idx="4">
                  <c:v>181.97499999999999</c:v>
                </c:pt>
                <c:pt idx="5">
                  <c:v>177.18</c:v>
                </c:pt>
                <c:pt idx="6">
                  <c:v>133.69</c:v>
                </c:pt>
                <c:pt idx="7">
                  <c:v>123.52</c:v>
                </c:pt>
                <c:pt idx="8">
                  <c:v>102.768</c:v>
                </c:pt>
                <c:pt idx="9">
                  <c:v>75.106999999999999</c:v>
                </c:pt>
                <c:pt idx="10">
                  <c:v>778.82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D05-48EA-B55F-9C9B7BCA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l"/>
      <c:layout>
        <c:manualLayout>
          <c:xMode val="edge"/>
          <c:yMode val="edge"/>
          <c:wMode val="edge"/>
          <c:hMode val="edge"/>
          <c:x val="2.0682523267838678E-3"/>
          <c:y val="0.34915254237288135"/>
          <c:w val="0.17269906928645296"/>
          <c:h val="0.742372881355932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r-AE"/>
              <a:t>اهم الدول التي تصدر اليها البحرين (2004)</a:t>
            </a:r>
          </a:p>
        </c:rich>
      </c:tx>
      <c:layout>
        <c:manualLayout>
          <c:xMode val="edge"/>
          <c:yMode val="edge"/>
          <c:x val="0.37952430196483972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2368148914167527"/>
          <c:y val="7.9661016949152536E-2"/>
          <c:w val="0.483971044467425"/>
          <c:h val="0.79322033898305089"/>
        </c:manualLayout>
      </c:layout>
      <c:pie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379-4C8B-A30B-26DE62437030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79-4C8B-A30B-26DE62437030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379-4C8B-A30B-26DE62437030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79-4C8B-A30B-26DE62437030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379-4C8B-A30B-26DE6243703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79-4C8B-A30B-26DE62437030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379-4C8B-A30B-26DE62437030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379-4C8B-A30B-26DE62437030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3379-4C8B-A30B-26DE62437030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379-4C8B-A30B-26DE62437030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3379-4C8B-A30B-26DE62437030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'06'!$H$9:$H$19</c:f>
              <c:strCache>
                <c:ptCount val="11"/>
                <c:pt idx="0">
                  <c:v>Saudi Arabia</c:v>
                </c:pt>
                <c:pt idx="1">
                  <c:v>USA</c:v>
                </c:pt>
                <c:pt idx="2">
                  <c:v>Singapore</c:v>
                </c:pt>
                <c:pt idx="3">
                  <c:v>India</c:v>
                </c:pt>
                <c:pt idx="4">
                  <c:v>UAE</c:v>
                </c:pt>
                <c:pt idx="5">
                  <c:v>Qatar</c:v>
                </c:pt>
                <c:pt idx="6">
                  <c:v>Thailand</c:v>
                </c:pt>
                <c:pt idx="7">
                  <c:v>Japan</c:v>
                </c:pt>
                <c:pt idx="8">
                  <c:v>Korea, South</c:v>
                </c:pt>
                <c:pt idx="9">
                  <c:v>Netherlands</c:v>
                </c:pt>
                <c:pt idx="10">
                  <c:v>Remaining 83 Countries</c:v>
                </c:pt>
              </c:strCache>
            </c:strRef>
          </c:cat>
          <c:val>
            <c:numRef>
              <c:f>'06'!$I$9:$I$19</c:f>
              <c:numCache>
                <c:formatCode>0.0</c:formatCode>
                <c:ptCount val="11"/>
                <c:pt idx="0">
                  <c:v>233.90700000000001</c:v>
                </c:pt>
                <c:pt idx="1">
                  <c:v>95.59</c:v>
                </c:pt>
                <c:pt idx="2">
                  <c:v>74.204999999999998</c:v>
                </c:pt>
                <c:pt idx="3">
                  <c:v>67.17</c:v>
                </c:pt>
                <c:pt idx="4">
                  <c:v>60.898000000000003</c:v>
                </c:pt>
                <c:pt idx="5">
                  <c:v>47.359000000000002</c:v>
                </c:pt>
                <c:pt idx="6">
                  <c:v>43.237000000000002</c:v>
                </c:pt>
                <c:pt idx="7">
                  <c:v>41.162999999999997</c:v>
                </c:pt>
                <c:pt idx="8">
                  <c:v>39.212000000000003</c:v>
                </c:pt>
                <c:pt idx="9">
                  <c:v>34.079000000000001</c:v>
                </c:pt>
                <c:pt idx="10">
                  <c:v>320.52199999999999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379-4C8B-A30B-26DE62437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l"/>
      <c:layout>
        <c:manualLayout>
          <c:xMode val="edge"/>
          <c:yMode val="edge"/>
          <c:wMode val="edge"/>
          <c:hMode val="edge"/>
          <c:x val="2.0682523267838678E-3"/>
          <c:y val="0.34915254237288135"/>
          <c:w val="0.16546018614270941"/>
          <c:h val="0.742372881355932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r-AE"/>
              <a:t>اهم الدول التي تصدر اليها البحرين(2003)</a:t>
            </a:r>
          </a:p>
        </c:rich>
      </c:tx>
      <c:layout>
        <c:manualLayout>
          <c:xMode val="edge"/>
          <c:yMode val="edge"/>
          <c:x val="0.38159255429162359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126163391933817"/>
          <c:y val="0.14067796610169492"/>
          <c:w val="0.46328852119958636"/>
          <c:h val="0.7593220338983051"/>
        </c:manualLayout>
      </c:layout>
      <c:pie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E0E-473F-899B-4AFD96C0C59C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0E-473F-899B-4AFD96C0C59C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E0E-473F-899B-4AFD96C0C59C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0E-473F-899B-4AFD96C0C59C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E0E-473F-899B-4AFD96C0C59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0E-473F-899B-4AFD96C0C59C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E0E-473F-899B-4AFD96C0C59C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E0E-473F-899B-4AFD96C0C59C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6E0E-473F-899B-4AFD96C0C59C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E0E-473F-899B-4AFD96C0C59C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6E0E-473F-899B-4AFD96C0C59C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'2005 last updated'!$H$9:$H$19</c:f>
              <c:strCache>
                <c:ptCount val="11"/>
                <c:pt idx="0">
                  <c:v>Saudi Arabia</c:v>
                </c:pt>
                <c:pt idx="1">
                  <c:v>USA</c:v>
                </c:pt>
                <c:pt idx="2">
                  <c:v>UAE</c:v>
                </c:pt>
                <c:pt idx="3">
                  <c:v>Qatar</c:v>
                </c:pt>
                <c:pt idx="4">
                  <c:v>India</c:v>
                </c:pt>
                <c:pt idx="5">
                  <c:v>Netherlands</c:v>
                </c:pt>
                <c:pt idx="6">
                  <c:v>Australia</c:v>
                </c:pt>
                <c:pt idx="7">
                  <c:v>Kuwait</c:v>
                </c:pt>
                <c:pt idx="8">
                  <c:v>Italy</c:v>
                </c:pt>
                <c:pt idx="9">
                  <c:v>Thailand</c:v>
                </c:pt>
                <c:pt idx="10">
                  <c:v>Remaining 96 Countries</c:v>
                </c:pt>
              </c:strCache>
            </c:strRef>
          </c:cat>
          <c:val>
            <c:numRef>
              <c:f>'2005 last updated'!$I$9:$I$19</c:f>
              <c:numCache>
                <c:formatCode>0.0</c:formatCode>
                <c:ptCount val="11"/>
                <c:pt idx="0">
                  <c:v>329.44400000000002</c:v>
                </c:pt>
                <c:pt idx="1">
                  <c:v>141.79400000000001</c:v>
                </c:pt>
                <c:pt idx="2">
                  <c:v>96.688000000000002</c:v>
                </c:pt>
                <c:pt idx="3">
                  <c:v>76.459999999999994</c:v>
                </c:pt>
                <c:pt idx="4">
                  <c:v>60.847000000000001</c:v>
                </c:pt>
                <c:pt idx="5">
                  <c:v>45.100999999999999</c:v>
                </c:pt>
                <c:pt idx="6">
                  <c:v>43.896999999999998</c:v>
                </c:pt>
                <c:pt idx="7">
                  <c:v>32.295000000000002</c:v>
                </c:pt>
                <c:pt idx="8">
                  <c:v>28.718</c:v>
                </c:pt>
                <c:pt idx="9">
                  <c:v>28.164999999999999</c:v>
                </c:pt>
                <c:pt idx="10">
                  <c:v>329.43099999999998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0E-473F-899B-4AFD96C0C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l"/>
      <c:layout>
        <c:manualLayout>
          <c:xMode val="edge"/>
          <c:yMode val="edge"/>
          <c:wMode val="edge"/>
          <c:hMode val="edge"/>
          <c:x val="2.0682523267838678E-3"/>
          <c:y val="0.34745762711864409"/>
          <c:w val="0.16546018614270941"/>
          <c:h val="0.74067796610169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r-AE"/>
              <a:t>اهم الدول التي تستورد منها البحرين(2003)</a:t>
            </a:r>
          </a:p>
        </c:rich>
      </c:tx>
      <c:layout>
        <c:manualLayout>
          <c:xMode val="edge"/>
          <c:yMode val="edge"/>
          <c:x val="0.37745604963805585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954498448810753"/>
          <c:y val="0.10169491525423729"/>
          <c:w val="0.47983453981385726"/>
          <c:h val="0.78644067796610173"/>
        </c:manualLayout>
      </c:layout>
      <c:pie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446-44F3-80B0-B1CDCD43C30A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46-44F3-80B0-B1CDCD43C30A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446-44F3-80B0-B1CDCD43C30A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46-44F3-80B0-B1CDCD43C30A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446-44F3-80B0-B1CDCD43C30A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446-44F3-80B0-B1CDCD43C30A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446-44F3-80B0-B1CDCD43C30A}"/>
              </c:ext>
            </c:extLst>
          </c:dPt>
          <c:dPt>
            <c:idx val="7"/>
            <c:bubble3D val="0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446-44F3-80B0-B1CDCD43C30A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446-44F3-80B0-B1CDCD43C30A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446-44F3-80B0-B1CDCD43C30A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446-44F3-80B0-B1CDCD43C30A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'2005 last updated'!$B$9:$B$19</c:f>
              <c:strCache>
                <c:ptCount val="11"/>
                <c:pt idx="0">
                  <c:v>Australia</c:v>
                </c:pt>
                <c:pt idx="1">
                  <c:v>Japan</c:v>
                </c:pt>
                <c:pt idx="2">
                  <c:v>China</c:v>
                </c:pt>
                <c:pt idx="3">
                  <c:v>USA</c:v>
                </c:pt>
                <c:pt idx="4">
                  <c:v>Saudi Arabia</c:v>
                </c:pt>
                <c:pt idx="5">
                  <c:v>Germany</c:v>
                </c:pt>
                <c:pt idx="6">
                  <c:v>UAE</c:v>
                </c:pt>
                <c:pt idx="7">
                  <c:v>UK</c:v>
                </c:pt>
                <c:pt idx="8">
                  <c:v>Italy</c:v>
                </c:pt>
                <c:pt idx="9">
                  <c:v>France</c:v>
                </c:pt>
                <c:pt idx="10">
                  <c:v>Remaining 133 Countries</c:v>
                </c:pt>
              </c:strCache>
            </c:strRef>
          </c:cat>
          <c:val>
            <c:numRef>
              <c:f>'2005 last updated'!$C$9:$C$19</c:f>
              <c:numCache>
                <c:formatCode>0.0</c:formatCode>
                <c:ptCount val="11"/>
                <c:pt idx="0">
                  <c:v>324.01900000000001</c:v>
                </c:pt>
                <c:pt idx="1">
                  <c:v>305.99200000000002</c:v>
                </c:pt>
                <c:pt idx="2">
                  <c:v>278.14499999999998</c:v>
                </c:pt>
                <c:pt idx="3">
                  <c:v>277.98099999999999</c:v>
                </c:pt>
                <c:pt idx="4">
                  <c:v>242.2688</c:v>
                </c:pt>
                <c:pt idx="5">
                  <c:v>190.958</c:v>
                </c:pt>
                <c:pt idx="6">
                  <c:v>160.334</c:v>
                </c:pt>
                <c:pt idx="7">
                  <c:v>136.87299999999999</c:v>
                </c:pt>
                <c:pt idx="8">
                  <c:v>109</c:v>
                </c:pt>
                <c:pt idx="9">
                  <c:v>102.122</c:v>
                </c:pt>
                <c:pt idx="10">
                  <c:v>946.55640000000005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446-44F3-80B0-B1CDCD43C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l"/>
      <c:layout>
        <c:manualLayout>
          <c:xMode val="edge"/>
          <c:yMode val="edge"/>
          <c:wMode val="edge"/>
          <c:hMode val="edge"/>
          <c:x val="2.0682523267838678E-3"/>
          <c:y val="0.34915254237288135"/>
          <c:w val="0.17269906928645296"/>
          <c:h val="0.742372881355932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66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97EF036C-8EE6-457B-81D1-07080DB72D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6197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A8D22E9D-A2C3-44DA-B03A-7DB9B25621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6197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AA54DA95-4487-46A0-8AE1-726CF6BF24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FB808A95-E693-4EA1-8E79-AB0B3F9F8A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zoomScale="75" workbookViewId="0">
      <selection activeCell="D26" sqref="D26"/>
    </sheetView>
  </sheetViews>
  <sheetFormatPr defaultRowHeight="12.75"/>
  <cols>
    <col min="2" max="2" width="36.42578125" bestFit="1" customWidth="1"/>
    <col min="3" max="3" width="9.42578125" bestFit="1" customWidth="1"/>
    <col min="5" max="5" width="30.28515625" customWidth="1"/>
    <col min="8" max="8" width="35" bestFit="1" customWidth="1"/>
    <col min="11" max="11" width="14" bestFit="1" customWidth="1"/>
  </cols>
  <sheetData>
    <row r="1" spans="1:11" ht="18.75">
      <c r="A1" s="1" t="s">
        <v>0</v>
      </c>
    </row>
    <row r="2" spans="1:11" ht="15.75">
      <c r="A2" s="2" t="s">
        <v>48</v>
      </c>
    </row>
    <row r="3" spans="1:11" ht="15.75">
      <c r="A3" s="2" t="s">
        <v>2</v>
      </c>
    </row>
    <row r="4" spans="1:11" ht="15.75">
      <c r="A4" s="53">
        <v>38022</v>
      </c>
      <c r="B4" s="53"/>
    </row>
    <row r="5" spans="1:11" ht="15.75">
      <c r="A5" s="3"/>
      <c r="B5" s="3"/>
    </row>
    <row r="6" spans="1:11" ht="15.7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</row>
    <row r="7" spans="1:11" ht="20.25">
      <c r="A7" s="55" t="s">
        <v>47</v>
      </c>
      <c r="B7" s="55"/>
      <c r="C7" s="55"/>
      <c r="D7" s="55"/>
      <c r="E7" s="55"/>
      <c r="F7" s="55"/>
      <c r="G7" s="55"/>
      <c r="H7" s="55"/>
      <c r="I7" s="55"/>
      <c r="J7" s="55"/>
      <c r="K7" s="55"/>
    </row>
    <row r="8" spans="1:11" ht="15.75">
      <c r="A8" s="4"/>
      <c r="B8" s="5"/>
      <c r="C8" s="5"/>
      <c r="D8" s="5"/>
    </row>
    <row r="9" spans="1:11" ht="18.75">
      <c r="A9" s="56" t="s">
        <v>24</v>
      </c>
      <c r="B9" s="56"/>
      <c r="C9" s="56"/>
      <c r="D9" s="56"/>
      <c r="E9" s="56"/>
      <c r="G9" s="29" t="s">
        <v>25</v>
      </c>
      <c r="H9" s="29"/>
      <c r="I9" s="29"/>
      <c r="J9" s="29"/>
      <c r="K9" s="32"/>
    </row>
    <row r="10" spans="1:11" ht="19.5" thickBot="1">
      <c r="A10" s="57"/>
      <c r="B10" s="57"/>
      <c r="C10" s="57"/>
      <c r="D10" s="57"/>
      <c r="E10" s="57"/>
      <c r="G10" s="29"/>
      <c r="H10" s="29"/>
      <c r="I10" s="29"/>
      <c r="J10" s="29"/>
      <c r="K10" s="6"/>
    </row>
    <row r="11" spans="1:11" ht="18.75">
      <c r="A11" s="7" t="s">
        <v>3</v>
      </c>
      <c r="B11" s="9" t="s">
        <v>4</v>
      </c>
      <c r="C11" s="9" t="s">
        <v>5</v>
      </c>
      <c r="D11" s="9" t="s">
        <v>6</v>
      </c>
      <c r="E11" s="31" t="s">
        <v>7</v>
      </c>
      <c r="G11" s="7" t="s">
        <v>3</v>
      </c>
      <c r="H11" s="8" t="s">
        <v>4</v>
      </c>
      <c r="I11" s="9" t="s">
        <v>5</v>
      </c>
      <c r="J11" s="9" t="s">
        <v>6</v>
      </c>
      <c r="K11" s="10" t="s">
        <v>7</v>
      </c>
    </row>
    <row r="12" spans="1:11">
      <c r="A12" s="11">
        <v>1</v>
      </c>
      <c r="B12" s="12" t="s">
        <v>8</v>
      </c>
      <c r="C12" s="13">
        <v>143.5</v>
      </c>
      <c r="D12" s="14">
        <f>C12/0.378</f>
        <v>379.62962962962962</v>
      </c>
      <c r="E12" s="15">
        <f>C12/$C$23*100</f>
        <v>10.606060606060606</v>
      </c>
      <c r="G12" s="11">
        <v>1</v>
      </c>
      <c r="H12" s="12" t="s">
        <v>10</v>
      </c>
      <c r="I12" s="13">
        <v>149.1</v>
      </c>
      <c r="J12" s="14">
        <f t="shared" ref="J12:J21" si="0">I12/0.378</f>
        <v>394.4444444444444</v>
      </c>
      <c r="K12" s="15">
        <f>I12/$I$23*100</f>
        <v>22.805139186295502</v>
      </c>
    </row>
    <row r="13" spans="1:11">
      <c r="A13" s="11">
        <v>2</v>
      </c>
      <c r="B13" s="12" t="s">
        <v>10</v>
      </c>
      <c r="C13" s="13">
        <v>128</v>
      </c>
      <c r="D13" s="14">
        <f>C13/0.378</f>
        <v>338.62433862433863</v>
      </c>
      <c r="E13" s="15">
        <f t="shared" ref="E13:E22" si="1">C13/$C$23*100</f>
        <v>9.4604582409460463</v>
      </c>
      <c r="G13" s="11">
        <v>2</v>
      </c>
      <c r="H13" s="12" t="s">
        <v>9</v>
      </c>
      <c r="I13" s="13">
        <v>80.5</v>
      </c>
      <c r="J13" s="14">
        <f t="shared" si="0"/>
        <v>212.96296296296296</v>
      </c>
      <c r="K13" s="15">
        <f t="shared" ref="K13:K22" si="2">I13/$I$23*100</f>
        <v>12.312633832976443</v>
      </c>
    </row>
    <row r="14" spans="1:11">
      <c r="A14" s="11">
        <v>3</v>
      </c>
      <c r="B14" s="12" t="s">
        <v>15</v>
      </c>
      <c r="C14" s="13">
        <v>85.9</v>
      </c>
      <c r="D14" s="14">
        <f>C14/0.378</f>
        <v>227.24867724867727</v>
      </c>
      <c r="E14" s="15">
        <f t="shared" si="1"/>
        <v>6.3488543976348861</v>
      </c>
      <c r="G14" s="11">
        <v>3</v>
      </c>
      <c r="H14" s="12" t="s">
        <v>12</v>
      </c>
      <c r="I14" s="13">
        <v>74.5</v>
      </c>
      <c r="J14" s="14">
        <f t="shared" si="0"/>
        <v>197.08994708994709</v>
      </c>
      <c r="K14" s="15">
        <f t="shared" si="2"/>
        <v>11.394921994493727</v>
      </c>
    </row>
    <row r="15" spans="1:11">
      <c r="A15" s="11">
        <v>4</v>
      </c>
      <c r="B15" s="12" t="s">
        <v>11</v>
      </c>
      <c r="C15" s="13">
        <v>85.7</v>
      </c>
      <c r="D15" s="14">
        <f t="shared" ref="D15:D20" si="3">C15/0.378</f>
        <v>226.71957671957674</v>
      </c>
      <c r="E15" s="15">
        <f t="shared" si="1"/>
        <v>6.3340724316334072</v>
      </c>
      <c r="G15" s="11">
        <v>4</v>
      </c>
      <c r="H15" s="12" t="s">
        <v>18</v>
      </c>
      <c r="I15" s="13">
        <v>42.3</v>
      </c>
      <c r="J15" s="14">
        <f t="shared" si="0"/>
        <v>111.9047619047619</v>
      </c>
      <c r="K15" s="15">
        <f t="shared" si="2"/>
        <v>6.4698684613031494</v>
      </c>
    </row>
    <row r="16" spans="1:11">
      <c r="A16" s="11">
        <v>5</v>
      </c>
      <c r="B16" s="12" t="s">
        <v>20</v>
      </c>
      <c r="C16" s="13">
        <v>82.6</v>
      </c>
      <c r="D16" s="14">
        <f t="shared" si="3"/>
        <v>218.5185185185185</v>
      </c>
      <c r="E16" s="15">
        <f t="shared" si="1"/>
        <v>6.1049519586104948</v>
      </c>
      <c r="G16" s="11">
        <v>5</v>
      </c>
      <c r="H16" s="12" t="s">
        <v>14</v>
      </c>
      <c r="I16" s="13">
        <v>31.5</v>
      </c>
      <c r="J16" s="14">
        <f t="shared" si="0"/>
        <v>83.333333333333329</v>
      </c>
      <c r="K16" s="15">
        <f t="shared" si="2"/>
        <v>4.8179871520342612</v>
      </c>
    </row>
    <row r="17" spans="1:11">
      <c r="A17" s="11">
        <v>6</v>
      </c>
      <c r="B17" s="12" t="s">
        <v>9</v>
      </c>
      <c r="C17" s="13">
        <v>79.099999999999994</v>
      </c>
      <c r="D17" s="14">
        <f t="shared" si="3"/>
        <v>209.25925925925924</v>
      </c>
      <c r="E17" s="15">
        <f t="shared" si="1"/>
        <v>5.8462675535846262</v>
      </c>
      <c r="G17" s="11">
        <v>6</v>
      </c>
      <c r="H17" s="12" t="s">
        <v>13</v>
      </c>
      <c r="I17" s="13">
        <v>26.5</v>
      </c>
      <c r="J17" s="14">
        <f t="shared" si="0"/>
        <v>70.105820105820101</v>
      </c>
      <c r="K17" s="15">
        <f t="shared" si="2"/>
        <v>4.0532272866319969</v>
      </c>
    </row>
    <row r="18" spans="1:11">
      <c r="A18" s="11">
        <v>7</v>
      </c>
      <c r="B18" s="12" t="s">
        <v>17</v>
      </c>
      <c r="C18" s="13">
        <v>77.099999999999994</v>
      </c>
      <c r="D18" s="14">
        <f t="shared" si="3"/>
        <v>203.96825396825395</v>
      </c>
      <c r="E18" s="15">
        <f t="shared" si="1"/>
        <v>5.6984478935698437</v>
      </c>
      <c r="G18" s="11">
        <v>7</v>
      </c>
      <c r="H18" s="12" t="s">
        <v>8</v>
      </c>
      <c r="I18" s="13">
        <v>26.1</v>
      </c>
      <c r="J18" s="14">
        <f t="shared" si="0"/>
        <v>69.047619047619051</v>
      </c>
      <c r="K18" s="15">
        <f t="shared" si="2"/>
        <v>3.9920464973998162</v>
      </c>
    </row>
    <row r="19" spans="1:11">
      <c r="A19" s="11">
        <v>8</v>
      </c>
      <c r="B19" s="12" t="s">
        <v>14</v>
      </c>
      <c r="C19" s="13">
        <v>66.7</v>
      </c>
      <c r="D19" s="14">
        <f t="shared" si="3"/>
        <v>176.45502645502646</v>
      </c>
      <c r="E19" s="15">
        <f t="shared" si="1"/>
        <v>4.9297856614929785</v>
      </c>
      <c r="G19" s="11">
        <v>8</v>
      </c>
      <c r="H19" s="12" t="s">
        <v>16</v>
      </c>
      <c r="I19" s="13">
        <v>24.1</v>
      </c>
      <c r="J19" s="14">
        <f t="shared" si="0"/>
        <v>63.75661375661376</v>
      </c>
      <c r="K19" s="15">
        <f t="shared" si="2"/>
        <v>3.6861425512389108</v>
      </c>
    </row>
    <row r="20" spans="1:11">
      <c r="A20" s="11">
        <v>9</v>
      </c>
      <c r="B20" s="12" t="s">
        <v>18</v>
      </c>
      <c r="C20" s="13">
        <v>65.3</v>
      </c>
      <c r="D20" s="14">
        <f t="shared" si="3"/>
        <v>172.75132275132273</v>
      </c>
      <c r="E20" s="15">
        <f t="shared" si="1"/>
        <v>4.8263118994826311</v>
      </c>
      <c r="G20" s="11">
        <v>9</v>
      </c>
      <c r="H20" s="12" t="s">
        <v>28</v>
      </c>
      <c r="I20" s="13">
        <v>21.8</v>
      </c>
      <c r="J20" s="14">
        <f t="shared" si="0"/>
        <v>57.671957671957671</v>
      </c>
      <c r="K20" s="15">
        <f t="shared" si="2"/>
        <v>3.3343530131538692</v>
      </c>
    </row>
    <row r="21" spans="1:11">
      <c r="A21" s="11">
        <v>10</v>
      </c>
      <c r="B21" s="12" t="s">
        <v>13</v>
      </c>
      <c r="C21" s="13">
        <v>63.7</v>
      </c>
      <c r="D21" s="14">
        <f>C21/0.378</f>
        <v>168.51851851851853</v>
      </c>
      <c r="E21" s="15">
        <f t="shared" si="1"/>
        <v>4.7080561714708056</v>
      </c>
      <c r="G21" s="11">
        <v>10</v>
      </c>
      <c r="H21" s="12" t="s">
        <v>27</v>
      </c>
      <c r="I21" s="13">
        <v>15.5</v>
      </c>
      <c r="J21" s="14">
        <f t="shared" si="0"/>
        <v>41.005291005291006</v>
      </c>
      <c r="K21" s="15">
        <f t="shared" si="2"/>
        <v>2.3707555827470173</v>
      </c>
    </row>
    <row r="22" spans="1:11" ht="13.5" thickBot="1">
      <c r="A22" s="16"/>
      <c r="B22" s="17" t="s">
        <v>44</v>
      </c>
      <c r="C22" s="18">
        <v>475.4</v>
      </c>
      <c r="D22" s="19">
        <f>C22*0.378</f>
        <v>179.7012</v>
      </c>
      <c r="E22" s="15">
        <f t="shared" si="1"/>
        <v>35.13673318551367</v>
      </c>
      <c r="G22" s="16"/>
      <c r="H22" s="17" t="s">
        <v>42</v>
      </c>
      <c r="I22" s="18">
        <v>161.9</v>
      </c>
      <c r="J22" s="19">
        <f>I22*0.378</f>
        <v>61.1982</v>
      </c>
      <c r="K22" s="20">
        <f t="shared" si="2"/>
        <v>24.762924441725296</v>
      </c>
    </row>
    <row r="23" spans="1:11" ht="20.25" thickTop="1" thickBot="1">
      <c r="A23" s="21"/>
      <c r="B23" s="22" t="s">
        <v>45</v>
      </c>
      <c r="C23" s="23">
        <f>SUM(C12:C22)</f>
        <v>1353</v>
      </c>
      <c r="D23" s="23">
        <f>C23/0.378</f>
        <v>3579.3650793650795</v>
      </c>
      <c r="E23" s="24">
        <f>SUM(E12:E22)</f>
        <v>100</v>
      </c>
      <c r="G23" s="21"/>
      <c r="H23" s="22" t="s">
        <v>46</v>
      </c>
      <c r="I23" s="25">
        <f>SUM(I12:I22)</f>
        <v>653.80000000000007</v>
      </c>
      <c r="J23" s="23">
        <f>I23/0.378</f>
        <v>1729.6296296296298</v>
      </c>
      <c r="K23" s="26">
        <f>SUM(K12:K22)</f>
        <v>100</v>
      </c>
    </row>
    <row r="25" spans="1:11">
      <c r="B25" t="s">
        <v>40</v>
      </c>
      <c r="C25" s="27"/>
    </row>
    <row r="27" spans="1:11" ht="18.75">
      <c r="A27" s="54" t="s">
        <v>39</v>
      </c>
      <c r="B27" s="54"/>
    </row>
  </sheetData>
  <mergeCells count="6">
    <mergeCell ref="A4:B4"/>
    <mergeCell ref="A27:B27"/>
    <mergeCell ref="A7:K7"/>
    <mergeCell ref="A9:E9"/>
    <mergeCell ref="A10:E10"/>
    <mergeCell ref="A6:K6"/>
  </mergeCells>
  <phoneticPr fontId="8" type="noConversion"/>
  <pageMargins left="0.75" right="0.75" top="1" bottom="1" header="0.5" footer="0.5"/>
  <pageSetup paperSize="9" scale="73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topLeftCell="D1" workbookViewId="0">
      <selection activeCell="A4" sqref="A4:B4"/>
    </sheetView>
  </sheetViews>
  <sheetFormatPr defaultRowHeight="12.75"/>
  <cols>
    <col min="2" max="2" width="36.42578125" bestFit="1" customWidth="1"/>
    <col min="5" max="5" width="14" bestFit="1" customWidth="1"/>
    <col min="8" max="8" width="35" bestFit="1" customWidth="1"/>
    <col min="10" max="10" width="12.5703125" bestFit="1" customWidth="1"/>
    <col min="11" max="11" width="14" bestFit="1" customWidth="1"/>
  </cols>
  <sheetData>
    <row r="1" spans="1:11" ht="18.75">
      <c r="A1" s="1" t="s">
        <v>0</v>
      </c>
    </row>
    <row r="2" spans="1:11" ht="15.75">
      <c r="A2" s="2" t="s">
        <v>1</v>
      </c>
    </row>
    <row r="3" spans="1:11" ht="15.75">
      <c r="A3" s="2" t="s">
        <v>2</v>
      </c>
    </row>
    <row r="4" spans="1:11" ht="15.75">
      <c r="A4" s="53">
        <v>38094</v>
      </c>
      <c r="B4" s="53"/>
    </row>
    <row r="5" spans="1:11" ht="15.75">
      <c r="A5" s="3"/>
      <c r="B5" s="3"/>
    </row>
    <row r="6" spans="1:11" ht="20.25">
      <c r="A6" s="55" t="s">
        <v>26</v>
      </c>
      <c r="B6" s="55"/>
      <c r="C6" s="55"/>
      <c r="D6" s="55"/>
      <c r="E6" s="55"/>
      <c r="F6" s="55"/>
      <c r="G6" s="55"/>
      <c r="H6" s="55"/>
      <c r="I6" s="55"/>
      <c r="J6" s="55"/>
      <c r="K6" s="55"/>
    </row>
    <row r="7" spans="1:11" ht="15.75">
      <c r="A7" s="4"/>
      <c r="B7" s="5"/>
      <c r="C7" s="5"/>
      <c r="D7" s="5"/>
    </row>
    <row r="8" spans="1:11" ht="18.75">
      <c r="A8" s="56" t="s">
        <v>24</v>
      </c>
      <c r="B8" s="56"/>
      <c r="C8" s="56"/>
      <c r="D8" s="56"/>
      <c r="E8" s="56"/>
      <c r="G8" s="29" t="s">
        <v>25</v>
      </c>
      <c r="H8" s="29"/>
      <c r="I8" s="29"/>
      <c r="J8" s="29"/>
      <c r="K8" s="30"/>
    </row>
    <row r="9" spans="1:11" ht="19.5" thickBot="1">
      <c r="A9" s="56"/>
      <c r="B9" s="56"/>
      <c r="C9" s="56"/>
      <c r="D9" s="56"/>
      <c r="E9" s="56"/>
      <c r="G9" s="29"/>
      <c r="H9" s="29"/>
      <c r="I9" s="29"/>
      <c r="J9" s="29"/>
      <c r="K9" s="6"/>
    </row>
    <row r="10" spans="1:11" ht="18.75">
      <c r="A10" s="7" t="s">
        <v>3</v>
      </c>
      <c r="B10" s="8" t="s">
        <v>4</v>
      </c>
      <c r="C10" s="9" t="s">
        <v>5</v>
      </c>
      <c r="D10" s="9" t="s">
        <v>6</v>
      </c>
      <c r="E10" s="10" t="s">
        <v>7</v>
      </c>
      <c r="G10" s="7" t="s">
        <v>3</v>
      </c>
      <c r="H10" s="8" t="s">
        <v>4</v>
      </c>
      <c r="I10" s="9" t="s">
        <v>5</v>
      </c>
      <c r="J10" s="9" t="s">
        <v>6</v>
      </c>
      <c r="K10" s="10" t="s">
        <v>7</v>
      </c>
    </row>
    <row r="11" spans="1:11" ht="15.75">
      <c r="A11" s="36">
        <v>1</v>
      </c>
      <c r="B11" s="12" t="s">
        <v>10</v>
      </c>
      <c r="C11" s="13">
        <v>15.6</v>
      </c>
      <c r="D11" s="14">
        <f>C11/0.378</f>
        <v>41.269841269841265</v>
      </c>
      <c r="E11" s="15">
        <f>C11/$C$22*100</f>
        <v>16.542948038176036</v>
      </c>
      <c r="G11" s="33">
        <v>1</v>
      </c>
      <c r="H11" s="12" t="s">
        <v>13</v>
      </c>
      <c r="I11" s="41">
        <v>6.835</v>
      </c>
      <c r="J11" s="43">
        <f>I11/0.378</f>
        <v>18.082010582010582</v>
      </c>
      <c r="K11" s="44" t="e">
        <f>I11/I22*100</f>
        <v>#DIV/0!</v>
      </c>
    </row>
    <row r="12" spans="1:11" ht="15.75">
      <c r="A12" s="11">
        <v>2</v>
      </c>
      <c r="B12" s="12" t="s">
        <v>8</v>
      </c>
      <c r="C12" s="13">
        <v>12.7</v>
      </c>
      <c r="D12" s="14">
        <f t="shared" ref="D12:D21" si="0">C12/0.378</f>
        <v>33.597883597883595</v>
      </c>
      <c r="E12" s="15">
        <f t="shared" ref="E12:E21" si="1">C12/$C$22*100</f>
        <v>13.467656415694593</v>
      </c>
      <c r="G12" s="11">
        <v>2</v>
      </c>
      <c r="H12" s="12" t="s">
        <v>9</v>
      </c>
      <c r="I12" s="13">
        <v>3.4</v>
      </c>
      <c r="J12" s="43">
        <f t="shared" ref="J12:J20" si="2">I12/0.378</f>
        <v>8.9947089947089935</v>
      </c>
      <c r="K12" s="44" t="e">
        <f>I12/#REF!*100</f>
        <v>#REF!</v>
      </c>
    </row>
    <row r="13" spans="1:11" ht="15.75">
      <c r="A13" s="36">
        <v>3</v>
      </c>
      <c r="B13" s="12" t="s">
        <v>13</v>
      </c>
      <c r="C13" s="13">
        <v>6.3</v>
      </c>
      <c r="D13" s="14">
        <f t="shared" si="0"/>
        <v>16.666666666666668</v>
      </c>
      <c r="E13" s="15">
        <f t="shared" si="1"/>
        <v>6.6808059384941689</v>
      </c>
      <c r="G13" s="33">
        <v>3</v>
      </c>
      <c r="H13" s="12" t="s">
        <v>17</v>
      </c>
      <c r="I13" s="13">
        <v>2</v>
      </c>
      <c r="J13" s="43">
        <f t="shared" si="2"/>
        <v>5.2910052910052912</v>
      </c>
      <c r="K13" s="44" t="e">
        <f>I13/#REF!*100</f>
        <v>#REF!</v>
      </c>
    </row>
    <row r="14" spans="1:11" ht="15.75">
      <c r="A14" s="11">
        <v>4</v>
      </c>
      <c r="B14" s="12" t="s">
        <v>14</v>
      </c>
      <c r="C14" s="13">
        <v>4.9000000000000004</v>
      </c>
      <c r="D14" s="14">
        <f t="shared" si="0"/>
        <v>12.962962962962964</v>
      </c>
      <c r="E14" s="15">
        <f t="shared" si="1"/>
        <v>5.1961823966065763</v>
      </c>
      <c r="G14" s="11">
        <v>4</v>
      </c>
      <c r="H14" s="12" t="s">
        <v>31</v>
      </c>
      <c r="I14" s="13">
        <v>1.3</v>
      </c>
      <c r="J14" s="43">
        <f t="shared" si="2"/>
        <v>3.4391534391534391</v>
      </c>
      <c r="K14" s="44" t="e">
        <f>I14/#REF!*100</f>
        <v>#REF!</v>
      </c>
    </row>
    <row r="15" spans="1:11" ht="15.75">
      <c r="A15" s="36">
        <v>5</v>
      </c>
      <c r="B15" s="12" t="s">
        <v>9</v>
      </c>
      <c r="C15" s="13">
        <v>5</v>
      </c>
      <c r="D15" s="14">
        <f t="shared" si="0"/>
        <v>13.227513227513228</v>
      </c>
      <c r="E15" s="15">
        <f t="shared" si="1"/>
        <v>5.3022269353128326</v>
      </c>
      <c r="G15" s="33">
        <v>5</v>
      </c>
      <c r="H15" s="12" t="s">
        <v>32</v>
      </c>
      <c r="I15" s="13">
        <v>1.2</v>
      </c>
      <c r="J15" s="43">
        <f t="shared" si="2"/>
        <v>3.1746031746031744</v>
      </c>
      <c r="K15" s="44" t="e">
        <f>I15/#REF!*100</f>
        <v>#REF!</v>
      </c>
    </row>
    <row r="16" spans="1:11" ht="15.75">
      <c r="A16" s="11">
        <v>6</v>
      </c>
      <c r="B16" s="12" t="s">
        <v>15</v>
      </c>
      <c r="C16" s="13">
        <v>4.8</v>
      </c>
      <c r="D16" s="14">
        <f t="shared" si="0"/>
        <v>12.698412698412698</v>
      </c>
      <c r="E16" s="15">
        <f t="shared" si="1"/>
        <v>5.0901378579003191</v>
      </c>
      <c r="G16" s="11">
        <v>6</v>
      </c>
      <c r="H16" s="12" t="s">
        <v>18</v>
      </c>
      <c r="I16" s="13">
        <v>1.1000000000000001</v>
      </c>
      <c r="J16" s="43">
        <f t="shared" si="2"/>
        <v>2.9100529100529102</v>
      </c>
      <c r="K16" s="44" t="e">
        <f>I16/#REF!*100</f>
        <v>#REF!</v>
      </c>
    </row>
    <row r="17" spans="1:11" ht="15.75">
      <c r="A17" s="36">
        <v>7</v>
      </c>
      <c r="B17" s="35" t="s">
        <v>29</v>
      </c>
      <c r="C17" s="34">
        <v>4.5999999999999996</v>
      </c>
      <c r="D17" s="14">
        <f t="shared" si="0"/>
        <v>12.169312169312168</v>
      </c>
      <c r="E17" s="15">
        <f t="shared" si="1"/>
        <v>4.8780487804878048</v>
      </c>
      <c r="G17" s="33">
        <v>7</v>
      </c>
      <c r="H17" s="12" t="s">
        <v>12</v>
      </c>
      <c r="I17" s="13">
        <v>0.5</v>
      </c>
      <c r="J17" s="43">
        <f t="shared" si="2"/>
        <v>1.3227513227513228</v>
      </c>
      <c r="K17" s="44" t="e">
        <f>I17/#REF!*100</f>
        <v>#REF!</v>
      </c>
    </row>
    <row r="18" spans="1:11" ht="15.75">
      <c r="A18" s="11">
        <v>8</v>
      </c>
      <c r="B18" s="35" t="s">
        <v>20</v>
      </c>
      <c r="C18" s="34">
        <v>4.3</v>
      </c>
      <c r="D18" s="14">
        <f t="shared" si="0"/>
        <v>11.375661375661375</v>
      </c>
      <c r="E18" s="15">
        <f t="shared" si="1"/>
        <v>4.5599151643690359</v>
      </c>
      <c r="G18" s="11">
        <v>8</v>
      </c>
      <c r="H18" s="12" t="s">
        <v>33</v>
      </c>
      <c r="I18" s="13">
        <v>0.4</v>
      </c>
      <c r="J18" s="43">
        <f t="shared" si="2"/>
        <v>1.0582010582010581</v>
      </c>
      <c r="K18" s="44" t="e">
        <f>I18/#REF!*100</f>
        <v>#REF!</v>
      </c>
    </row>
    <row r="19" spans="1:11" ht="15.75">
      <c r="A19" s="36">
        <v>9</v>
      </c>
      <c r="B19" s="12" t="s">
        <v>11</v>
      </c>
      <c r="C19" s="13">
        <v>4.0999999999999996</v>
      </c>
      <c r="D19" s="14">
        <f t="shared" si="0"/>
        <v>10.846560846560845</v>
      </c>
      <c r="E19" s="15">
        <f t="shared" si="1"/>
        <v>4.3478260869565224</v>
      </c>
      <c r="G19" s="33">
        <v>9</v>
      </c>
      <c r="H19" s="12" t="s">
        <v>19</v>
      </c>
      <c r="I19" s="13">
        <v>0.4</v>
      </c>
      <c r="J19" s="43">
        <f t="shared" si="2"/>
        <v>1.0582010582010581</v>
      </c>
      <c r="K19" s="44" t="e">
        <f>I19/#REF!*100</f>
        <v>#REF!</v>
      </c>
    </row>
    <row r="20" spans="1:11" ht="15.75">
      <c r="A20" s="11">
        <v>10</v>
      </c>
      <c r="B20" s="12" t="s">
        <v>17</v>
      </c>
      <c r="C20" s="13">
        <v>3.7</v>
      </c>
      <c r="D20" s="14">
        <f t="shared" si="0"/>
        <v>9.7883597883597879</v>
      </c>
      <c r="E20" s="15">
        <f t="shared" si="1"/>
        <v>3.9236479321314959</v>
      </c>
      <c r="G20" s="11">
        <v>10</v>
      </c>
      <c r="I20" s="13">
        <v>3.0000000000000001E-3</v>
      </c>
      <c r="J20" s="43">
        <f t="shared" si="2"/>
        <v>7.9365079365079361E-3</v>
      </c>
      <c r="K20" s="44" t="e">
        <f>I20/#REF!*100</f>
        <v>#REF!</v>
      </c>
    </row>
    <row r="21" spans="1:11" ht="19.5" thickBot="1">
      <c r="A21" s="45"/>
      <c r="B21" s="46"/>
      <c r="C21" s="47">
        <v>28.3</v>
      </c>
      <c r="D21" s="48">
        <f t="shared" si="0"/>
        <v>74.867724867724874</v>
      </c>
      <c r="E21" s="15">
        <f t="shared" si="1"/>
        <v>30.010604453870631</v>
      </c>
      <c r="G21" s="21"/>
      <c r="H21" s="17" t="s">
        <v>21</v>
      </c>
      <c r="I21" s="25">
        <f>SUM(I12:I20)</f>
        <v>10.303000000000001</v>
      </c>
      <c r="J21" s="42">
        <f>I21/0.378</f>
        <v>27.25661375661376</v>
      </c>
      <c r="K21" s="24" t="e">
        <f>SUM(K10:K20)</f>
        <v>#DIV/0!</v>
      </c>
    </row>
    <row r="22" spans="1:11" ht="19.5" thickBot="1">
      <c r="A22" s="37"/>
      <c r="B22" s="38" t="s">
        <v>30</v>
      </c>
      <c r="C22" s="39">
        <f>SUM(C11:C21)</f>
        <v>94.299999999999983</v>
      </c>
      <c r="D22" s="39">
        <f>C22/0.378</f>
        <v>249.47089947089941</v>
      </c>
      <c r="E22" s="40">
        <f>SUM(E11:E21)</f>
        <v>100</v>
      </c>
      <c r="H22" s="22" t="s">
        <v>22</v>
      </c>
      <c r="K22" s="49" t="e">
        <f>SUM(K11:K21)</f>
        <v>#DIV/0!</v>
      </c>
    </row>
    <row r="24" spans="1:11">
      <c r="C24" s="27"/>
    </row>
    <row r="26" spans="1:11" ht="18.75">
      <c r="A26" s="28" t="s">
        <v>23</v>
      </c>
    </row>
  </sheetData>
  <mergeCells count="4">
    <mergeCell ref="A4:B4"/>
    <mergeCell ref="A6:K6"/>
    <mergeCell ref="A8:E8"/>
    <mergeCell ref="A9:E9"/>
  </mergeCells>
  <phoneticPr fontId="8" type="noConversion"/>
  <pageMargins left="0.75" right="0.75" top="1" bottom="1" header="0.5" footer="0.5"/>
  <pageSetup paperSize="9" scale="7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topLeftCell="F7" workbookViewId="0">
      <selection activeCell="J20" sqref="J20"/>
    </sheetView>
  </sheetViews>
  <sheetFormatPr defaultRowHeight="12.75"/>
  <cols>
    <col min="1" max="1" width="7.7109375" bestFit="1" customWidth="1"/>
    <col min="2" max="2" width="36.42578125" bestFit="1" customWidth="1"/>
    <col min="4" max="4" width="9.42578125" bestFit="1" customWidth="1"/>
    <col min="5" max="5" width="14" bestFit="1" customWidth="1"/>
    <col min="6" max="6" width="25.5703125" customWidth="1"/>
    <col min="8" max="8" width="35" bestFit="1" customWidth="1"/>
    <col min="11" max="11" width="14" bestFit="1" customWidth="1"/>
  </cols>
  <sheetData>
    <row r="1" spans="1:11" ht="15.75">
      <c r="A1" s="61" t="s">
        <v>0</v>
      </c>
      <c r="B1" s="61"/>
      <c r="C1" s="61"/>
      <c r="D1" s="61"/>
      <c r="E1" s="61"/>
      <c r="F1" s="61"/>
    </row>
    <row r="2" spans="1:11" ht="15.75">
      <c r="A2" s="62" t="s">
        <v>51</v>
      </c>
      <c r="B2" s="62"/>
      <c r="C2" s="62"/>
      <c r="D2" s="62"/>
      <c r="E2" s="62"/>
      <c r="F2" s="62"/>
    </row>
    <row r="3" spans="1:11" ht="15.75">
      <c r="A3" s="62" t="s">
        <v>2</v>
      </c>
      <c r="B3" s="62"/>
      <c r="C3" s="62"/>
      <c r="D3" s="62"/>
      <c r="E3" s="62"/>
      <c r="F3" s="62"/>
    </row>
    <row r="4" spans="1:11" ht="15.75">
      <c r="A4" s="53">
        <v>38506</v>
      </c>
      <c r="B4" s="53"/>
      <c r="C4" s="53"/>
      <c r="D4" s="53"/>
      <c r="E4" s="53"/>
      <c r="F4" s="51"/>
    </row>
    <row r="5" spans="1:11" ht="15.75">
      <c r="A5" s="3"/>
      <c r="B5" s="3"/>
      <c r="C5" s="3"/>
      <c r="D5" s="3"/>
    </row>
    <row r="6" spans="1:11" ht="20.25">
      <c r="A6" s="63" t="s">
        <v>41</v>
      </c>
      <c r="B6" s="63"/>
      <c r="C6" s="63"/>
      <c r="D6" s="63"/>
      <c r="E6" s="63"/>
      <c r="F6" s="63"/>
      <c r="G6" s="63"/>
      <c r="H6" s="63"/>
      <c r="I6" s="63"/>
      <c r="J6" s="63"/>
      <c r="K6" s="63"/>
    </row>
    <row r="7" spans="1:11" ht="15.75">
      <c r="A7" s="4"/>
      <c r="B7" s="5"/>
      <c r="C7" s="5"/>
      <c r="D7" s="5"/>
    </row>
    <row r="8" spans="1:11" ht="33" customHeight="1" thickBot="1">
      <c r="A8" s="60" t="s">
        <v>49</v>
      </c>
      <c r="B8" s="60"/>
      <c r="C8" s="60"/>
      <c r="D8" s="60"/>
      <c r="E8" s="60"/>
      <c r="F8" s="29"/>
      <c r="G8" s="60" t="s">
        <v>50</v>
      </c>
      <c r="H8" s="60"/>
      <c r="I8" s="60"/>
      <c r="J8" s="60"/>
      <c r="K8" s="60"/>
    </row>
    <row r="9" spans="1:11" ht="18.75">
      <c r="A9" s="7" t="s">
        <v>3</v>
      </c>
      <c r="B9" s="8" t="s">
        <v>4</v>
      </c>
      <c r="C9" s="9" t="s">
        <v>5</v>
      </c>
      <c r="D9" s="9" t="s">
        <v>6</v>
      </c>
      <c r="E9" s="10" t="s">
        <v>7</v>
      </c>
      <c r="G9" s="7" t="s">
        <v>3</v>
      </c>
      <c r="H9" s="8" t="s">
        <v>4</v>
      </c>
      <c r="I9" s="9" t="s">
        <v>5</v>
      </c>
      <c r="J9" s="9" t="s">
        <v>6</v>
      </c>
      <c r="K9" s="10" t="s">
        <v>7</v>
      </c>
    </row>
    <row r="10" spans="1:11">
      <c r="A10" s="11">
        <v>1</v>
      </c>
      <c r="B10" s="12" t="s">
        <v>8</v>
      </c>
      <c r="C10" s="13">
        <v>152.72999999999999</v>
      </c>
      <c r="D10" s="14">
        <f>C10/0.378</f>
        <v>404.04761904761904</v>
      </c>
      <c r="E10" s="15">
        <f>C10/C21*100</f>
        <v>10.605808091329525</v>
      </c>
      <c r="G10" s="11">
        <v>1</v>
      </c>
      <c r="H10" s="12" t="s">
        <v>10</v>
      </c>
      <c r="I10" s="13">
        <v>148.35</v>
      </c>
      <c r="J10" s="14">
        <f>I10/0.378</f>
        <v>392.46031746031747</v>
      </c>
      <c r="K10" s="15">
        <f>I10/I21*100</f>
        <v>21.935531568830402</v>
      </c>
    </row>
    <row r="11" spans="1:11">
      <c r="A11" s="11">
        <v>2</v>
      </c>
      <c r="B11" s="12" t="s">
        <v>10</v>
      </c>
      <c r="C11" s="13">
        <v>144.26</v>
      </c>
      <c r="D11" s="14">
        <f>C11/0.378</f>
        <v>381.64021164021159</v>
      </c>
      <c r="E11" s="15">
        <f>C11/C21*100</f>
        <v>10.017638153965805</v>
      </c>
      <c r="G11" s="11">
        <v>2</v>
      </c>
      <c r="H11" s="12" t="s">
        <v>9</v>
      </c>
      <c r="I11" s="13">
        <v>89.86</v>
      </c>
      <c r="J11" s="14">
        <f t="shared" ref="J11:J19" si="0">I11/0.378</f>
        <v>237.72486772486772</v>
      </c>
      <c r="K11" s="15">
        <f>I11/I21*100</f>
        <v>13.287002809404111</v>
      </c>
    </row>
    <row r="12" spans="1:11">
      <c r="A12" s="11">
        <v>3</v>
      </c>
      <c r="B12" s="12" t="s">
        <v>15</v>
      </c>
      <c r="C12" s="13">
        <v>91.3</v>
      </c>
      <c r="D12" s="14">
        <f>C12/0.378</f>
        <v>241.53439153439152</v>
      </c>
      <c r="E12" s="15">
        <f>C12/C21*100</f>
        <v>6.3400136105440037</v>
      </c>
      <c r="G12" s="11">
        <v>3</v>
      </c>
      <c r="H12" s="12" t="s">
        <v>12</v>
      </c>
      <c r="I12" s="13">
        <v>75.349999999999994</v>
      </c>
      <c r="J12" s="14">
        <f>I12/0.378</f>
        <v>199.33862433862433</v>
      </c>
      <c r="K12" s="15">
        <f>I12/I21*100</f>
        <v>11.141505249149786</v>
      </c>
    </row>
    <row r="13" spans="1:11">
      <c r="A13" s="11">
        <v>4</v>
      </c>
      <c r="B13" s="12" t="s">
        <v>11</v>
      </c>
      <c r="C13" s="13">
        <v>90.87</v>
      </c>
      <c r="D13" s="14">
        <f t="shared" ref="D13:D19" si="1">C13/0.378</f>
        <v>240.39682539682542</v>
      </c>
      <c r="E13" s="15">
        <f>C13/C21*100</f>
        <v>6.3101537435940163</v>
      </c>
      <c r="G13" s="11">
        <v>4</v>
      </c>
      <c r="H13" s="12" t="s">
        <v>18</v>
      </c>
      <c r="I13" s="13">
        <v>44.53</v>
      </c>
      <c r="J13" s="14">
        <f t="shared" si="0"/>
        <v>117.80423280423281</v>
      </c>
      <c r="K13" s="15">
        <f>I13/I21*100</f>
        <v>6.5843560550051761</v>
      </c>
    </row>
    <row r="14" spans="1:11">
      <c r="A14" s="11">
        <v>5</v>
      </c>
      <c r="B14" s="12" t="s">
        <v>20</v>
      </c>
      <c r="C14" s="13">
        <v>85.46</v>
      </c>
      <c r="D14" s="14">
        <f t="shared" si="1"/>
        <v>226.08465608465607</v>
      </c>
      <c r="E14" s="15">
        <f>C14/C21*100</f>
        <v>5.9344749524325362</v>
      </c>
      <c r="G14" s="11">
        <v>5</v>
      </c>
      <c r="H14" s="12" t="s">
        <v>13</v>
      </c>
      <c r="I14" s="13">
        <v>32.76</v>
      </c>
      <c r="J14" s="14">
        <f>I14/0.378</f>
        <v>86.666666666666657</v>
      </c>
      <c r="K14" s="15">
        <f>I14/I21*100</f>
        <v>4.8440041401744782</v>
      </c>
    </row>
    <row r="15" spans="1:11">
      <c r="A15" s="11">
        <v>6</v>
      </c>
      <c r="B15" s="12" t="s">
        <v>9</v>
      </c>
      <c r="C15" s="13">
        <v>83.97</v>
      </c>
      <c r="D15" s="14">
        <f>C15/0.378</f>
        <v>222.14285714285714</v>
      </c>
      <c r="E15" s="15">
        <f>C15/C21*100</f>
        <v>5.8310070413732751</v>
      </c>
      <c r="G15" s="11">
        <v>6</v>
      </c>
      <c r="H15" s="12" t="s">
        <v>14</v>
      </c>
      <c r="I15" s="13">
        <v>31.41</v>
      </c>
      <c r="J15" s="14">
        <f t="shared" si="0"/>
        <v>83.095238095238102</v>
      </c>
      <c r="K15" s="15">
        <f>I15/I21*100</f>
        <v>4.6443885849475093</v>
      </c>
    </row>
    <row r="16" spans="1:11">
      <c r="A16" s="11">
        <v>7</v>
      </c>
      <c r="B16" s="12" t="s">
        <v>17</v>
      </c>
      <c r="C16" s="13">
        <v>83.32</v>
      </c>
      <c r="D16" s="14">
        <f t="shared" si="1"/>
        <v>220.4232804232804</v>
      </c>
      <c r="E16" s="15">
        <f>C16/C21*100</f>
        <v>5.7858700331930599</v>
      </c>
      <c r="G16" s="11">
        <v>7</v>
      </c>
      <c r="H16" s="12" t="s">
        <v>8</v>
      </c>
      <c r="I16" s="13">
        <v>26.1</v>
      </c>
      <c r="J16" s="14">
        <f t="shared" si="0"/>
        <v>69.047619047619051</v>
      </c>
      <c r="K16" s="15">
        <f>I16/I21*100</f>
        <v>3.8592340677214261</v>
      </c>
    </row>
    <row r="17" spans="1:11">
      <c r="A17" s="11">
        <v>8</v>
      </c>
      <c r="B17" s="12" t="s">
        <v>14</v>
      </c>
      <c r="C17" s="13">
        <v>71.12</v>
      </c>
      <c r="D17" s="14">
        <f t="shared" si="1"/>
        <v>188.14814814814815</v>
      </c>
      <c r="E17" s="15">
        <f>C17/C21*100</f>
        <v>4.9386831104259548</v>
      </c>
      <c r="G17" s="11">
        <v>8</v>
      </c>
      <c r="H17" s="12" t="s">
        <v>16</v>
      </c>
      <c r="I17" s="13">
        <v>24.05</v>
      </c>
      <c r="J17" s="14">
        <f t="shared" si="0"/>
        <v>63.624338624338627</v>
      </c>
      <c r="K17" s="15">
        <f>I17/I21*100</f>
        <v>3.5561141505249152</v>
      </c>
    </row>
    <row r="18" spans="1:11">
      <c r="A18" s="11">
        <v>9</v>
      </c>
      <c r="B18" s="12" t="s">
        <v>18</v>
      </c>
      <c r="C18" s="13">
        <v>68.900000000000006</v>
      </c>
      <c r="D18" s="14">
        <f t="shared" si="1"/>
        <v>182.27513227513228</v>
      </c>
      <c r="E18" s="15">
        <f>C18/C21*100</f>
        <v>4.7845228671027593</v>
      </c>
      <c r="G18" s="11">
        <v>9</v>
      </c>
      <c r="H18" s="12" t="s">
        <v>28</v>
      </c>
      <c r="I18" s="13">
        <v>21.76</v>
      </c>
      <c r="J18" s="14">
        <f t="shared" si="0"/>
        <v>57.56613756613757</v>
      </c>
      <c r="K18" s="15">
        <f>I18/I21*100</f>
        <v>3.2175070235102772</v>
      </c>
    </row>
    <row r="19" spans="1:11">
      <c r="A19" s="11">
        <v>10</v>
      </c>
      <c r="B19" s="12" t="s">
        <v>13</v>
      </c>
      <c r="C19" s="13">
        <v>67.84</v>
      </c>
      <c r="D19" s="14">
        <f t="shared" si="1"/>
        <v>179.47089947089947</v>
      </c>
      <c r="E19" s="15">
        <f>C19/C21*100</f>
        <v>4.7109148229934856</v>
      </c>
      <c r="G19" s="11">
        <v>10</v>
      </c>
      <c r="H19" s="12" t="s">
        <v>54</v>
      </c>
      <c r="I19" s="13">
        <v>16.03</v>
      </c>
      <c r="J19" s="14">
        <f t="shared" si="0"/>
        <v>42.407407407407412</v>
      </c>
      <c r="K19" s="15">
        <f>I19/I21*100</f>
        <v>2.3702498891024697</v>
      </c>
    </row>
    <row r="20" spans="1:11" ht="13.5" thickBot="1">
      <c r="A20" s="16"/>
      <c r="B20" s="17" t="s">
        <v>53</v>
      </c>
      <c r="C20" s="18">
        <v>500.29</v>
      </c>
      <c r="D20" s="19">
        <f>C20/0.378</f>
        <v>1323.5185185185185</v>
      </c>
      <c r="E20" s="20">
        <f>C20/C21*100</f>
        <v>34.74091357304556</v>
      </c>
      <c r="G20" s="16"/>
      <c r="H20" s="17" t="s">
        <v>42</v>
      </c>
      <c r="I20" s="18">
        <v>166.1</v>
      </c>
      <c r="J20" s="19">
        <f>I20/0.378</f>
        <v>439.41798941798942</v>
      </c>
      <c r="K20" s="20">
        <f>I20/I21*100</f>
        <v>24.560106461629456</v>
      </c>
    </row>
    <row r="21" spans="1:11" ht="20.25" thickTop="1" thickBot="1">
      <c r="A21" s="21"/>
      <c r="B21" s="22" t="s">
        <v>52</v>
      </c>
      <c r="C21" s="23">
        <f>SUM(C10:C20)</f>
        <v>1440.0600000000002</v>
      </c>
      <c r="D21" s="23">
        <f>C21/0.378</f>
        <v>3809.6825396825402</v>
      </c>
      <c r="E21" s="24">
        <f>SUM(E10:E20)</f>
        <v>99.999999999999972</v>
      </c>
      <c r="G21" s="21"/>
      <c r="H21" s="22" t="s">
        <v>43</v>
      </c>
      <c r="I21" s="25">
        <f>SUM(I10:I20)</f>
        <v>676.3</v>
      </c>
      <c r="J21" s="23">
        <f>I21/0.378</f>
        <v>1789.153439153439</v>
      </c>
      <c r="K21" s="26">
        <f>SUM(K10:K20)</f>
        <v>100.00000000000001</v>
      </c>
    </row>
    <row r="23" spans="1:11">
      <c r="C23" s="27"/>
    </row>
    <row r="25" spans="1:11" ht="18.75">
      <c r="A25" s="54" t="s">
        <v>23</v>
      </c>
      <c r="B25" s="54"/>
      <c r="C25" s="54"/>
      <c r="D25" s="54"/>
    </row>
    <row r="26" spans="1:11">
      <c r="A26" s="58" t="s">
        <v>37</v>
      </c>
      <c r="B26" s="58"/>
      <c r="C26" s="58"/>
      <c r="D26" s="58"/>
    </row>
    <row r="27" spans="1:11" ht="18.75">
      <c r="A27" s="59" t="s">
        <v>38</v>
      </c>
      <c r="B27" s="59"/>
      <c r="C27" s="59"/>
      <c r="D27" s="59"/>
      <c r="E27" s="59"/>
      <c r="F27" s="59"/>
    </row>
  </sheetData>
  <mergeCells count="10">
    <mergeCell ref="A26:D26"/>
    <mergeCell ref="A27:F27"/>
    <mergeCell ref="A8:E8"/>
    <mergeCell ref="G8:K8"/>
    <mergeCell ref="A1:F1"/>
    <mergeCell ref="A2:F2"/>
    <mergeCell ref="A3:F3"/>
    <mergeCell ref="A4:E4"/>
    <mergeCell ref="A6:K6"/>
    <mergeCell ref="A25:D25"/>
  </mergeCells>
  <phoneticPr fontId="8" type="noConversion"/>
  <pageMargins left="0.75" right="0.75" top="1" bottom="1" header="0.5" footer="0.5"/>
  <pageSetup paperSize="9" scale="7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zoomScale="75" workbookViewId="0">
      <selection activeCell="H29" sqref="H29"/>
    </sheetView>
  </sheetViews>
  <sheetFormatPr defaultRowHeight="12.75"/>
  <cols>
    <col min="2" max="2" width="36.42578125" bestFit="1" customWidth="1"/>
    <col min="3" max="3" width="9.85546875" bestFit="1" customWidth="1"/>
    <col min="4" max="4" width="9.42578125" bestFit="1" customWidth="1"/>
    <col min="5" max="5" width="14" bestFit="1" customWidth="1"/>
    <col min="8" max="8" width="35" bestFit="1" customWidth="1"/>
    <col min="11" max="11" width="14" bestFit="1" customWidth="1"/>
  </cols>
  <sheetData>
    <row r="1" spans="1:11" ht="15.75">
      <c r="A1" s="61" t="s">
        <v>0</v>
      </c>
      <c r="B1" s="61"/>
      <c r="C1" s="61"/>
      <c r="D1" s="61"/>
    </row>
    <row r="2" spans="1:11" ht="15.75">
      <c r="A2" s="62" t="s">
        <v>58</v>
      </c>
      <c r="B2" s="62"/>
      <c r="C2" s="62"/>
      <c r="D2" s="62"/>
    </row>
    <row r="3" spans="1:11" ht="15.75">
      <c r="A3" s="53">
        <v>40224</v>
      </c>
      <c r="B3" s="53"/>
      <c r="C3" s="53"/>
      <c r="D3" s="53"/>
    </row>
    <row r="4" spans="1:11" ht="15.75">
      <c r="A4" s="3"/>
      <c r="B4" s="3"/>
      <c r="C4" s="3"/>
      <c r="D4" s="3"/>
    </row>
    <row r="5" spans="1:11" ht="20.25">
      <c r="A5" s="63" t="s">
        <v>56</v>
      </c>
      <c r="B5" s="63"/>
      <c r="C5" s="63"/>
      <c r="D5" s="63"/>
      <c r="E5" s="63"/>
      <c r="F5" s="63"/>
      <c r="G5" s="63"/>
      <c r="H5" s="63"/>
      <c r="I5" s="63"/>
      <c r="J5" s="63"/>
      <c r="K5" s="63"/>
    </row>
    <row r="6" spans="1:11" ht="15.75">
      <c r="A6" s="4"/>
      <c r="B6" s="5"/>
      <c r="C6" s="5"/>
      <c r="D6" s="5"/>
    </row>
    <row r="7" spans="1:11" ht="19.5" thickBot="1">
      <c r="A7" s="50" t="s">
        <v>34</v>
      </c>
      <c r="E7" s="6" t="s">
        <v>35</v>
      </c>
      <c r="G7" s="50" t="s">
        <v>36</v>
      </c>
      <c r="K7" s="6" t="s">
        <v>35</v>
      </c>
    </row>
    <row r="8" spans="1:11" ht="20.100000000000001" customHeight="1">
      <c r="A8" s="7" t="s">
        <v>3</v>
      </c>
      <c r="B8" s="8" t="s">
        <v>4</v>
      </c>
      <c r="C8" s="9" t="s">
        <v>5</v>
      </c>
      <c r="D8" s="9" t="s">
        <v>6</v>
      </c>
      <c r="E8" s="10" t="s">
        <v>7</v>
      </c>
      <c r="G8" s="7" t="s">
        <v>3</v>
      </c>
      <c r="H8" s="8" t="s">
        <v>4</v>
      </c>
      <c r="I8" s="9" t="s">
        <v>5</v>
      </c>
      <c r="J8" s="9" t="s">
        <v>6</v>
      </c>
      <c r="K8" s="10" t="s">
        <v>7</v>
      </c>
    </row>
    <row r="9" spans="1:11" ht="15" customHeight="1">
      <c r="A9" s="11">
        <v>1</v>
      </c>
      <c r="B9" s="12" t="s">
        <v>8</v>
      </c>
      <c r="C9" s="13">
        <v>264.74</v>
      </c>
      <c r="D9" s="14">
        <f>C9/0.378</f>
        <v>700.37037037037044</v>
      </c>
      <c r="E9" s="15">
        <f>C9/C20*100</f>
        <v>10.738826736328013</v>
      </c>
      <c r="G9" s="11">
        <v>1</v>
      </c>
      <c r="H9" s="12" t="s">
        <v>10</v>
      </c>
      <c r="I9" s="13">
        <v>233.90700000000001</v>
      </c>
      <c r="J9" s="14">
        <f>I9/0.378</f>
        <v>618.80158730158735</v>
      </c>
      <c r="K9" s="15">
        <f>I9/I20*100</f>
        <v>22.122170499232986</v>
      </c>
    </row>
    <row r="10" spans="1:11" ht="15" customHeight="1">
      <c r="A10" s="11">
        <v>2</v>
      </c>
      <c r="B10" s="12" t="s">
        <v>13</v>
      </c>
      <c r="C10" s="13">
        <v>244.46799999999999</v>
      </c>
      <c r="D10" s="14">
        <f>C10/0.378</f>
        <v>646.74074074074076</v>
      </c>
      <c r="E10" s="15">
        <f>C10/C20*100</f>
        <v>9.9165199613833828</v>
      </c>
      <c r="G10" s="11">
        <v>2</v>
      </c>
      <c r="H10" s="12" t="s">
        <v>9</v>
      </c>
      <c r="I10" s="13">
        <v>95.59</v>
      </c>
      <c r="J10" s="14">
        <f t="shared" ref="J10:J18" si="0">I10/0.378</f>
        <v>252.8835978835979</v>
      </c>
      <c r="K10" s="15">
        <f>I10/I20*100</f>
        <v>9.0405942448138834</v>
      </c>
    </row>
    <row r="11" spans="1:11" ht="15" customHeight="1">
      <c r="A11" s="11">
        <v>3</v>
      </c>
      <c r="B11" s="12" t="s">
        <v>10</v>
      </c>
      <c r="C11" s="13">
        <v>195.721</v>
      </c>
      <c r="D11" s="14">
        <f>C11/0.378</f>
        <v>517.78042328042329</v>
      </c>
      <c r="E11" s="15">
        <f>C11/C20*100</f>
        <v>7.9391626035387741</v>
      </c>
      <c r="G11" s="11">
        <v>3</v>
      </c>
      <c r="H11" s="12" t="s">
        <v>31</v>
      </c>
      <c r="I11" s="13">
        <v>74.204999999999998</v>
      </c>
      <c r="J11" s="14">
        <f>I11/0.378</f>
        <v>196.3095238095238</v>
      </c>
      <c r="K11" s="15">
        <f>I11/I20*100</f>
        <v>7.0180698392762242</v>
      </c>
    </row>
    <row r="12" spans="1:11" ht="15" customHeight="1">
      <c r="A12" s="11">
        <v>4</v>
      </c>
      <c r="B12" s="12" t="s">
        <v>17</v>
      </c>
      <c r="C12" s="13">
        <v>187.27099999999999</v>
      </c>
      <c r="D12" s="14">
        <f t="shared" ref="D12:D18" si="1">C12/0.378</f>
        <v>495.42592592592587</v>
      </c>
      <c r="E12" s="15">
        <f>C12/C20*100</f>
        <v>7.5963995684025205</v>
      </c>
      <c r="G12" s="11">
        <v>4</v>
      </c>
      <c r="H12" s="12" t="s">
        <v>18</v>
      </c>
      <c r="I12" s="13">
        <v>67.17</v>
      </c>
      <c r="J12" s="14">
        <f t="shared" si="0"/>
        <v>177.69841269841271</v>
      </c>
      <c r="K12" s="15">
        <f>I12/I20*100</f>
        <v>6.3527222034119539</v>
      </c>
    </row>
    <row r="13" spans="1:11" ht="15" customHeight="1">
      <c r="A13" s="11">
        <v>5</v>
      </c>
      <c r="B13" s="12" t="s">
        <v>9</v>
      </c>
      <c r="C13" s="13">
        <v>181.97499999999999</v>
      </c>
      <c r="D13" s="14">
        <f t="shared" si="1"/>
        <v>481.4153439153439</v>
      </c>
      <c r="E13" s="15">
        <f>C13/C20*100</f>
        <v>7.3815743572686037</v>
      </c>
      <c r="G13" s="11">
        <v>5</v>
      </c>
      <c r="H13" s="52" t="s">
        <v>14</v>
      </c>
      <c r="I13" s="13">
        <v>60.898000000000003</v>
      </c>
      <c r="J13" s="14">
        <f>I13/0.378</f>
        <v>161.1058201058201</v>
      </c>
      <c r="K13" s="15">
        <f>I13/I20*100</f>
        <v>5.759536649447389</v>
      </c>
    </row>
    <row r="14" spans="1:11" ht="15" customHeight="1">
      <c r="A14" s="11">
        <v>6</v>
      </c>
      <c r="B14" s="12" t="s">
        <v>11</v>
      </c>
      <c r="C14" s="13">
        <v>177.18</v>
      </c>
      <c r="D14" s="14">
        <f>C14/0.378</f>
        <v>468.73015873015873</v>
      </c>
      <c r="E14" s="15">
        <f>C14/C20*100</f>
        <v>7.187071546206079</v>
      </c>
      <c r="G14" s="11">
        <v>6</v>
      </c>
      <c r="H14" s="12" t="s">
        <v>16</v>
      </c>
      <c r="I14" s="13">
        <v>47.359000000000002</v>
      </c>
      <c r="J14" s="14">
        <f t="shared" si="0"/>
        <v>125.2883597883598</v>
      </c>
      <c r="K14" s="15">
        <f>I14/I20*100</f>
        <v>4.4790616470356808</v>
      </c>
    </row>
    <row r="15" spans="1:11" ht="15" customHeight="1">
      <c r="A15" s="11">
        <v>7</v>
      </c>
      <c r="B15" s="12" t="s">
        <v>15</v>
      </c>
      <c r="C15" s="13">
        <v>133.69</v>
      </c>
      <c r="D15" s="14">
        <f t="shared" si="1"/>
        <v>353.67724867724866</v>
      </c>
      <c r="E15" s="15">
        <f>C15/C20*100</f>
        <v>5.4229574162562972</v>
      </c>
      <c r="G15" s="11">
        <v>7</v>
      </c>
      <c r="H15" s="12" t="s">
        <v>32</v>
      </c>
      <c r="I15" s="13">
        <v>43.237000000000002</v>
      </c>
      <c r="J15" s="14">
        <f t="shared" si="0"/>
        <v>114.38359788359789</v>
      </c>
      <c r="K15" s="15">
        <f>I15/I20*100</f>
        <v>4.0892161665761888</v>
      </c>
    </row>
    <row r="16" spans="1:11" ht="15" customHeight="1">
      <c r="A16" s="11">
        <v>8</v>
      </c>
      <c r="B16" s="12" t="s">
        <v>14</v>
      </c>
      <c r="C16" s="13">
        <v>123.52</v>
      </c>
      <c r="D16" s="14">
        <f t="shared" si="1"/>
        <v>326.77248677248679</v>
      </c>
      <c r="E16" s="15">
        <f>C16/C20*100</f>
        <v>5.0104248639088773</v>
      </c>
      <c r="G16" s="11">
        <v>8</v>
      </c>
      <c r="H16" s="52" t="s">
        <v>8</v>
      </c>
      <c r="I16" s="13">
        <v>41.162999999999997</v>
      </c>
      <c r="J16" s="14">
        <f t="shared" si="0"/>
        <v>108.89682539682539</v>
      </c>
      <c r="K16" s="15">
        <f>I16/I20*100</f>
        <v>3.8930639282275745</v>
      </c>
    </row>
    <row r="17" spans="1:11" ht="15" customHeight="1">
      <c r="A17" s="11">
        <v>9</v>
      </c>
      <c r="B17" s="12" t="s">
        <v>57</v>
      </c>
      <c r="C17" s="13">
        <v>102.768</v>
      </c>
      <c r="D17" s="14">
        <f t="shared" si="1"/>
        <v>271.87301587301585</v>
      </c>
      <c r="E17" s="15">
        <f>C17/C20*100</f>
        <v>4.1686475260215961</v>
      </c>
      <c r="G17" s="11">
        <v>9</v>
      </c>
      <c r="H17" s="12" t="s">
        <v>19</v>
      </c>
      <c r="I17" s="13">
        <v>39.212000000000003</v>
      </c>
      <c r="J17" s="14">
        <f t="shared" si="0"/>
        <v>103.73544973544975</v>
      </c>
      <c r="K17" s="15">
        <f>I17/I20*100</f>
        <v>3.7085446336190189</v>
      </c>
    </row>
    <row r="18" spans="1:11" ht="15" customHeight="1">
      <c r="A18" s="11">
        <v>10</v>
      </c>
      <c r="B18" s="12" t="s">
        <v>18</v>
      </c>
      <c r="C18" s="13">
        <v>75.106999999999999</v>
      </c>
      <c r="D18" s="14">
        <f t="shared" si="1"/>
        <v>198.69576719576719</v>
      </c>
      <c r="E18" s="15">
        <f>C18/C20*100</f>
        <v>3.0466157727785301</v>
      </c>
      <c r="G18" s="11">
        <v>10</v>
      </c>
      <c r="H18" s="12" t="s">
        <v>33</v>
      </c>
      <c r="I18" s="13">
        <v>34.079000000000001</v>
      </c>
      <c r="J18" s="14">
        <f t="shared" si="0"/>
        <v>90.156084656084658</v>
      </c>
      <c r="K18" s="15">
        <f>I18/I20*100</f>
        <v>3.2230820302229555</v>
      </c>
    </row>
    <row r="19" spans="1:11" ht="15" customHeight="1" thickBot="1">
      <c r="A19" s="16"/>
      <c r="B19" s="17" t="s">
        <v>60</v>
      </c>
      <c r="C19" s="18">
        <v>778.82</v>
      </c>
      <c r="D19" s="19">
        <f>C19*0.378</f>
        <v>294.39395999999999</v>
      </c>
      <c r="E19" s="20">
        <f>C19/C20*100</f>
        <v>31.591799647907319</v>
      </c>
      <c r="G19" s="16"/>
      <c r="H19" s="17" t="s">
        <v>62</v>
      </c>
      <c r="I19" s="18">
        <v>320.52199999999999</v>
      </c>
      <c r="J19" s="19">
        <f>I19*0.378</f>
        <v>121.15731599999999</v>
      </c>
      <c r="K19" s="20">
        <f>I19/I20*100</f>
        <v>30.31393815813616</v>
      </c>
    </row>
    <row r="20" spans="1:11" ht="20.25" customHeight="1" thickTop="1" thickBot="1">
      <c r="A20" s="21"/>
      <c r="B20" s="22" t="s">
        <v>61</v>
      </c>
      <c r="C20" s="23">
        <f>SUM(C9:C19)</f>
        <v>2465.2600000000002</v>
      </c>
      <c r="D20" s="23">
        <f>C20/0.378</f>
        <v>6521.8518518518522</v>
      </c>
      <c r="E20" s="24">
        <f>SUM(E9:E19)</f>
        <v>100</v>
      </c>
      <c r="G20" s="21"/>
      <c r="H20" s="22" t="s">
        <v>63</v>
      </c>
      <c r="I20" s="25">
        <f>SUM(I9:I19)</f>
        <v>1057.3419999999999</v>
      </c>
      <c r="J20" s="23">
        <f>I20/0.378</f>
        <v>2797.201058201058</v>
      </c>
      <c r="K20" s="26">
        <f>SUM(K9:K19)</f>
        <v>100</v>
      </c>
    </row>
    <row r="22" spans="1:11">
      <c r="C22" s="27"/>
    </row>
    <row r="24" spans="1:11" ht="18.75">
      <c r="A24" s="54" t="s">
        <v>23</v>
      </c>
      <c r="B24" s="54"/>
      <c r="C24" s="54"/>
      <c r="D24" s="54"/>
    </row>
    <row r="25" spans="1:11">
      <c r="A25" s="58" t="s">
        <v>37</v>
      </c>
      <c r="B25" s="58"/>
      <c r="C25" s="58"/>
      <c r="D25" s="58"/>
    </row>
    <row r="26" spans="1:11" ht="18.75">
      <c r="A26" s="59" t="s">
        <v>38</v>
      </c>
      <c r="B26" s="59"/>
      <c r="C26" s="59"/>
      <c r="D26" s="59"/>
      <c r="E26" s="59"/>
      <c r="F26" s="59"/>
    </row>
    <row r="36" spans="5:5">
      <c r="E36" t="s">
        <v>55</v>
      </c>
    </row>
  </sheetData>
  <mergeCells count="7">
    <mergeCell ref="A24:D24"/>
    <mergeCell ref="A25:D25"/>
    <mergeCell ref="A26:F26"/>
    <mergeCell ref="A1:D1"/>
    <mergeCell ref="A2:D2"/>
    <mergeCell ref="A3:D3"/>
    <mergeCell ref="A5:K5"/>
  </mergeCells>
  <phoneticPr fontId="8" type="noConversion"/>
  <pageMargins left="0.75" right="0.75" top="1" bottom="1" header="0.5" footer="0.5"/>
  <pageSetup scale="7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tabSelected="1" workbookViewId="0">
      <selection activeCell="C9" sqref="C9"/>
    </sheetView>
  </sheetViews>
  <sheetFormatPr defaultRowHeight="12.75"/>
  <cols>
    <col min="1" max="1" width="9.28515625" bestFit="1" customWidth="1"/>
    <col min="2" max="2" width="36.42578125" bestFit="1" customWidth="1"/>
    <col min="3" max="3" width="9.5703125" bestFit="1" customWidth="1"/>
    <col min="4" max="4" width="9.42578125" bestFit="1" customWidth="1"/>
    <col min="5" max="5" width="14.140625" bestFit="1" customWidth="1"/>
    <col min="7" max="7" width="9.28515625" bestFit="1" customWidth="1"/>
    <col min="8" max="8" width="35" bestFit="1" customWidth="1"/>
    <col min="9" max="9" width="9.28515625" bestFit="1" customWidth="1"/>
    <col min="10" max="10" width="9.42578125" bestFit="1" customWidth="1"/>
    <col min="11" max="11" width="14.140625" bestFit="1" customWidth="1"/>
  </cols>
  <sheetData>
    <row r="1" spans="1:11" ht="15.75">
      <c r="A1" s="61" t="s">
        <v>0</v>
      </c>
      <c r="B1" s="61"/>
      <c r="C1" s="61"/>
      <c r="D1" s="61"/>
    </row>
    <row r="2" spans="1:11" ht="15.75">
      <c r="A2" s="62" t="s">
        <v>59</v>
      </c>
      <c r="B2" s="62"/>
      <c r="C2" s="62"/>
      <c r="D2" s="62"/>
    </row>
    <row r="3" spans="1:11" ht="15.75">
      <c r="A3" s="53">
        <v>40563</v>
      </c>
      <c r="B3" s="53"/>
      <c r="C3" s="53"/>
      <c r="D3" s="53"/>
    </row>
    <row r="4" spans="1:11" ht="15.75">
      <c r="A4" s="3"/>
      <c r="B4" s="3"/>
      <c r="C4" s="3"/>
      <c r="D4" s="3"/>
    </row>
    <row r="5" spans="1:11" ht="20.25">
      <c r="A5" s="63" t="s">
        <v>64</v>
      </c>
      <c r="B5" s="63"/>
      <c r="C5" s="63"/>
      <c r="D5" s="63"/>
      <c r="E5" s="63"/>
      <c r="F5" s="63"/>
      <c r="G5" s="63"/>
      <c r="H5" s="63"/>
      <c r="I5" s="63"/>
      <c r="J5" s="63"/>
      <c r="K5" s="63"/>
    </row>
    <row r="6" spans="1:11" ht="15.75">
      <c r="A6" s="4"/>
      <c r="B6" s="5"/>
      <c r="C6" s="5"/>
      <c r="D6" s="5"/>
    </row>
    <row r="7" spans="1:11" ht="19.5" thickBot="1">
      <c r="A7" s="50" t="s">
        <v>34</v>
      </c>
      <c r="E7" s="6" t="s">
        <v>35</v>
      </c>
      <c r="G7" s="50" t="s">
        <v>36</v>
      </c>
      <c r="K7" s="6" t="s">
        <v>35</v>
      </c>
    </row>
    <row r="8" spans="1:11" ht="18.75">
      <c r="A8" s="7" t="s">
        <v>3</v>
      </c>
      <c r="B8" s="8" t="s">
        <v>4</v>
      </c>
      <c r="C8" s="9" t="s">
        <v>5</v>
      </c>
      <c r="D8" s="9" t="s">
        <v>6</v>
      </c>
      <c r="E8" s="10" t="s">
        <v>7</v>
      </c>
      <c r="G8" s="7" t="s">
        <v>3</v>
      </c>
      <c r="H8" s="8" t="s">
        <v>4</v>
      </c>
      <c r="I8" s="9" t="s">
        <v>5</v>
      </c>
      <c r="J8" s="9" t="s">
        <v>6</v>
      </c>
      <c r="K8" s="10" t="s">
        <v>7</v>
      </c>
    </row>
    <row r="9" spans="1:11">
      <c r="A9" s="11">
        <v>1</v>
      </c>
      <c r="B9" s="12" t="s">
        <v>13</v>
      </c>
      <c r="C9" s="13">
        <v>324.01900000000001</v>
      </c>
      <c r="D9" s="14">
        <f>C9/0.378</f>
        <v>857.19312169312173</v>
      </c>
      <c r="E9" s="15">
        <f>C9/C20*100</f>
        <v>10.539776671325148</v>
      </c>
      <c r="G9" s="11">
        <v>1</v>
      </c>
      <c r="H9" s="12" t="s">
        <v>10</v>
      </c>
      <c r="I9" s="13">
        <v>329.44400000000002</v>
      </c>
      <c r="J9" s="14">
        <f>I9/0.378</f>
        <v>871.54497354497357</v>
      </c>
      <c r="K9" s="15">
        <f>I9/I20*100</f>
        <v>27.163022327759638</v>
      </c>
    </row>
    <row r="10" spans="1:11">
      <c r="A10" s="11">
        <v>2</v>
      </c>
      <c r="B10" t="s">
        <v>8</v>
      </c>
      <c r="C10" s="13">
        <v>305.99200000000002</v>
      </c>
      <c r="D10" s="14">
        <f>C10/0.378</f>
        <v>809.50264550264558</v>
      </c>
      <c r="E10" s="15">
        <f>C10/C20*100</f>
        <v>9.9533895950920304</v>
      </c>
      <c r="G10" s="11">
        <v>2</v>
      </c>
      <c r="H10" s="12" t="s">
        <v>9</v>
      </c>
      <c r="I10" s="13">
        <v>141.79400000000001</v>
      </c>
      <c r="J10" s="14">
        <f t="shared" ref="J10:J18" si="0">I10/0.378</f>
        <v>375.11640211640213</v>
      </c>
      <c r="K10" s="15">
        <f>I10/I20*100</f>
        <v>11.691072194188848</v>
      </c>
    </row>
    <row r="11" spans="1:11">
      <c r="A11" s="11">
        <v>3</v>
      </c>
      <c r="B11" s="12" t="s">
        <v>17</v>
      </c>
      <c r="C11" s="13">
        <v>278.14499999999998</v>
      </c>
      <c r="D11" s="14">
        <f>C11/0.378</f>
        <v>735.83333333333326</v>
      </c>
      <c r="E11" s="15">
        <f>C11/C20*100</f>
        <v>9.047574933092605</v>
      </c>
      <c r="G11" s="11">
        <v>3</v>
      </c>
      <c r="H11" s="12" t="s">
        <v>14</v>
      </c>
      <c r="I11" s="13">
        <v>96.688000000000002</v>
      </c>
      <c r="J11" s="14">
        <f>I11/0.378</f>
        <v>255.7883597883598</v>
      </c>
      <c r="K11" s="15">
        <f>I11/I20*100</f>
        <v>7.9720325846772866</v>
      </c>
    </row>
    <row r="12" spans="1:11">
      <c r="A12" s="11">
        <v>4</v>
      </c>
      <c r="B12" s="12" t="s">
        <v>9</v>
      </c>
      <c r="C12" s="13">
        <v>277.98099999999999</v>
      </c>
      <c r="D12" s="14">
        <f t="shared" ref="D12:D18" si="1">C12/0.378</f>
        <v>735.39947089947088</v>
      </c>
      <c r="E12" s="15">
        <f>C12/C20*100</f>
        <v>9.0422402972407045</v>
      </c>
      <c r="G12" s="11">
        <v>4</v>
      </c>
      <c r="H12" s="35" t="s">
        <v>16</v>
      </c>
      <c r="I12" s="13">
        <v>76.459999999999994</v>
      </c>
      <c r="J12" s="14">
        <f t="shared" si="0"/>
        <v>202.27513227513225</v>
      </c>
      <c r="K12" s="15">
        <f>I12/I20*100</f>
        <v>6.3042116025197066</v>
      </c>
    </row>
    <row r="13" spans="1:11">
      <c r="A13" s="11">
        <v>5</v>
      </c>
      <c r="B13" s="12" t="s">
        <v>10</v>
      </c>
      <c r="C13" s="13">
        <v>242.2688</v>
      </c>
      <c r="D13" s="14">
        <f t="shared" si="1"/>
        <v>640.92275132275131</v>
      </c>
      <c r="E13" s="15">
        <f>C13/C20*100</f>
        <v>7.8805843065682506</v>
      </c>
      <c r="G13" s="11">
        <v>5</v>
      </c>
      <c r="H13" s="35" t="s">
        <v>18</v>
      </c>
      <c r="I13" s="13">
        <v>60.847000000000001</v>
      </c>
      <c r="J13" s="14">
        <f>I13/0.378</f>
        <v>160.97089947089947</v>
      </c>
      <c r="K13" s="15">
        <f>I13/I20*100</f>
        <v>5.0169024768312394</v>
      </c>
    </row>
    <row r="14" spans="1:11">
      <c r="A14" s="11">
        <v>6</v>
      </c>
      <c r="B14" s="52" t="s">
        <v>11</v>
      </c>
      <c r="C14" s="13">
        <v>190.958</v>
      </c>
      <c r="D14" s="14">
        <f>C14/0.378</f>
        <v>505.17989417989418</v>
      </c>
      <c r="E14" s="15">
        <f>C14/C20*100</f>
        <v>6.2115328841916906</v>
      </c>
      <c r="G14" s="11">
        <v>6</v>
      </c>
      <c r="H14" s="12" t="s">
        <v>33</v>
      </c>
      <c r="I14" s="13">
        <v>45.100999999999999</v>
      </c>
      <c r="J14" s="14">
        <f t="shared" si="0"/>
        <v>119.31481481481481</v>
      </c>
      <c r="K14" s="15">
        <f>I14/I20*100</f>
        <v>3.7186273539790906</v>
      </c>
    </row>
    <row r="15" spans="1:11">
      <c r="A15" s="11">
        <v>7</v>
      </c>
      <c r="B15" s="12" t="s">
        <v>14</v>
      </c>
      <c r="C15" s="13">
        <v>160.334</v>
      </c>
      <c r="D15" s="14">
        <f t="shared" si="1"/>
        <v>424.16402116402116</v>
      </c>
      <c r="E15" s="15">
        <f>C15/C20*100</f>
        <v>5.2153872236512253</v>
      </c>
      <c r="G15" s="11">
        <v>7</v>
      </c>
      <c r="H15" s="12" t="s">
        <v>13</v>
      </c>
      <c r="I15" s="13">
        <v>43.896999999999998</v>
      </c>
      <c r="J15" s="14">
        <f t="shared" si="0"/>
        <v>116.12962962962962</v>
      </c>
      <c r="K15" s="15">
        <f>I15/I20*100</f>
        <v>3.619356221760496</v>
      </c>
    </row>
    <row r="16" spans="1:11">
      <c r="A16" s="11">
        <v>8</v>
      </c>
      <c r="B16" s="52" t="s">
        <v>15</v>
      </c>
      <c r="C16" s="13">
        <v>136.87299999999999</v>
      </c>
      <c r="D16" s="14">
        <f t="shared" si="1"/>
        <v>362.09788359788359</v>
      </c>
      <c r="E16" s="15">
        <f>C16/C20*100</f>
        <v>4.4522415424227804</v>
      </c>
      <c r="G16" s="11">
        <v>8</v>
      </c>
      <c r="H16" s="12" t="s">
        <v>28</v>
      </c>
      <c r="I16" s="13">
        <v>32.295000000000002</v>
      </c>
      <c r="J16" s="14">
        <f t="shared" si="0"/>
        <v>85.436507936507937</v>
      </c>
      <c r="K16" s="15">
        <f>I16/I20*100</f>
        <v>2.6627584842188585</v>
      </c>
    </row>
    <row r="17" spans="1:11">
      <c r="A17" s="11">
        <v>9</v>
      </c>
      <c r="B17" s="12" t="s">
        <v>57</v>
      </c>
      <c r="C17" s="13">
        <v>109</v>
      </c>
      <c r="D17" s="14">
        <f t="shared" si="1"/>
        <v>288.35978835978835</v>
      </c>
      <c r="E17" s="15">
        <f>C17/C20*100</f>
        <v>3.5455811454712256</v>
      </c>
      <c r="G17" s="11">
        <v>9</v>
      </c>
      <c r="H17" s="12" t="s">
        <v>57</v>
      </c>
      <c r="I17" s="13">
        <v>28.718</v>
      </c>
      <c r="J17" s="14">
        <f t="shared" si="0"/>
        <v>75.973544973544975</v>
      </c>
      <c r="K17" s="15">
        <f>I17/I20*100</f>
        <v>2.3678308762903599</v>
      </c>
    </row>
    <row r="18" spans="1:11">
      <c r="A18" s="11">
        <v>10</v>
      </c>
      <c r="B18" s="12" t="s">
        <v>20</v>
      </c>
      <c r="C18" s="13">
        <v>102.122</v>
      </c>
      <c r="D18" s="14">
        <f t="shared" si="1"/>
        <v>270.16402116402116</v>
      </c>
      <c r="E18" s="15">
        <f>C18/C20*100</f>
        <v>3.3218517223652522</v>
      </c>
      <c r="G18" s="11">
        <v>10</v>
      </c>
      <c r="H18" s="52" t="s">
        <v>32</v>
      </c>
      <c r="I18" s="13">
        <v>28.164999999999999</v>
      </c>
      <c r="J18" s="14">
        <f t="shared" si="0"/>
        <v>74.510582010582013</v>
      </c>
      <c r="K18" s="15">
        <f>I18/I20*100</f>
        <v>2.3222354143992612</v>
      </c>
    </row>
    <row r="19" spans="1:11" ht="13.5" thickBot="1">
      <c r="A19" s="16"/>
      <c r="B19" s="17" t="s">
        <v>60</v>
      </c>
      <c r="C19" s="18">
        <v>946.55640000000005</v>
      </c>
      <c r="D19" s="19">
        <f>C19*0.378</f>
        <v>357.79831920000004</v>
      </c>
      <c r="E19" s="20">
        <f>C19/C20*100</f>
        <v>30.789839678579085</v>
      </c>
      <c r="G19" s="16"/>
      <c r="H19" s="17" t="s">
        <v>65</v>
      </c>
      <c r="I19" s="18">
        <v>329.43099999999998</v>
      </c>
      <c r="J19" s="19">
        <f>I19*0.378</f>
        <v>124.524918</v>
      </c>
      <c r="K19" s="20">
        <f>I19/I20*100</f>
        <v>27.161950463375216</v>
      </c>
    </row>
    <row r="20" spans="1:11" ht="20.25" thickTop="1" thickBot="1">
      <c r="A20" s="21"/>
      <c r="B20" s="22" t="s">
        <v>61</v>
      </c>
      <c r="C20" s="23">
        <f>SUM(C9:C19)</f>
        <v>3074.2492000000002</v>
      </c>
      <c r="D20" s="23">
        <f>C20/0.378</f>
        <v>8132.9343915343916</v>
      </c>
      <c r="E20" s="24">
        <f>SUM(E9:E19)</f>
        <v>100</v>
      </c>
      <c r="G20" s="21"/>
      <c r="H20" s="22" t="s">
        <v>66</v>
      </c>
      <c r="I20" s="25">
        <f>SUM(I9:I19)</f>
        <v>1212.8399999999999</v>
      </c>
      <c r="J20" s="23">
        <f>I20/0.378</f>
        <v>3208.5714285714284</v>
      </c>
      <c r="K20" s="26">
        <f>SUM(K9:K19)</f>
        <v>99.999999999999986</v>
      </c>
    </row>
    <row r="22" spans="1:11">
      <c r="C22" s="27"/>
    </row>
    <row r="24" spans="1:11" ht="18.75">
      <c r="A24" s="54" t="s">
        <v>23</v>
      </c>
      <c r="B24" s="54"/>
      <c r="C24" s="54"/>
      <c r="D24" s="54"/>
    </row>
    <row r="25" spans="1:11">
      <c r="A25" s="58" t="s">
        <v>37</v>
      </c>
      <c r="B25" s="58"/>
      <c r="C25" s="58"/>
      <c r="D25" s="58"/>
    </row>
    <row r="26" spans="1:11" ht="18.75">
      <c r="A26" s="59" t="s">
        <v>38</v>
      </c>
      <c r="B26" s="59"/>
      <c r="C26" s="59"/>
      <c r="D26" s="59"/>
      <c r="E26" s="59"/>
      <c r="F26" s="59"/>
    </row>
  </sheetData>
  <mergeCells count="7">
    <mergeCell ref="A25:D25"/>
    <mergeCell ref="A26:F26"/>
    <mergeCell ref="A5:K5"/>
    <mergeCell ref="A1:D1"/>
    <mergeCell ref="A2:D2"/>
    <mergeCell ref="A3:D3"/>
    <mergeCell ref="A24:D24"/>
  </mergeCells>
  <phoneticPr fontId="8" type="noConversion"/>
  <pageMargins left="0.75" right="0.75" top="1" bottom="1" header="0.5" footer="0.5"/>
  <pageSetup paperSize="9" scale="81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58889B4F0462489587E0D07E6A8FD" ma:contentTypeVersion="1" ma:contentTypeDescription="Create a new document." ma:contentTypeScope="" ma:versionID="df45b15de6070541965d090bd5febd1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cac343a943d85e00f76ba0e29c1718a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E2C0327-4401-42FF-B6FD-45E8560AE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2C9AC4-4C19-4A8B-BD28-BDAA46E98A1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4</vt:i4>
      </vt:variant>
    </vt:vector>
  </HeadingPairs>
  <TitlesOfParts>
    <vt:vector size="9" baseType="lpstr">
      <vt:lpstr>04</vt:lpstr>
      <vt:lpstr>JAN- MAR 04</vt:lpstr>
      <vt:lpstr>05</vt:lpstr>
      <vt:lpstr>06</vt:lpstr>
      <vt:lpstr>2005 last updated</vt:lpstr>
      <vt:lpstr>imp 2004</vt:lpstr>
      <vt:lpstr>exp 2004</vt:lpstr>
      <vt:lpstr>exp 2003</vt:lpstr>
      <vt:lpstr>mp 2003</vt:lpstr>
    </vt:vector>
  </TitlesOfParts>
  <Company>moc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4aee7af4d5a545d98744588565ab4986CopyofTOP10COUNTRIES05.xls</dc:title>
  <dc:creator>moc</dc:creator>
  <cp:lastModifiedBy>xlParse</cp:lastModifiedBy>
  <cp:lastPrinted>2010-02-15T08:11:25Z</cp:lastPrinted>
  <dcterms:created xsi:type="dcterms:W3CDTF">2004-04-17T07:08:22Z</dcterms:created>
  <dcterms:modified xsi:type="dcterms:W3CDTF">2017-10-11T05:53:12Z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nit\administrator</vt:lpwstr>
  </property>
  <property fmtid="{D5CDD505-2E9C-101B-9397-08002B2CF9AE}" pid="3" name="display_urn:schemas-microsoft-com:office:office#Author">
    <vt:lpwstr>nit\administrator</vt:lpwstr>
  </property>
</Properties>
</file>